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Github\"/>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D5" i="5" l="1"/>
  <c r="M1" i="1" l="1"/>
  <c r="N1" i="1"/>
  <c r="O1" i="1"/>
  <c r="P1" i="1"/>
  <c r="Q1" i="1"/>
  <c r="R1" i="1"/>
  <c r="S1" i="1"/>
  <c r="T1" i="1"/>
  <c r="U1" i="1"/>
  <c r="L1" i="1"/>
  <c r="P3" i="1"/>
  <c r="Q3" i="1"/>
  <c r="R3" i="1"/>
  <c r="S3" i="1"/>
  <c r="T3" i="1"/>
  <c r="U3" i="1"/>
  <c r="P4" i="1"/>
  <c r="Q4" i="1"/>
  <c r="R4" i="1"/>
  <c r="S4" i="1"/>
  <c r="T4" i="1"/>
  <c r="U4" i="1"/>
  <c r="P5" i="1"/>
  <c r="Q5" i="1"/>
  <c r="R5" i="1"/>
  <c r="S5" i="1"/>
  <c r="T5" i="1"/>
  <c r="U5" i="1"/>
  <c r="P6" i="1"/>
  <c r="Q6" i="1"/>
  <c r="R6" i="1"/>
  <c r="S6" i="1"/>
  <c r="T6" i="1"/>
  <c r="U6" i="1"/>
  <c r="P7" i="1"/>
  <c r="Q7" i="1"/>
  <c r="R7" i="1"/>
  <c r="S7" i="1"/>
  <c r="T7" i="1"/>
  <c r="U7" i="1"/>
  <c r="P8" i="1"/>
  <c r="Q8" i="1"/>
  <c r="R8" i="1"/>
  <c r="S8" i="1"/>
  <c r="T8" i="1"/>
  <c r="U8" i="1"/>
  <c r="P9" i="1"/>
  <c r="Q9" i="1"/>
  <c r="R9" i="1"/>
  <c r="S9" i="1"/>
  <c r="T9" i="1"/>
  <c r="U9" i="1"/>
  <c r="P10" i="1"/>
  <c r="Q10" i="1"/>
  <c r="R10" i="1"/>
  <c r="S10" i="1"/>
  <c r="T10" i="1"/>
  <c r="U10" i="1"/>
  <c r="P11" i="1"/>
  <c r="Q11" i="1"/>
  <c r="R11" i="1"/>
  <c r="S11" i="1"/>
  <c r="T11" i="1"/>
  <c r="U11" i="1"/>
  <c r="P12" i="1"/>
  <c r="Q12" i="1"/>
  <c r="R12" i="1"/>
  <c r="S12" i="1"/>
  <c r="T12" i="1"/>
  <c r="U12" i="1"/>
  <c r="P13" i="1"/>
  <c r="Q13" i="1"/>
  <c r="R13" i="1"/>
  <c r="S13" i="1"/>
  <c r="T13" i="1"/>
  <c r="U13" i="1"/>
  <c r="P14" i="1"/>
  <c r="Q14" i="1"/>
  <c r="R14" i="1"/>
  <c r="S14" i="1"/>
  <c r="T14" i="1"/>
  <c r="U14" i="1"/>
  <c r="P15" i="1"/>
  <c r="Q15" i="1"/>
  <c r="R15" i="1"/>
  <c r="S15" i="1"/>
  <c r="T15" i="1"/>
  <c r="U15" i="1"/>
  <c r="P16" i="1"/>
  <c r="Q16" i="1"/>
  <c r="R16" i="1"/>
  <c r="S16" i="1"/>
  <c r="T16" i="1"/>
  <c r="U16" i="1"/>
  <c r="P17" i="1"/>
  <c r="Q17" i="1"/>
  <c r="R17" i="1"/>
  <c r="S17" i="1"/>
  <c r="T17" i="1"/>
  <c r="U17" i="1"/>
  <c r="P18" i="1"/>
  <c r="Q18" i="1"/>
  <c r="R18" i="1"/>
  <c r="S18" i="1"/>
  <c r="T18" i="1"/>
  <c r="U18" i="1"/>
  <c r="P19" i="1"/>
  <c r="Q19" i="1"/>
  <c r="R19" i="1"/>
  <c r="S19" i="1"/>
  <c r="T19" i="1"/>
  <c r="U19" i="1"/>
  <c r="P20" i="1"/>
  <c r="Q20" i="1"/>
  <c r="R20" i="1"/>
  <c r="S20" i="1"/>
  <c r="T20" i="1"/>
  <c r="U20" i="1"/>
  <c r="P21" i="1"/>
  <c r="Q21" i="1"/>
  <c r="R21" i="1"/>
  <c r="S21" i="1"/>
  <c r="T21" i="1"/>
  <c r="U21" i="1"/>
  <c r="P22" i="1"/>
  <c r="Q22" i="1"/>
  <c r="R22" i="1"/>
  <c r="S22" i="1"/>
  <c r="T22" i="1"/>
  <c r="U22" i="1"/>
  <c r="P23" i="1"/>
  <c r="Q23" i="1"/>
  <c r="R23" i="1"/>
  <c r="S23" i="1"/>
  <c r="T23" i="1"/>
  <c r="U23" i="1"/>
  <c r="P24" i="1"/>
  <c r="Q24" i="1"/>
  <c r="R24" i="1"/>
  <c r="S24" i="1"/>
  <c r="T24" i="1"/>
  <c r="U24" i="1"/>
  <c r="P25" i="1"/>
  <c r="Q25" i="1"/>
  <c r="R25" i="1"/>
  <c r="S25" i="1"/>
  <c r="T25" i="1"/>
  <c r="U25" i="1"/>
  <c r="P26" i="1"/>
  <c r="Q26" i="1"/>
  <c r="R26" i="1"/>
  <c r="S26" i="1"/>
  <c r="T26" i="1"/>
  <c r="U26" i="1"/>
  <c r="P27" i="1"/>
  <c r="Q27" i="1"/>
  <c r="R27" i="1"/>
  <c r="S27" i="1"/>
  <c r="T27" i="1"/>
  <c r="U27" i="1"/>
  <c r="P28" i="1"/>
  <c r="Q28" i="1"/>
  <c r="R28" i="1"/>
  <c r="S28" i="1"/>
  <c r="T28" i="1"/>
  <c r="U28" i="1"/>
  <c r="P29" i="1"/>
  <c r="Q29" i="1"/>
  <c r="R29" i="1"/>
  <c r="S29" i="1"/>
  <c r="T29" i="1"/>
  <c r="U29" i="1"/>
  <c r="P30" i="1"/>
  <c r="Q30" i="1"/>
  <c r="R30" i="1"/>
  <c r="S30" i="1"/>
  <c r="T30" i="1"/>
  <c r="U30" i="1"/>
  <c r="P31" i="1"/>
  <c r="Q31" i="1"/>
  <c r="R31" i="1"/>
  <c r="S31" i="1"/>
  <c r="T31" i="1"/>
  <c r="U31" i="1"/>
  <c r="P32" i="1"/>
  <c r="Q32" i="1"/>
  <c r="R32" i="1"/>
  <c r="S32" i="1"/>
  <c r="T32" i="1"/>
  <c r="U32" i="1"/>
  <c r="P33" i="1"/>
  <c r="Q33" i="1"/>
  <c r="R33" i="1"/>
  <c r="S33" i="1"/>
  <c r="T33" i="1"/>
  <c r="U33" i="1"/>
  <c r="Q2" i="1"/>
  <c r="R2" i="1"/>
  <c r="S2" i="1"/>
  <c r="T2" i="1"/>
  <c r="U2" i="1"/>
  <c r="F9" i="6"/>
  <c r="F11" i="6"/>
  <c r="F10" i="6"/>
  <c r="F12" i="6"/>
  <c r="C11" i="6"/>
  <c r="C9" i="6"/>
  <c r="C8" i="6"/>
  <c r="C14" i="6"/>
  <c r="C12" i="6"/>
  <c r="C13" i="6"/>
  <c r="C7" i="6"/>
  <c r="C15" i="6"/>
  <c r="C16" i="6" l="1"/>
  <c r="C4" i="5"/>
  <c r="C21" i="6"/>
  <c r="C22" i="6"/>
  <c r="C18" i="6"/>
  <c r="C23" i="6" l="1"/>
  <c r="C24" i="6" s="1"/>
  <c r="C19" i="6"/>
  <c r="C20" i="6" s="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2" i="3"/>
  <c r="I2" i="3"/>
  <c r="J2" i="3" s="1"/>
  <c r="N3" i="4"/>
  <c r="O3" i="4"/>
  <c r="N4" i="4"/>
  <c r="O4" i="4"/>
  <c r="N5" i="4"/>
  <c r="O5" i="4"/>
  <c r="N6" i="4"/>
  <c r="O6" i="4"/>
  <c r="N7" i="4"/>
  <c r="O7" i="4"/>
  <c r="N8" i="4"/>
  <c r="O8" i="4"/>
  <c r="N9" i="4"/>
  <c r="O9" i="4"/>
  <c r="N10" i="4"/>
  <c r="O10" i="4"/>
  <c r="N11" i="4"/>
  <c r="O11" i="4"/>
  <c r="N12" i="4"/>
  <c r="O12" i="4"/>
  <c r="N13" i="4"/>
  <c r="O13" i="4"/>
  <c r="N14" i="4"/>
  <c r="O14" i="4"/>
  <c r="N15" i="4"/>
  <c r="O15" i="4"/>
  <c r="N16" i="4"/>
  <c r="O16" i="4"/>
  <c r="N17" i="4"/>
  <c r="O17" i="4"/>
  <c r="N18" i="4"/>
  <c r="O18" i="4"/>
  <c r="N19" i="4"/>
  <c r="O19" i="4"/>
  <c r="N20" i="4"/>
  <c r="O20" i="4"/>
  <c r="N21" i="4"/>
  <c r="O21" i="4"/>
  <c r="N22" i="4"/>
  <c r="O22" i="4"/>
  <c r="N23" i="4"/>
  <c r="O23" i="4"/>
  <c r="N24" i="4"/>
  <c r="O24" i="4"/>
  <c r="N25" i="4"/>
  <c r="O25" i="4"/>
  <c r="N26" i="4"/>
  <c r="O26" i="4"/>
  <c r="N27" i="4"/>
  <c r="O27" i="4"/>
  <c r="N28" i="4"/>
  <c r="O28" i="4"/>
  <c r="N29" i="4"/>
  <c r="O29" i="4"/>
  <c r="N30" i="4"/>
  <c r="O30" i="4"/>
  <c r="N31" i="4"/>
  <c r="O31" i="4"/>
  <c r="N32" i="4"/>
  <c r="O32" i="4"/>
  <c r="N33" i="4"/>
  <c r="O33" i="4"/>
  <c r="O2" i="4"/>
  <c r="N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2" i="4"/>
  <c r="N3" i="3"/>
  <c r="O3" i="3"/>
  <c r="N4" i="3"/>
  <c r="O4" i="3"/>
  <c r="N5" i="3"/>
  <c r="O5" i="3"/>
  <c r="N6" i="3"/>
  <c r="O6" i="3"/>
  <c r="N7" i="3"/>
  <c r="O7" i="3"/>
  <c r="N8" i="3"/>
  <c r="O8" i="3"/>
  <c r="N9" i="3"/>
  <c r="O9" i="3"/>
  <c r="N10" i="3"/>
  <c r="O10" i="3"/>
  <c r="N11" i="3"/>
  <c r="O11" i="3"/>
  <c r="N12" i="3"/>
  <c r="O12" i="3"/>
  <c r="N13" i="3"/>
  <c r="O13" i="3"/>
  <c r="N14" i="3"/>
  <c r="O14" i="3"/>
  <c r="N15" i="3"/>
  <c r="O15" i="3"/>
  <c r="N16" i="3"/>
  <c r="O16" i="3"/>
  <c r="N17" i="3"/>
  <c r="O17" i="3"/>
  <c r="N18" i="3"/>
  <c r="O18" i="3"/>
  <c r="N19" i="3"/>
  <c r="O19" i="3"/>
  <c r="N20" i="3"/>
  <c r="O20" i="3"/>
  <c r="N21" i="3"/>
  <c r="O21" i="3"/>
  <c r="N22" i="3"/>
  <c r="O22" i="3"/>
  <c r="N23" i="3"/>
  <c r="O23" i="3"/>
  <c r="N24" i="3"/>
  <c r="O24" i="3"/>
  <c r="N25" i="3"/>
  <c r="O25" i="3"/>
  <c r="N26" i="3"/>
  <c r="O26" i="3"/>
  <c r="N27" i="3"/>
  <c r="O27" i="3"/>
  <c r="N28" i="3"/>
  <c r="O28" i="3"/>
  <c r="N29" i="3"/>
  <c r="O29" i="3"/>
  <c r="N30" i="3"/>
  <c r="O30" i="3"/>
  <c r="N31" i="3"/>
  <c r="O31" i="3"/>
  <c r="N32" i="3"/>
  <c r="O32" i="3"/>
  <c r="N33" i="3"/>
  <c r="O33" i="3"/>
  <c r="O2" i="3"/>
  <c r="N2" i="3"/>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2" i="4"/>
  <c r="J2" i="4"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2" i="4"/>
  <c r="F5" i="4"/>
  <c r="E5" i="4"/>
  <c r="F4" i="4"/>
  <c r="E4" i="4"/>
  <c r="F3" i="4"/>
  <c r="E3" i="4"/>
  <c r="F2" i="4"/>
  <c r="E2" i="4"/>
  <c r="F33" i="4"/>
  <c r="E33" i="4"/>
  <c r="B33" i="4"/>
  <c r="A33" i="4"/>
  <c r="F32" i="4"/>
  <c r="E32" i="4"/>
  <c r="B32" i="4"/>
  <c r="A32" i="4"/>
  <c r="F31" i="4"/>
  <c r="E31" i="4"/>
  <c r="B31" i="4"/>
  <c r="A31" i="4"/>
  <c r="F30" i="4"/>
  <c r="E30" i="4"/>
  <c r="B30" i="4"/>
  <c r="A30" i="4"/>
  <c r="F29" i="4"/>
  <c r="E29" i="4"/>
  <c r="B29" i="4"/>
  <c r="A29" i="4"/>
  <c r="F28" i="4"/>
  <c r="E28" i="4"/>
  <c r="B28" i="4"/>
  <c r="A28" i="4"/>
  <c r="F27" i="4"/>
  <c r="E27" i="4"/>
  <c r="B27" i="4"/>
  <c r="A27" i="4"/>
  <c r="F26" i="4"/>
  <c r="E26" i="4"/>
  <c r="B26" i="4"/>
  <c r="A26" i="4"/>
  <c r="F25" i="4"/>
  <c r="E25" i="4"/>
  <c r="B25" i="4"/>
  <c r="A25" i="4"/>
  <c r="F24" i="4"/>
  <c r="E24" i="4"/>
  <c r="B24" i="4"/>
  <c r="A24" i="4"/>
  <c r="F23" i="4"/>
  <c r="E23" i="4"/>
  <c r="B23" i="4"/>
  <c r="A23" i="4"/>
  <c r="F22" i="4"/>
  <c r="E22" i="4"/>
  <c r="B22" i="4"/>
  <c r="A22" i="4"/>
  <c r="F21" i="4"/>
  <c r="E21" i="4"/>
  <c r="B21" i="4"/>
  <c r="A21" i="4"/>
  <c r="F20" i="4"/>
  <c r="E20" i="4"/>
  <c r="B20" i="4"/>
  <c r="A20" i="4"/>
  <c r="F19" i="4"/>
  <c r="E19" i="4"/>
  <c r="B19" i="4"/>
  <c r="A19" i="4"/>
  <c r="F18" i="4"/>
  <c r="E18" i="4"/>
  <c r="B18" i="4"/>
  <c r="A18" i="4"/>
  <c r="F17" i="4"/>
  <c r="E17" i="4"/>
  <c r="B17" i="4"/>
  <c r="A17" i="4"/>
  <c r="F16" i="4"/>
  <c r="E16" i="4"/>
  <c r="B16" i="4"/>
  <c r="A16" i="4"/>
  <c r="F15" i="4"/>
  <c r="E15" i="4"/>
  <c r="B15" i="4"/>
  <c r="A15" i="4"/>
  <c r="F14" i="4"/>
  <c r="E14" i="4"/>
  <c r="B14" i="4"/>
  <c r="A14" i="4"/>
  <c r="F13" i="4"/>
  <c r="E13" i="4"/>
  <c r="B13" i="4"/>
  <c r="A13" i="4"/>
  <c r="F12" i="4"/>
  <c r="E12" i="4"/>
  <c r="B12" i="4"/>
  <c r="A12" i="4"/>
  <c r="F11" i="4"/>
  <c r="E11" i="4"/>
  <c r="B11" i="4"/>
  <c r="A11" i="4"/>
  <c r="F10" i="4"/>
  <c r="E10" i="4"/>
  <c r="B10" i="4"/>
  <c r="A10" i="4"/>
  <c r="F9" i="4"/>
  <c r="E9" i="4"/>
  <c r="B9" i="4"/>
  <c r="A9" i="4"/>
  <c r="F8" i="4"/>
  <c r="E8" i="4"/>
  <c r="B8" i="4"/>
  <c r="A8" i="4"/>
  <c r="F7" i="4"/>
  <c r="E7" i="4"/>
  <c r="B7" i="4"/>
  <c r="A7" i="4"/>
  <c r="F6" i="4"/>
  <c r="E6" i="4"/>
  <c r="B6" i="4"/>
  <c r="A6" i="4"/>
  <c r="B5" i="4"/>
  <c r="A5" i="4"/>
  <c r="B4" i="4"/>
  <c r="A4" i="4"/>
  <c r="B3" i="4"/>
  <c r="A3" i="4"/>
  <c r="B2" i="4"/>
  <c r="A2" i="4"/>
  <c r="H2" i="3"/>
  <c r="K2" i="3"/>
  <c r="L2" i="3"/>
  <c r="M2" i="3"/>
  <c r="H3" i="3"/>
  <c r="I3" i="3"/>
  <c r="J3" i="3" s="1"/>
  <c r="K3" i="3"/>
  <c r="L3" i="3"/>
  <c r="M3" i="3"/>
  <c r="H4" i="3"/>
  <c r="I4" i="3"/>
  <c r="J4" i="3" s="1"/>
  <c r="K4" i="3"/>
  <c r="L4" i="3"/>
  <c r="M4" i="3"/>
  <c r="H5" i="3"/>
  <c r="I5" i="3"/>
  <c r="J5" i="3" s="1"/>
  <c r="K5" i="3"/>
  <c r="L5" i="3"/>
  <c r="M5" i="3"/>
  <c r="H6" i="3"/>
  <c r="I6" i="3"/>
  <c r="J6" i="3" s="1"/>
  <c r="K6" i="3"/>
  <c r="L6" i="3"/>
  <c r="M6" i="3"/>
  <c r="H7" i="3"/>
  <c r="I7" i="3"/>
  <c r="J7" i="3" s="1"/>
  <c r="K7" i="3"/>
  <c r="L7" i="3"/>
  <c r="M7" i="3"/>
  <c r="H8" i="3"/>
  <c r="I8" i="3"/>
  <c r="J8" i="3" s="1"/>
  <c r="K8" i="3"/>
  <c r="L8" i="3"/>
  <c r="M8" i="3"/>
  <c r="H9" i="3"/>
  <c r="I9" i="3"/>
  <c r="J9" i="3" s="1"/>
  <c r="K9" i="3"/>
  <c r="L9" i="3"/>
  <c r="M9" i="3"/>
  <c r="H10" i="3"/>
  <c r="I10" i="3"/>
  <c r="J10" i="3" s="1"/>
  <c r="K10" i="3"/>
  <c r="L10" i="3"/>
  <c r="M10" i="3"/>
  <c r="H11" i="3"/>
  <c r="I11" i="3"/>
  <c r="J11" i="3" s="1"/>
  <c r="K11" i="3"/>
  <c r="L11" i="3"/>
  <c r="M11" i="3"/>
  <c r="H12" i="3"/>
  <c r="I12" i="3"/>
  <c r="J12" i="3" s="1"/>
  <c r="K12" i="3"/>
  <c r="L12" i="3"/>
  <c r="M12" i="3"/>
  <c r="H13" i="3"/>
  <c r="I13" i="3"/>
  <c r="J13" i="3" s="1"/>
  <c r="K13" i="3"/>
  <c r="L13" i="3"/>
  <c r="M13" i="3"/>
  <c r="H14" i="3"/>
  <c r="I14" i="3"/>
  <c r="J14" i="3" s="1"/>
  <c r="K14" i="3"/>
  <c r="L14" i="3"/>
  <c r="M14" i="3"/>
  <c r="H15" i="3"/>
  <c r="I15" i="3"/>
  <c r="J15" i="3" s="1"/>
  <c r="K15" i="3"/>
  <c r="L15" i="3"/>
  <c r="M15" i="3"/>
  <c r="H16" i="3"/>
  <c r="I16" i="3"/>
  <c r="J16" i="3" s="1"/>
  <c r="K16" i="3"/>
  <c r="L16" i="3"/>
  <c r="M16" i="3"/>
  <c r="H17" i="3"/>
  <c r="I17" i="3"/>
  <c r="J17" i="3" s="1"/>
  <c r="K17" i="3"/>
  <c r="L17" i="3"/>
  <c r="M17" i="3"/>
  <c r="H18" i="3"/>
  <c r="I18" i="3"/>
  <c r="J18" i="3" s="1"/>
  <c r="K18" i="3"/>
  <c r="L18" i="3"/>
  <c r="M18" i="3"/>
  <c r="H19" i="3"/>
  <c r="I19" i="3"/>
  <c r="J19" i="3" s="1"/>
  <c r="K19" i="3"/>
  <c r="L19" i="3"/>
  <c r="M19" i="3"/>
  <c r="H20" i="3"/>
  <c r="I20" i="3"/>
  <c r="J20" i="3" s="1"/>
  <c r="K20" i="3"/>
  <c r="L20" i="3"/>
  <c r="M20" i="3"/>
  <c r="H21" i="3"/>
  <c r="I21" i="3"/>
  <c r="J21" i="3" s="1"/>
  <c r="K21" i="3"/>
  <c r="L21" i="3"/>
  <c r="M21" i="3"/>
  <c r="H22" i="3"/>
  <c r="I22" i="3"/>
  <c r="J22" i="3" s="1"/>
  <c r="K22" i="3"/>
  <c r="L22" i="3"/>
  <c r="M22" i="3"/>
  <c r="H23" i="3"/>
  <c r="I23" i="3"/>
  <c r="J23" i="3" s="1"/>
  <c r="K23" i="3"/>
  <c r="L23" i="3"/>
  <c r="M23" i="3"/>
  <c r="H24" i="3"/>
  <c r="I24" i="3"/>
  <c r="J24" i="3" s="1"/>
  <c r="K24" i="3"/>
  <c r="L24" i="3"/>
  <c r="M24" i="3"/>
  <c r="H25" i="3"/>
  <c r="I25" i="3"/>
  <c r="J25" i="3" s="1"/>
  <c r="K25" i="3"/>
  <c r="L25" i="3"/>
  <c r="M25" i="3"/>
  <c r="H26" i="3"/>
  <c r="I26" i="3"/>
  <c r="J26" i="3" s="1"/>
  <c r="K26" i="3"/>
  <c r="L26" i="3"/>
  <c r="M26" i="3"/>
  <c r="H27" i="3"/>
  <c r="I27" i="3"/>
  <c r="J27" i="3" s="1"/>
  <c r="K27" i="3"/>
  <c r="L27" i="3"/>
  <c r="M27" i="3"/>
  <c r="H28" i="3"/>
  <c r="I28" i="3"/>
  <c r="J28" i="3" s="1"/>
  <c r="K28" i="3"/>
  <c r="L28" i="3"/>
  <c r="M28" i="3"/>
  <c r="H29" i="3"/>
  <c r="I29" i="3"/>
  <c r="J29" i="3" s="1"/>
  <c r="K29" i="3"/>
  <c r="L29" i="3"/>
  <c r="M29" i="3"/>
  <c r="H30" i="3"/>
  <c r="I30" i="3"/>
  <c r="J30" i="3" s="1"/>
  <c r="K30" i="3"/>
  <c r="L30" i="3"/>
  <c r="M30" i="3"/>
  <c r="H31" i="3"/>
  <c r="I31" i="3"/>
  <c r="J31" i="3" s="1"/>
  <c r="K31" i="3"/>
  <c r="L31" i="3"/>
  <c r="M31" i="3"/>
  <c r="H32" i="3"/>
  <c r="I32" i="3"/>
  <c r="J32" i="3" s="1"/>
  <c r="K32" i="3"/>
  <c r="L32" i="3"/>
  <c r="M32" i="3"/>
  <c r="H33" i="3"/>
  <c r="I33" i="3"/>
  <c r="J33" i="3" s="1"/>
  <c r="K33" i="3"/>
  <c r="L33" i="3"/>
  <c r="M33" i="3"/>
  <c r="I1" i="3"/>
  <c r="K1" i="3"/>
  <c r="L1" i="3"/>
  <c r="M1" i="3"/>
  <c r="H1"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2"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L3" i="1"/>
  <c r="M3" i="1"/>
  <c r="N3" i="1"/>
  <c r="O3" i="1"/>
  <c r="L4" i="1"/>
  <c r="M4" i="1"/>
  <c r="N4" i="1"/>
  <c r="O4" i="1"/>
  <c r="L5" i="1"/>
  <c r="M5" i="1"/>
  <c r="N5" i="1"/>
  <c r="O5" i="1"/>
  <c r="L6" i="1"/>
  <c r="M6" i="1"/>
  <c r="N6" i="1"/>
  <c r="O6" i="1"/>
  <c r="L7" i="1"/>
  <c r="M7" i="1"/>
  <c r="N7" i="1"/>
  <c r="O7" i="1"/>
  <c r="L8" i="1"/>
  <c r="M8" i="1"/>
  <c r="N8" i="1"/>
  <c r="O8" i="1"/>
  <c r="L9" i="1"/>
  <c r="M9" i="1"/>
  <c r="N9" i="1"/>
  <c r="O9" i="1"/>
  <c r="L10" i="1"/>
  <c r="M10" i="1"/>
  <c r="N10" i="1"/>
  <c r="O10" i="1"/>
  <c r="L11" i="1"/>
  <c r="M11" i="1"/>
  <c r="N11" i="1"/>
  <c r="O11" i="1"/>
  <c r="L12" i="1"/>
  <c r="M12" i="1"/>
  <c r="N12" i="1"/>
  <c r="O12" i="1"/>
  <c r="L13" i="1"/>
  <c r="M13" i="1"/>
  <c r="N13" i="1"/>
  <c r="O13" i="1"/>
  <c r="L14" i="1"/>
  <c r="M14" i="1"/>
  <c r="N14" i="1"/>
  <c r="O14" i="1"/>
  <c r="L15" i="1"/>
  <c r="M15" i="1"/>
  <c r="N15" i="1"/>
  <c r="O15" i="1"/>
  <c r="L16" i="1"/>
  <c r="M16" i="1"/>
  <c r="N16" i="1"/>
  <c r="O16" i="1"/>
  <c r="L17" i="1"/>
  <c r="M17" i="1"/>
  <c r="N17" i="1"/>
  <c r="O17" i="1"/>
  <c r="L18" i="1"/>
  <c r="M18" i="1"/>
  <c r="N18" i="1"/>
  <c r="O18" i="1"/>
  <c r="L19" i="1"/>
  <c r="M19" i="1"/>
  <c r="N19" i="1"/>
  <c r="O19" i="1"/>
  <c r="L20" i="1"/>
  <c r="M20" i="1"/>
  <c r="N20" i="1"/>
  <c r="O20" i="1"/>
  <c r="L21" i="1"/>
  <c r="M21" i="1"/>
  <c r="N21" i="1"/>
  <c r="O21" i="1"/>
  <c r="L22" i="1"/>
  <c r="M22" i="1"/>
  <c r="N22" i="1"/>
  <c r="O22" i="1"/>
  <c r="L23" i="1"/>
  <c r="M23" i="1"/>
  <c r="N23" i="1"/>
  <c r="O23" i="1"/>
  <c r="L24" i="1"/>
  <c r="M24" i="1"/>
  <c r="N24" i="1"/>
  <c r="O24" i="1"/>
  <c r="L25" i="1"/>
  <c r="M25" i="1"/>
  <c r="N25" i="1"/>
  <c r="O25" i="1"/>
  <c r="L26" i="1"/>
  <c r="M26" i="1"/>
  <c r="N26" i="1"/>
  <c r="O26" i="1"/>
  <c r="L27" i="1"/>
  <c r="M27" i="1"/>
  <c r="N27" i="1"/>
  <c r="O27" i="1"/>
  <c r="L28" i="1"/>
  <c r="M28" i="1"/>
  <c r="N28" i="1"/>
  <c r="O28" i="1"/>
  <c r="L29" i="1"/>
  <c r="M29" i="1"/>
  <c r="N29" i="1"/>
  <c r="O29" i="1"/>
  <c r="L30" i="1"/>
  <c r="M30" i="1"/>
  <c r="N30" i="1"/>
  <c r="O30" i="1"/>
  <c r="L31" i="1"/>
  <c r="M31" i="1"/>
  <c r="N31" i="1"/>
  <c r="O31" i="1"/>
  <c r="L32" i="1"/>
  <c r="M32" i="1"/>
  <c r="N32" i="1"/>
  <c r="O32" i="1"/>
  <c r="L33" i="1"/>
  <c r="M33" i="1"/>
  <c r="N33" i="1"/>
  <c r="O33" i="1"/>
  <c r="M2" i="1"/>
  <c r="N2" i="1"/>
  <c r="O2" i="1"/>
  <c r="P2" i="1"/>
  <c r="L2" i="1"/>
  <c r="I3" i="1"/>
  <c r="J3" i="1"/>
  <c r="I4" i="1"/>
  <c r="J4" i="1"/>
  <c r="I5" i="1"/>
  <c r="J5" i="1"/>
  <c r="I6" i="1"/>
  <c r="J6" i="1"/>
  <c r="I7" i="1"/>
  <c r="J7" i="1"/>
  <c r="I8"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J2" i="1"/>
  <c r="I2" i="1"/>
  <c r="C5" i="4"/>
  <c r="G9" i="4"/>
  <c r="G16" i="4"/>
  <c r="G29" i="4"/>
  <c r="G22" i="4"/>
  <c r="G18" i="4"/>
  <c r="G3" i="4"/>
  <c r="G27" i="4"/>
  <c r="G33" i="4"/>
  <c r="G13" i="4"/>
  <c r="G15" i="4"/>
  <c r="G17" i="4"/>
  <c r="C32" i="4"/>
  <c r="C2" i="4"/>
  <c r="G2" i="4"/>
  <c r="C15" i="4"/>
  <c r="G19" i="4"/>
  <c r="C28" i="4"/>
  <c r="G26" i="4"/>
  <c r="C12" i="4"/>
  <c r="C4" i="4"/>
  <c r="G24" i="4"/>
  <c r="G20" i="4"/>
  <c r="C22" i="4"/>
  <c r="G5" i="4"/>
  <c r="G8" i="4"/>
  <c r="G28" i="4"/>
  <c r="C3" i="4"/>
  <c r="G31" i="4"/>
  <c r="G7" i="4"/>
  <c r="G25" i="4"/>
  <c r="C11" i="4"/>
  <c r="C9" i="4"/>
  <c r="G10" i="4"/>
  <c r="G12" i="4"/>
  <c r="G32" i="4"/>
  <c r="G11" i="4"/>
  <c r="C10" i="4"/>
  <c r="G21" i="4"/>
  <c r="G30" i="4"/>
  <c r="C19" i="4"/>
  <c r="G23" i="4"/>
  <c r="G6" i="4"/>
  <c r="C25" i="4"/>
  <c r="C7" i="4"/>
  <c r="G14" i="4"/>
  <c r="C13" i="4"/>
  <c r="G4" i="4"/>
  <c r="C33" i="4"/>
  <c r="C31" i="4"/>
  <c r="C30" i="4"/>
  <c r="C29" i="4"/>
  <c r="C27" i="4"/>
  <c r="C26" i="4"/>
  <c r="C24" i="4"/>
  <c r="C23" i="4"/>
  <c r="C21" i="4"/>
  <c r="C20" i="4"/>
  <c r="C18" i="4"/>
  <c r="C17" i="4"/>
  <c r="C16" i="4"/>
  <c r="C14" i="4"/>
  <c r="C8" i="4"/>
  <c r="C6" i="4"/>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2" i="1"/>
  <c r="F3" i="1"/>
  <c r="H3" i="1" s="1"/>
  <c r="K3" i="1" s="1"/>
  <c r="F4" i="1"/>
  <c r="H4" i="1" s="1"/>
  <c r="K4" i="1" s="1"/>
  <c r="F5" i="1"/>
  <c r="F6" i="1"/>
  <c r="F7" i="1"/>
  <c r="H7" i="1" s="1"/>
  <c r="K7" i="1" s="1"/>
  <c r="F8" i="1"/>
  <c r="H8" i="1" s="1"/>
  <c r="K8" i="1" s="1"/>
  <c r="F9" i="1"/>
  <c r="H9" i="1" s="1"/>
  <c r="K9" i="1" s="1"/>
  <c r="F10" i="1"/>
  <c r="F11" i="1"/>
  <c r="F12" i="1"/>
  <c r="H12" i="1" s="1"/>
  <c r="K12" i="1" s="1"/>
  <c r="F13" i="1"/>
  <c r="F14" i="1"/>
  <c r="H14" i="1" s="1"/>
  <c r="K14" i="1" s="1"/>
  <c r="F15" i="1"/>
  <c r="H15" i="1" s="1"/>
  <c r="K15" i="1" s="1"/>
  <c r="F16" i="1"/>
  <c r="H16" i="1" s="1"/>
  <c r="K16" i="1" s="1"/>
  <c r="F17" i="1"/>
  <c r="H17" i="1" s="1"/>
  <c r="K17" i="1" s="1"/>
  <c r="F18" i="1"/>
  <c r="H18" i="1" s="1"/>
  <c r="K18" i="1" s="1"/>
  <c r="F19" i="1"/>
  <c r="H19" i="1" s="1"/>
  <c r="K19" i="1" s="1"/>
  <c r="F20" i="1"/>
  <c r="H20" i="1" s="1"/>
  <c r="K20" i="1" s="1"/>
  <c r="F21" i="1"/>
  <c r="H21" i="1" s="1"/>
  <c r="K21" i="1" s="1"/>
  <c r="F22" i="1"/>
  <c r="H22" i="1" s="1"/>
  <c r="K22" i="1" s="1"/>
  <c r="F23" i="1"/>
  <c r="H23" i="1" s="1"/>
  <c r="K23" i="1" s="1"/>
  <c r="F24" i="1"/>
  <c r="H24" i="1" s="1"/>
  <c r="K24" i="1" s="1"/>
  <c r="F25" i="1"/>
  <c r="H25" i="1" s="1"/>
  <c r="K25" i="1" s="1"/>
  <c r="F26" i="1"/>
  <c r="H26" i="1" s="1"/>
  <c r="K26" i="1" s="1"/>
  <c r="F27" i="1"/>
  <c r="H27" i="1" s="1"/>
  <c r="K27" i="1" s="1"/>
  <c r="F28" i="1"/>
  <c r="H28" i="1" s="1"/>
  <c r="K28" i="1" s="1"/>
  <c r="F29" i="1"/>
  <c r="H29" i="1" s="1"/>
  <c r="K29" i="1" s="1"/>
  <c r="F30" i="1"/>
  <c r="H30" i="1" s="1"/>
  <c r="K30" i="1" s="1"/>
  <c r="F31" i="1"/>
  <c r="H31" i="1" s="1"/>
  <c r="K31" i="1" s="1"/>
  <c r="F32" i="1"/>
  <c r="H32" i="1" s="1"/>
  <c r="K32" i="1" s="1"/>
  <c r="F33" i="1"/>
  <c r="H33" i="1" s="1"/>
  <c r="K33" i="1" s="1"/>
  <c r="F2" i="1"/>
  <c r="H2" i="1" s="1"/>
  <c r="K2"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2" i="1"/>
  <c r="K2" i="4"/>
  <c r="Q3" i="4"/>
  <c r="Q4" i="4"/>
  <c r="K27" i="4"/>
  <c r="Q6" i="4"/>
  <c r="Q2" i="4"/>
  <c r="Q9" i="4"/>
  <c r="Q12" i="4"/>
  <c r="K30" i="4"/>
  <c r="K8" i="4"/>
  <c r="K9" i="4"/>
  <c r="K11" i="4"/>
  <c r="K18" i="4"/>
  <c r="Q11" i="4"/>
  <c r="K17" i="4"/>
  <c r="Q31" i="4"/>
  <c r="K14" i="4"/>
  <c r="K15" i="4"/>
  <c r="Q28" i="4"/>
  <c r="Q13" i="4"/>
  <c r="Q19" i="4"/>
  <c r="K26" i="4"/>
  <c r="K16" i="4"/>
  <c r="K6" i="4"/>
  <c r="K21" i="4"/>
  <c r="Q16" i="4"/>
  <c r="Q20" i="4"/>
  <c r="Q21" i="4"/>
  <c r="K33" i="4"/>
  <c r="Q14" i="4"/>
  <c r="K7" i="4"/>
  <c r="Q30" i="4"/>
  <c r="K10" i="4"/>
  <c r="K31" i="4"/>
  <c r="Q18" i="4"/>
  <c r="K32" i="4"/>
  <c r="Q32" i="4"/>
  <c r="K5" i="4"/>
  <c r="K12" i="4"/>
  <c r="K28" i="4"/>
  <c r="K24" i="4"/>
  <c r="K19" i="4"/>
  <c r="Q8" i="4"/>
  <c r="K3" i="4"/>
  <c r="Q5" i="4"/>
  <c r="K22" i="4"/>
  <c r="K25" i="4"/>
  <c r="Q17" i="4"/>
  <c r="K13" i="4"/>
  <c r="Q27" i="4"/>
  <c r="Q22" i="4"/>
  <c r="Q23" i="4"/>
  <c r="Q33" i="4"/>
  <c r="K29" i="4"/>
  <c r="Q26" i="4"/>
  <c r="Q25" i="4"/>
  <c r="Q10" i="4"/>
  <c r="K20" i="4"/>
  <c r="K23" i="4"/>
  <c r="Q7" i="4"/>
  <c r="Q15" i="4"/>
  <c r="K4" i="4"/>
  <c r="Q24" i="4"/>
  <c r="Q29" i="4"/>
  <c r="L2" i="4" l="1"/>
  <c r="M2" i="4" s="1"/>
  <c r="P2" i="4" s="1"/>
  <c r="H13" i="1"/>
  <c r="K13" i="1" s="1"/>
  <c r="H5" i="1"/>
  <c r="K5" i="1" s="1"/>
  <c r="R27" i="4"/>
  <c r="S27" i="4" s="1"/>
  <c r="R8" i="4"/>
  <c r="S8" i="4" s="1"/>
  <c r="R23" i="4"/>
  <c r="S23" i="4" s="1"/>
  <c r="R20" i="4"/>
  <c r="S20" i="4" s="1"/>
  <c r="R12" i="4"/>
  <c r="S12" i="4" s="1"/>
  <c r="R17" i="4"/>
  <c r="S17" i="4" s="1"/>
  <c r="H6" i="1"/>
  <c r="K6" i="1" s="1"/>
  <c r="H11" i="1"/>
  <c r="K11" i="1" s="1"/>
  <c r="R2" i="4"/>
  <c r="S2" i="4" s="1"/>
  <c r="R15" i="4"/>
  <c r="S15" i="4" s="1"/>
  <c r="R16" i="4"/>
  <c r="S16" i="4" s="1"/>
  <c r="R21" i="4"/>
  <c r="S21" i="4" s="1"/>
  <c r="R4" i="4"/>
  <c r="S4" i="4" s="1"/>
  <c r="R7" i="4"/>
  <c r="S7" i="4" s="1"/>
  <c r="R22" i="4"/>
  <c r="S22" i="4" s="1"/>
  <c r="R29" i="4"/>
  <c r="S29" i="4" s="1"/>
  <c r="R33" i="4"/>
  <c r="S33" i="4" s="1"/>
  <c r="R3" i="4"/>
  <c r="S3" i="4" s="1"/>
  <c r="R11" i="4"/>
  <c r="S11" i="4" s="1"/>
  <c r="R6" i="4"/>
  <c r="S6" i="4" s="1"/>
  <c r="R14" i="4"/>
  <c r="S14" i="4" s="1"/>
  <c r="R13" i="4"/>
  <c r="S13" i="4" s="1"/>
  <c r="R9" i="4"/>
  <c r="S9" i="4" s="1"/>
  <c r="R28" i="4"/>
  <c r="S28" i="4" s="1"/>
  <c r="R19" i="4"/>
  <c r="S19" i="4" s="1"/>
  <c r="R25" i="4"/>
  <c r="S25" i="4" s="1"/>
  <c r="R32" i="4"/>
  <c r="S32" i="4" s="1"/>
  <c r="R18" i="4"/>
  <c r="S18" i="4" s="1"/>
  <c r="R31" i="4"/>
  <c r="S31" i="4" s="1"/>
  <c r="R26" i="4"/>
  <c r="S26" i="4" s="1"/>
  <c r="R24" i="4"/>
  <c r="S24" i="4" s="1"/>
  <c r="R30" i="4"/>
  <c r="S30" i="4" s="1"/>
  <c r="R10" i="4"/>
  <c r="S10" i="4" s="1"/>
  <c r="R5" i="4"/>
  <c r="S5" i="4" s="1"/>
  <c r="L23" i="4"/>
  <c r="M23" i="4" s="1"/>
  <c r="P23" i="4" s="1"/>
  <c r="L30" i="4"/>
  <c r="M30" i="4" s="1"/>
  <c r="P30" i="4" s="1"/>
  <c r="L16" i="4"/>
  <c r="M16" i="4" s="1"/>
  <c r="P16" i="4" s="1"/>
  <c r="L6" i="4"/>
  <c r="M6" i="4" s="1"/>
  <c r="P6" i="4" s="1"/>
  <c r="L31" i="4"/>
  <c r="M31" i="4" s="1"/>
  <c r="P31" i="4" s="1"/>
  <c r="L4" i="4"/>
  <c r="M4" i="4" s="1"/>
  <c r="P4" i="4" s="1"/>
  <c r="L25" i="4"/>
  <c r="M25" i="4" s="1"/>
  <c r="P25" i="4" s="1"/>
  <c r="L11" i="4"/>
  <c r="M11" i="4" s="1"/>
  <c r="P11" i="4" s="1"/>
  <c r="L18" i="4"/>
  <c r="M18" i="4" s="1"/>
  <c r="P18" i="4" s="1"/>
  <c r="L14" i="4"/>
  <c r="M14" i="4" s="1"/>
  <c r="P14" i="4" s="1"/>
  <c r="L3" i="4"/>
  <c r="M3" i="4" s="1"/>
  <c r="P3" i="4" s="1"/>
  <c r="L32" i="4"/>
  <c r="M32" i="4" s="1"/>
  <c r="P32" i="4" s="1"/>
  <c r="L26" i="4"/>
  <c r="M26" i="4" s="1"/>
  <c r="P26" i="4" s="1"/>
  <c r="L20" i="4"/>
  <c r="M20" i="4" s="1"/>
  <c r="P20" i="4" s="1"/>
  <c r="L22" i="4"/>
  <c r="M22" i="4" s="1"/>
  <c r="P22" i="4" s="1"/>
  <c r="L15" i="4"/>
  <c r="M15" i="4" s="1"/>
  <c r="P15" i="4" s="1"/>
  <c r="L27" i="4"/>
  <c r="M27" i="4" s="1"/>
  <c r="P27" i="4" s="1"/>
  <c r="L13" i="4"/>
  <c r="M13" i="4" s="1"/>
  <c r="P13" i="4" s="1"/>
  <c r="L21" i="4"/>
  <c r="M21" i="4" s="1"/>
  <c r="P21" i="4" s="1"/>
  <c r="L9" i="4"/>
  <c r="M9" i="4" s="1"/>
  <c r="P9" i="4" s="1"/>
  <c r="L17" i="4"/>
  <c r="M17" i="4" s="1"/>
  <c r="P17" i="4" s="1"/>
  <c r="L24" i="4"/>
  <c r="M24" i="4" s="1"/>
  <c r="P24" i="4" s="1"/>
  <c r="L19" i="4"/>
  <c r="M19" i="4" s="1"/>
  <c r="P19" i="4" s="1"/>
  <c r="L5" i="4"/>
  <c r="M5" i="4" s="1"/>
  <c r="P5" i="4" s="1"/>
  <c r="L33" i="4"/>
  <c r="M33" i="4" s="1"/>
  <c r="P33" i="4" s="1"/>
  <c r="L7" i="4"/>
  <c r="M7" i="4" s="1"/>
  <c r="P7" i="4" s="1"/>
  <c r="L10" i="4"/>
  <c r="M10" i="4" s="1"/>
  <c r="P10" i="4" s="1"/>
  <c r="L28" i="4"/>
  <c r="M28" i="4" s="1"/>
  <c r="P28" i="4" s="1"/>
  <c r="L8" i="4"/>
  <c r="M8" i="4" s="1"/>
  <c r="P8" i="4" s="1"/>
  <c r="L29" i="4"/>
  <c r="M29" i="4" s="1"/>
  <c r="P29" i="4" s="1"/>
  <c r="L12" i="4"/>
  <c r="M12" i="4" s="1"/>
  <c r="P12" i="4" s="1"/>
  <c r="H10" i="1"/>
  <c r="K10" i="1" s="1"/>
</calcChain>
</file>

<file path=xl/sharedStrings.xml><?xml version="1.0" encoding="utf-8"?>
<sst xmlns="http://schemas.openxmlformats.org/spreadsheetml/2006/main" count="285" uniqueCount="265">
  <si>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</si>
  <si>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</si>
  <si>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</si>
  <si>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</si>
  <si>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</si>
  <si>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</si>
  <si>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</si>
  <si>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</si>
  <si>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</si>
  <si>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</si>
  <si>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</si>
  <si>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</si>
  <si>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</si>
  <si>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</si>
  <si>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</si>
  <si>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</si>
  <si>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</si>
  <si>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</si>
  <si>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</si>
  <si>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</si>
  <si>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</si>
  <si>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</si>
  <si>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</si>
  <si>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</si>
  <si>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</si>
  <si>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</si>
  <si>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</si>
  <si>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</si>
  <si>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</si>
  <si>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</si>
  <si>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</si>
  <si>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</si>
  <si>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</si>
  <si>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</si>
  <si>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</si>
  <si>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</si>
  <si>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</si>
  <si>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</si>
  <si>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</si>
  <si>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</si>
  <si>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</si>
  <si>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</si>
  <si>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</si>
  <si>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</si>
  <si>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</si>
  <si>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</si>
  <si>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</si>
  <si>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</si>
  <si>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</si>
  <si>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</si>
  <si>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</si>
  <si>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</si>
  <si>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</si>
  <si>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</si>
  <si>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</si>
  <si>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</si>
  <si>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</si>
  <si>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</si>
  <si>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</si>
  <si>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</si>
  <si>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</si>
  <si>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</si>
  <si>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</si>
  <si>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</si>
  <si>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</si>
  <si>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</si>
  <si>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</si>
  <si>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</si>
  <si>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</si>
  <si>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</si>
  <si>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</si>
  <si>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</si>
  <si>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</si>
  <si>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</si>
  <si>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</si>
  <si>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</si>
  <si>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</si>
  <si>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</si>
  <si>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</si>
  <si>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</si>
  <si>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</si>
  <si>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</si>
  <si>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</si>
  <si>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</si>
  <si>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</si>
  <si>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</si>
  <si>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</si>
  <si>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</si>
  <si>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</si>
  <si>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</si>
  <si>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</si>
  <si>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</si>
  <si>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</si>
  <si>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</si>
  <si>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</si>
  <si>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</si>
  <si>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</si>
  <si>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</si>
  <si>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</si>
  <si>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</si>
  <si>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</si>
  <si>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</si>
  <si>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</si>
  <si>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</si>
  <si>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</si>
  <si>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</si>
  <si>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</si>
  <si>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</si>
  <si>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</si>
  <si>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</si>
  <si>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</si>
  <si>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</si>
  <si>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</si>
  <si>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</si>
  <si>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</si>
  <si>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</si>
  <si>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</si>
  <si>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</si>
  <si>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</si>
  <si>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</si>
  <si>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</si>
  <si>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</si>
  <si>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</si>
  <si>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</si>
  <si>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</si>
  <si>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</si>
  <si>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</si>
  <si>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</si>
  <si>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</si>
  <si>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</si>
  <si>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</si>
  <si>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</si>
  <si>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</si>
  <si>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</si>
  <si>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</si>
  <si>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</si>
  <si>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</si>
  <si>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</si>
  <si>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</si>
  <si>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</si>
  <si>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</si>
  <si>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</si>
  <si>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</si>
  <si>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</si>
  <si>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</si>
  <si>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</si>
  <si>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</si>
  <si>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</si>
  <si>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</si>
  <si>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</si>
  <si>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</si>
  <si>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</si>
  <si>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</si>
  <si>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</si>
  <si>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</si>
  <si>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</si>
  <si>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</si>
  <si>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</si>
  <si>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</si>
  <si>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</si>
  <si>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</si>
  <si>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</si>
  <si>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</si>
  <si>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</si>
  <si>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</si>
  <si>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</si>
  <si>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</si>
  <si>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</si>
  <si>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</si>
  <si>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</si>
  <si>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</si>
  <si>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</si>
  <si>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</si>
  <si>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</si>
  <si>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</si>
  <si>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</si>
  <si>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</si>
  <si>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</si>
  <si>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</si>
  <si>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</si>
  <si>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</si>
  <si>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</si>
  <si>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</si>
  <si>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</si>
  <si>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</si>
  <si>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</si>
  <si>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</si>
  <si>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</si>
  <si>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</si>
  <si>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</si>
  <si>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</si>
  <si>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</si>
  <si>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</si>
  <si>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除权处理</t>
  </si>
  <si>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</si>
  <si>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</si>
  <si>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</si>
  <si>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</si>
  <si>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</si>
  <si>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</si>
  <si>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</si>
  <si>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</si>
  <si>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</si>
  <si>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</si>
  <si>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</si>
  <si>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</si>
  <si>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</si>
  <si>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</si>
  <si>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</si>
  <si>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</si>
  <si>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自动处理除权数据</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</si>
  <si>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</si>
  <si>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</si>
  <si>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</si>
  <si>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</si>
  <si>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</si>
  <si>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</si>
  <si>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</si>
  <si>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</si>
  <si>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</si>
  <si>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</si>
  <si>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</si>
  <si>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</si>
  <si>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</si>
  <si>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若某转债的前一日正股发生除权或转股价下调，则需手动修改实时溢价率中的该转债的转股价。</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</si>
  <si>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</si>
  <si>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</si>
  <si>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</si>
  <si>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</si>
  <si>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</si>
  <si>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</si>
  <si>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</si>
  <si>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</si>
  <si>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</si>
  <si>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</si>
  <si>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</si>
  <si>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</si>
  <si>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</si>
  <si>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</si>
  <si>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</si>
  <si>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</si>
  <si>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</si>
  <si>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</si>
  <si>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</si>
  <si>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</si>
  <si>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</si>
  <si>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</si>
  <si>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</si>
  <si>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</si>
  <si>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</si>
  <si>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</si>
  <si>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</si>
  <si>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</si>
  <si>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</si>
  <si>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</si>
  <si>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</si>
  <si>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ver1.2</t>
  </si>
  <si>
    <t>D:/R/055ConvertableBond/convbond.csv</t>
    <phoneticPr fontId="1" type="noConversion"/>
  </si>
  <si>
    <t>当前版本</t>
    <phoneticPr fontId="1" type="noConversion"/>
  </si>
  <si>
    <t>v1.3 todo</t>
    <phoneticPr fontId="1" type="noConversion"/>
  </si>
  <si>
    <t>v1.2</t>
    <phoneticPr fontId="1" type="noConversion"/>
  </si>
  <si>
    <t>定价工具版本更新提示。基础数据使用远程更新。</t>
    <phoneticPr fontId="1" type="noConversion"/>
  </si>
  <si>
    <t>本地调试</t>
    <phoneticPr fontId="1" type="noConversion"/>
  </si>
  <si>
    <t>ver1.2</t>
    <phoneticPr fontId="1" type="noConversion"/>
  </si>
  <si>
    <t>历史数据文件需要每周更新，点击[更新数据]按钮。需要启用VBA宏和Wind插件。</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</si>
</sst>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48">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92.63</v>
        <stp/>
        <stp>132007.SH</stp>
        <stp>LastPrice</stp>
        <stp>RT_Price</stp>
        <tr r="C28" s="4"/>
      </tp>
      <tp>
        <v>0</v>
        <stp/>
        <stp>128016.SZ</stp>
        <stp>LastPrice</stp>
        <stp>RT_Price</stp>
        <tr r="C12" s="6"/>
      </tp>
      <tp>
        <v>101.8</v>
        <stp/>
        <stp>132006.SH</stp>
        <stp>LastPrice</stp>
        <stp>RT_Price</stp>
        <tr r="C27" s="4"/>
      </tp>
      <tp>
        <v>6.0600000000000005</v>
        <stp/>
        <stp>002325.SZ</stp>
        <stp>LastPrice</stp>
        <stp>RT_Price</stp>
        <tr r="G19" s="4"/>
      </tp>
      <tp>
        <v>8.77</v>
        <stp/>
        <stp>002245.SZ</stp>
        <stp>LastPrice</stp>
        <stp>RT_Price</stp>
        <tr r="G17" s="4"/>
      </tp>
      <tp>
        <v>6.07</v>
        <stp/>
        <stp>600185.SH</stp>
        <stp>LastPrice</stp>
        <stp>RT_Price</stp>
        <tr r="G2" s="4"/>
      </tp>
      <tp>
        <v>126.82000000000001</v>
        <stp/>
        <stp>110034.SH</stp>
        <stp>LastPrice</stp>
        <stp>RT_Price</stp>
        <tr r="C6" s="4"/>
      </tp>
      <tp>
        <v>36.340000000000003</v>
        <stp/>
        <stp>600535.SH</stp>
        <stp>LastPrice</stp>
        <stp>RT_Price</stp>
        <tr r="G23" s="4"/>
      </tp>
      <tp>
        <v>10.65</v>
        <stp/>
        <stp>600755.SH</stp>
        <stp>LastPrice</stp>
        <stp>RT_Price</stp>
        <tr r="G5" s="4"/>
      </tp>
      <tp>
        <v>124.5</v>
        <stp/>
        <stp>132005.SH</stp>
        <stp>LastPrice</stp>
        <stp>RT_Price</stp>
        <tr r="C26" s="4"/>
      </tp>
      <tp>
        <v>5.55</v>
        <stp/>
        <stp>002496.SZ</stp>
        <stp>LastPrice</stp>
        <stp>RT_Price</stp>
        <tr r="G18" s="4"/>
      </tp>
      <tp>
        <v>59.95</v>
        <stp/>
        <stp>601336.SH</stp>
        <stp>LastPrice</stp>
        <stp>RT_Price</stp>
        <tr r="G22" s="4"/>
      </tp>
      <tp>
        <v>107.59400000000001</v>
        <stp/>
        <stp>127004.SZ</stp>
        <stp>LastPrice</stp>
        <stp>RT_Price</stp>
        <tr r="C16" s="4"/>
      </tp>
      <tp>
        <v>113.98</v>
        <stp/>
        <stp>128014.SZ</stp>
        <stp>LastPrice</stp>
        <stp>RT_Price</stp>
        <tr r="C20" s="4"/>
      </tp>
      <tp>
        <v>92.88</v>
        <stp/>
        <stp>132004.SH</stp>
        <stp>LastPrice</stp>
        <stp>RT_Price</stp>
        <tr r="C25" s="4"/>
      </tp>
      <tp>
        <v>8.14</v>
        <stp/>
        <stp>601727.SH</stp>
        <stp>LastPrice</stp>
        <stp>RT_Price</stp>
        <tr r="G7" s="4"/>
      </tp>
      <tp>
        <v>8.27</v>
        <stp/>
        <stp>601857.SH</stp>
        <stp>LastPrice</stp>
        <stp>RT_Price</stp>
        <tr r="G30" s="4"/>
      </tp>
      <tp>
        <v>114.10000000000001</v>
        <stp/>
        <stp>128015.SZ</stp>
        <stp>LastPrice</stp>
        <stp>RT_Price</stp>
        <tr r="C21" s="4"/>
      </tp>
      <tp>
        <v>102.25</v>
        <stp/>
        <stp>132003.SH</stp>
        <stp>LastPrice</stp>
        <stp>RT_Price</stp>
        <tr r="C24" s="4"/>
      </tp>
      <tp>
        <v>111.39</v>
        <stp/>
        <stp>113011.SH</stp>
        <stp>LastPrice</stp>
        <stp>RT_Price</stp>
        <tr r="C10" s="4"/>
      </tp>
      <tp>
        <v>11.82</v>
        <stp/>
        <stp>600160.SH</stp>
        <stp>LastPrice</stp>
        <stp>RT_Price</stp>
        <tr r="G33" s="4"/>
      </tp>
      <tp>
        <v>3.72</v>
        <stp/>
        <stp>600170.SH</stp>
        <stp>LastPrice</stp>
        <stp>RT_Price</stp>
        <tr r="G25" s="4"/>
      </tp>
      <tp>
        <v>104.8</v>
        <stp/>
        <stp>110031.SH</stp>
        <stp>LastPrice</stp>
        <stp>RT_Price</stp>
        <tr r="C3" s="4"/>
      </tp>
      <tp>
        <v>5.95</v>
        <stp/>
        <stp>600350.SH</stp>
        <stp>LastPrice</stp>
        <stp>RT_Price</stp>
        <tr r="G29" s="4"/>
      </tp>
      <tp>
        <v>6.83</v>
        <stp/>
        <stp>000700.SZ</stp>
        <stp>LastPrice</stp>
        <stp>RT_Price</stp>
        <tr r="G16" s="4"/>
      </tp>
      <tp>
        <v>104.8</v>
        <stp/>
        <stp>128012.SZ</stp>
        <stp>LastPrice</stp>
        <stp>RT_Price</stp>
        <tr r="C18" s="4"/>
      </tp>
      <tp>
        <v>103.7</v>
        <stp/>
        <stp>132012.SH</stp>
        <stp>LastPrice</stp>
        <stp>RT_Price</stp>
        <tr r="C33" s="4"/>
      </tp>
      <tp>
        <v>103.71000000000001</v>
        <stp/>
        <stp>132002.SH</stp>
        <stp>LastPrice</stp>
        <stp>RT_Price</stp>
        <tr r="C23" s="4"/>
      </tp>
      <tp>
        <v>40.5</v>
        <stp/>
        <stp>002271.SZ</stp>
        <stp>LastPrice</stp>
        <stp>RT_Price</stp>
        <tr r="C8" s="6"/>
      </tp>
      <tp>
        <v>105.89</v>
        <stp/>
        <stp>113010.SH</stp>
        <stp>LastPrice</stp>
        <stp>RT_Price</stp>
        <tr r="C9" s="4"/>
      </tp>
      <tp>
        <v>111.32000000000001</v>
        <stp/>
        <stp>110030.SH</stp>
        <stp>LastPrice</stp>
        <stp>RT_Price</stp>
        <tr r="C2" s="4"/>
      </tp>
      <tp>
        <v>7.8100000000000005</v>
        <stp/>
        <stp>600031.SH</stp>
        <stp>LastPrice</stp>
        <stp>RT_Price</stp>
        <tr r="G4" s="4"/>
      </tp>
      <tp>
        <v>18.57</v>
        <stp/>
        <stp>600271.SH</stp>
        <stp>LastPrice</stp>
        <stp>RT_Price</stp>
        <tr r="G3" s="4"/>
      </tp>
      <tp>
        <v>3.65</v>
        <stp/>
        <stp>000861.SZ</stp>
        <stp>LastPrice</stp>
        <stp>RT_Price</stp>
        <tr r="G15" s="4"/>
      </tp>
      <tp>
        <v>14.66</v>
        <stp/>
        <stp>601311.SH</stp>
        <stp>LastPrice</stp>
        <stp>RT_Price</stp>
        <tr r="G11" s="4"/>
      </tp>
      <tp>
        <v>21.19</v>
        <stp/>
        <stp>601211.SH</stp>
        <stp>LastPrice</stp>
        <stp>RT_Price</stp>
        <tr r="G12" s="4"/>
      </tp>
      <tp>
        <v>39.89</v>
        <stp/>
        <stp>601601.SH</stp>
        <stp>LastPrice</stp>
        <stp>RT_Price</stp>
        <tr r="G26" s="4"/>
      </tp>
      <tp>
        <v>12.1</v>
        <stp/>
        <stp>601801.SH</stp>
        <stp>LastPrice</stp>
        <stp>RT_Price</stp>
        <tr r="G27" s="4"/>
      </tp>
      <tp>
        <v>101.39</v>
        <stp/>
        <stp>127003.SZ</stp>
        <stp>LastPrice</stp>
        <stp>RT_Price</stp>
        <tr r="C15" s="4"/>
      </tp>
      <tp>
        <v>101.53</v>
        <stp/>
        <stp>128013.SZ</stp>
        <stp>LastPrice</stp>
        <stp>RT_Price</stp>
        <tr r="C19" s="4"/>
      </tp>
      <tp>
        <v>92.78</v>
        <stp/>
        <stp>132011.SH</stp>
        <stp>LastPrice</stp>
        <stp>RT_Price</stp>
        <tr r="C32" s="4"/>
      </tp>
      <tp>
        <v>140.62</v>
        <stp/>
        <stp>132001.SH</stp>
        <stp>LastPrice</stp>
        <stp>RT_Price</stp>
        <tr r="C22" s="4"/>
      </tp>
      <tp>
        <v>123.27</v>
        <stp/>
        <stp>113013.SH</stp>
        <stp>LastPrice</stp>
        <stp>RT_Price</stp>
        <tr r="C12" s="4"/>
      </tp>
      <tp>
        <v>126.18</v>
        <stp/>
        <stp>110033.SH</stp>
        <stp>LastPrice</stp>
        <stp>RT_Price</stp>
        <tr r="C5" s="4"/>
      </tp>
      <tp>
        <v>115.02</v>
        <stp/>
        <stp>128010.SZ</stp>
        <stp>LastPrice</stp>
        <stp>RT_Price</stp>
        <tr r="C17" s="4"/>
      </tp>
      <tp>
        <v>114.5</v>
        <stp/>
        <stp>132010.SH</stp>
        <stp>LastPrice</stp>
        <stp>RT_Price</stp>
        <tr r="C31" s="4"/>
      </tp>
      <tp>
        <v>20.48</v>
        <stp/>
        <stp>002753.SZ</stp>
        <stp>LastPrice</stp>
        <stp>RT_Price</stp>
        <tr r="G20" s="4"/>
      </tp>
      <tp>
        <v>16.8</v>
        <stp/>
        <stp>002603.SZ</stp>
        <stp>LastPrice</stp>
        <stp>RT_Price</stp>
        <tr r="G13" s="4"/>
      </tp>
      <tp>
        <v>111.28</v>
        <stp/>
        <stp>113012.SH</stp>
        <stp>LastPrice</stp>
        <stp>RT_Price</stp>
        <tr r="C11" s="4"/>
      </tp>
      <tp>
        <v>104.274</v>
        <stp/>
        <stp>123001.SZ</stp>
        <stp>LastPrice</stp>
        <stp>RT_Price</stp>
        <tr r="C14" s="4"/>
      </tp>
      <tp>
        <v>118.55</v>
        <stp/>
        <stp>110032.SH</stp>
        <stp>LastPrice</stp>
        <stp>RT_Price</stp>
        <tr r="C4" s="4"/>
      </tp>
      <tp>
        <v>108</v>
        <stp/>
        <stp>120001.SZ</stp>
        <stp>LastPrice</stp>
        <stp>RT_Price</stp>
        <tr r="C13" s="4"/>
      </tp>
      <tp>
        <v>16.88</v>
        <stp/>
        <stp>600633.SH</stp>
        <stp>LastPrice</stp>
        <stp>RT_Price</stp>
        <tr r="G32" s="4"/>
      </tp>
      <tp>
        <v>15.97</v>
        <stp/>
        <stp>601233.SH</stp>
        <stp>LastPrice</stp>
        <stp>RT_Price</stp>
        <tr r="G31" s="4"/>
      </tp>
      <tp>
        <v>132</v>
        <stp/>
        <stp>113009.SH</stp>
        <stp>LastPrice</stp>
        <stp>RT_Price</stp>
        <tr r="C8" s="4"/>
      </tp>
      <tp>
        <v>7.18</v>
        <stp/>
        <stp>300058.SZ</stp>
        <stp>LastPrice</stp>
        <stp>RT_Price</stp>
        <tr r="G14" s="4"/>
      </tp>
      <tp>
        <v>21.8</v>
        <stp/>
        <stp>600998.SH</stp>
        <stp>LastPrice</stp>
        <stp>RT_Price</stp>
        <tr r="G6" s="4"/>
      </tp>
      <tp>
        <v>27.89</v>
        <stp/>
        <stp>601238.SH</stp>
        <stp>LastPrice</stp>
        <stp>RT_Price</stp>
        <tr r="G8" s="4"/>
      </tp>
      <tp>
        <v>9.14</v>
        <stp/>
        <stp>601928.SH</stp>
        <stp>LastPrice</stp>
        <stp>RT_Price</stp>
        <tr r="G28" s="4"/>
      </tp>
      <tp>
        <v>4.1399999999999997</v>
        <stp/>
        <stp>601818.SH</stp>
        <stp>LastPrice</stp>
        <stp>RT_Price</stp>
        <tr r="G10" s="4"/>
      </tp>
      <tp>
        <v>12.43</v>
        <stp/>
        <stp>002279.SZ</stp>
        <stp>LastPrice</stp>
        <stp>RT_Price</stp>
        <tr r="G21" s="4"/>
      </tp>
      <tp>
        <v>107.36</v>
        <stp/>
        <stp>113008.SH</stp>
        <stp>LastPrice</stp>
        <stp>RT_Price</stp>
        <tr r="C7" s="4"/>
      </tp>
      <tp>
        <v>11.03</v>
        <stp/>
        <stp>600109.SH</stp>
        <stp>LastPrice</stp>
        <stp>RT_Price</stp>
        <tr r="G24" s="4"/>
      </tp>
      <tp>
        <v>6.37</v>
        <stp/>
        <stp>601199.SH</stp>
        <stp>LastPrice</stp>
        <stp>RT_Price</stp>
        <tr r="G9" s="4"/>
      </tp>
      <tp>
        <v>102.2</v>
        <stp/>
        <stp>132009.SH</stp>
        <stp>LastPrice</stp>
        <stp>RT_Price</stp>
        <tr r="C30" s="4"/>
      </tp>
      <tp>
        <v>95.45</v>
        <stp/>
        <stp>132008.SH</stp>
        <stp>LastPrice</stp>
        <stp>RT_Price</stp>
        <tr r="C29"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3"/>
  <sheetViews>
    <sheetView tabSelected="1" workbookViewId="0">
      <selection activeCell="D9" sqref="D9"/>
    </sheetView>
  </sheetViews>
  <sheetFormatPr defaultRowHeight="13.5"/>
  <cols>
    <col min="1" max="1" width="2.875" customWidth="1"/>
    <col min="2" max="2" width="12.625" customWidth="1"/>
    <col min="3" max="3" width="14.625" bestFit="1" customWidth="1"/>
    <col min="4" max="4" width="74.25" customWidth="1"/>
  </cols>
  <sheetData>
    <row r="2" spans="2:4" ht="42" customHeight="1">
      <c r="B2" s="42" t="s">
        <v>196</v>
      </c>
      <c r="C2" s="42"/>
      <c r="D2" s="42"/>
    </row>
    <row r="3" spans="2:4" ht="30" hidden="1" customHeight="1">
      <c r="B3" s="34" t="s">
        <v>262</v>
      </c>
      <c r="C3" s="34"/>
      <c r="D3" s="39" t="s">
        <v>257</v>
      </c>
    </row>
    <row r="4" spans="2:4" ht="30" customHeight="1">
      <c r="B4" s="32" t="s">
        <v>189</v>
      </c>
      <c r="C4" s="13">
        <f>Data!A2</f>
        <v>43026</v>
      </c>
      <c r="D4" s="40"/>
    </row>
    <row r="5" spans="2:4" ht="30" customHeight="1">
      <c r="B5" s="37" t="s">
        <v>258</v>
      </c>
      <c r="C5" s="36" t="s">
        <v>263</v>
      </c>
      <c r="D5" s="38" t="str">
        <f>IF(C5=Data!A1,"已更新至最新版","点此下载：最新版本 "&amp;Data!A1&amp;"")</f>
        <v>已更新至最新版</v>
      </c>
    </row>
    <row r="6" spans="2:4" ht="30" customHeight="1">
      <c r="B6" s="43" t="s">
        <v>185</v>
      </c>
      <c r="C6" s="10" t="s">
        <v>197</v>
      </c>
      <c r="D6" s="9" t="s">
        <v>264</v>
      </c>
    </row>
    <row r="7" spans="2:4" ht="30" customHeight="1">
      <c r="B7" s="44"/>
      <c r="C7" s="10" t="s">
        <v>193</v>
      </c>
      <c r="D7" s="9" t="s">
        <v>224</v>
      </c>
    </row>
    <row r="8" spans="2:4" ht="30" hidden="1" customHeight="1">
      <c r="B8" s="45"/>
      <c r="C8" s="10" t="s">
        <v>194</v>
      </c>
      <c r="D8" s="9" t="s">
        <v>195</v>
      </c>
    </row>
    <row r="9" spans="2:4" ht="30" customHeight="1">
      <c r="B9" s="41" t="s">
        <v>186</v>
      </c>
      <c r="C9" s="10" t="s">
        <v>177</v>
      </c>
      <c r="D9" s="9" t="s">
        <v>216</v>
      </c>
    </row>
    <row r="10" spans="2:4" ht="30" customHeight="1">
      <c r="B10" s="41"/>
      <c r="C10" s="10" t="s">
        <v>187</v>
      </c>
      <c r="D10" s="9" t="s">
        <v>217</v>
      </c>
    </row>
    <row r="11" spans="2:4" ht="30" customHeight="1">
      <c r="B11" s="41"/>
      <c r="C11" s="10" t="s">
        <v>188</v>
      </c>
      <c r="D11" s="9" t="s">
        <v>215</v>
      </c>
    </row>
    <row r="12" spans="2:4" ht="30" customHeight="1">
      <c r="B12" s="41"/>
      <c r="C12" s="16" t="s">
        <v>255</v>
      </c>
      <c r="D12" s="9" t="s">
        <v>254</v>
      </c>
    </row>
    <row r="13" spans="2:4" ht="30" hidden="1" customHeight="1">
      <c r="B13" s="41"/>
      <c r="C13" s="10" t="s">
        <v>198</v>
      </c>
      <c r="D13" s="9" t="s">
        <v>191</v>
      </c>
    </row>
    <row r="14" spans="2:4" ht="30" customHeight="1">
      <c r="B14" s="43" t="s">
        <v>200</v>
      </c>
      <c r="C14" s="10" t="s">
        <v>201</v>
      </c>
      <c r="D14" s="9" t="s">
        <v>202</v>
      </c>
    </row>
    <row r="15" spans="2:4" ht="30" customHeight="1">
      <c r="B15" s="44"/>
      <c r="C15" s="10" t="s">
        <v>203</v>
      </c>
      <c r="D15" s="9" t="s">
        <v>218</v>
      </c>
    </row>
    <row r="16" spans="2:4" ht="30" customHeight="1">
      <c r="B16" s="44"/>
      <c r="C16" s="12" t="s">
        <v>211</v>
      </c>
      <c r="D16" s="9" t="s">
        <v>212</v>
      </c>
    </row>
    <row r="17" spans="2:4" ht="30" customHeight="1">
      <c r="B17" s="44"/>
      <c r="C17" s="10" t="s">
        <v>204</v>
      </c>
      <c r="D17" s="9" t="s">
        <v>207</v>
      </c>
    </row>
    <row r="18" spans="2:4" ht="30" customHeight="1">
      <c r="B18" s="44"/>
      <c r="C18" s="10" t="s">
        <v>205</v>
      </c>
      <c r="D18" s="9" t="s">
        <v>206</v>
      </c>
    </row>
    <row r="19" spans="2:4" ht="30" customHeight="1">
      <c r="B19" s="45"/>
      <c r="C19" s="12" t="s">
        <v>213</v>
      </c>
      <c r="D19" s="9" t="s">
        <v>214</v>
      </c>
    </row>
    <row r="20" spans="2:4" ht="30" customHeight="1">
      <c r="B20" s="43" t="s">
        <v>209</v>
      </c>
      <c r="C20" s="11" t="s">
        <v>190</v>
      </c>
      <c r="D20" s="9" t="s">
        <v>192</v>
      </c>
    </row>
    <row r="21" spans="2:4" ht="30" customHeight="1">
      <c r="B21" s="44"/>
      <c r="C21" s="11" t="s">
        <v>208</v>
      </c>
      <c r="D21" s="9" t="s">
        <v>199</v>
      </c>
    </row>
    <row r="22" spans="2:4" ht="30" customHeight="1">
      <c r="B22" s="44"/>
      <c r="C22" s="33" t="s">
        <v>260</v>
      </c>
      <c r="D22" s="35" t="s">
        <v>261</v>
      </c>
    </row>
    <row r="23" spans="2:4" ht="30" customHeight="1">
      <c r="B23" s="45"/>
      <c r="C23" s="14" t="s">
        <v>259</v>
      </c>
      <c r="D23" s="15" t="s">
        <v>210</v>
      </c>
    </row>
  </sheetData>
  <mergeCells count="5">
    <mergeCell ref="B9:B13"/>
    <mergeCell ref="B2:D2"/>
    <mergeCell ref="B6:B8"/>
    <mergeCell ref="B20:B23"/>
    <mergeCell ref="B14:B19"/>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33"/>
  <sheetViews>
    <sheetView topLeftCell="B1" workbookViewId="0">
      <selection activeCell="H21" sqref="H21"/>
    </sheetView>
  </sheetViews>
  <sheetFormatPr defaultRowHeight="13.5"/>
  <cols>
    <col min="1" max="1" width="10.5" hidden="1" customWidth="1"/>
    <col min="5" max="5" width="10.5" hidden="1" customWidth="1"/>
    <col min="9" max="10" width="11" bestFit="1" customWidth="1"/>
    <col min="13" max="16" width="9" style="2"/>
    <col min="17" max="17" width="9" style="5"/>
    <col min="18" max="18" width="9" style="3"/>
  </cols>
  <sheetData>
    <row r="1" spans="1:19">
      <c r="A1" t="s">
        <v>151</v>
      </c>
      <c r="B1" t="s">
        <v>151</v>
      </c>
      <c r="C1" t="s">
        <v>167</v>
      </c>
      <c r="D1" t="s">
        <v>175</v>
      </c>
      <c r="E1" t="s">
        <v>153</v>
      </c>
      <c r="F1" t="s">
        <v>154</v>
      </c>
      <c r="G1" t="s">
        <v>168</v>
      </c>
      <c r="H1" t="s">
        <v>170</v>
      </c>
      <c r="I1" t="s">
        <v>171</v>
      </c>
      <c r="J1" t="s">
        <v>172</v>
      </c>
      <c r="K1" t="s">
        <v>169</v>
      </c>
      <c r="L1" t="s">
        <v>176</v>
      </c>
      <c r="M1" s="2" t="s">
        <v>177</v>
      </c>
      <c r="N1" s="2" t="s">
        <v>178</v>
      </c>
      <c r="O1" s="2" t="s">
        <v>179</v>
      </c>
      <c r="P1" s="2" t="s">
        <v>180</v>
      </c>
      <c r="Q1" s="5" t="s">
        <v>181</v>
      </c>
      <c r="R1" s="4" t="s">
        <v>183</v>
      </c>
      <c r="S1" s="2" t="s">
        <v>184</v>
      </c>
    </row>
    <row r="2" spans="1:19">
      <c r="A2" t="str">
        <f>Data!B2</f>
        <v>110030.SH</v>
      </c>
      <c r="B2" t="str">
        <f>Data!C2</f>
        <v>格力转债</v>
      </c>
      <c r="C2" s="8">
        <f>RTD("wdf.rtq", ,A2, "LastPrice","RT_Price")</f>
        <v>111.32000000000001</v>
      </c>
      <c r="D2" s="8">
        <f>Data!L2</f>
        <v>98.3476</v>
      </c>
      <c r="E2" t="str">
        <f>Data!E2</f>
        <v>600185.SH</v>
      </c>
      <c r="F2" t="str">
        <f>Data!F2</f>
        <v>格力地产</v>
      </c>
      <c r="G2" s="7">
        <f>RTD("wdf.rtq", ,E2, "LastPrice","RT_Price")</f>
        <v>6.07</v>
      </c>
      <c r="H2" s="7">
        <f>Data!H2</f>
        <v>7.24</v>
      </c>
      <c r="I2" s="2">
        <f>Data!J2</f>
        <v>0.284429115774681</v>
      </c>
      <c r="J2" s="2">
        <f>I2</f>
        <v>0.284429115774681</v>
      </c>
      <c r="K2" s="6">
        <f>BlackScholes(G2,H2,0.015,Data!I2,0,J2,"C",0,0)*100/H2</f>
        <v>9.4292747841255338</v>
      </c>
      <c r="L2" s="6">
        <f>K2+D2</f>
        <v>107.77687478412554</v>
      </c>
      <c r="M2" s="2">
        <f>C2/L2-1</f>
        <v>3.2874633106324991E-2</v>
      </c>
      <c r="N2" s="2">
        <f>IF(Data!V2=0,"",Data!V2)</f>
        <v>3.0029168619381201E-2</v>
      </c>
      <c r="O2" s="2">
        <f>IF(Data!W2=0,"",Data!W2)</f>
        <v>5.3635758146216302E-2</v>
      </c>
      <c r="P2" s="2">
        <f>IFERROR(_xlfn.NORM.DIST(M2,N2,O2,TRUE),"")</f>
        <v>0.52115461527143747</v>
      </c>
      <c r="Q2" s="5">
        <f>BlackScholes(G2,H2,0.015,Data!I2,0,J2,"C",0,1)</f>
        <v>0.44800365863000219</v>
      </c>
      <c r="R2" s="3">
        <f>Q2*100/H2</f>
        <v>6.1878958374309692</v>
      </c>
      <c r="S2" t="str">
        <f>ROUND(10*C2,0)&amp;":"&amp;ROUND(G2*R2*10,0)</f>
        <v>1113:376</v>
      </c>
    </row>
    <row r="3" spans="1:19">
      <c r="A3" t="str">
        <f>Data!B3</f>
        <v>110031.SH</v>
      </c>
      <c r="B3" t="str">
        <f>Data!C3</f>
        <v>航信转债</v>
      </c>
      <c r="C3" s="8">
        <f>RTD("wdf.rtq", ,A3, "LastPrice","RT_Price")</f>
        <v>104.8</v>
      </c>
      <c r="D3" s="8">
        <f>Data!L3</f>
        <v>94.0017</v>
      </c>
      <c r="E3" t="str">
        <f>Data!E3</f>
        <v>600271.SH</v>
      </c>
      <c r="F3" t="str">
        <f>Data!F3</f>
        <v>航天信息</v>
      </c>
      <c r="G3" s="7">
        <f>RTD("wdf.rtq", ,E3, "LastPrice","RT_Price")</f>
        <v>18.57</v>
      </c>
      <c r="H3" s="7">
        <f>Data!H3</f>
        <v>42.8</v>
      </c>
      <c r="I3" s="2">
        <f>Data!J3</f>
        <v>0.25077886554650602</v>
      </c>
      <c r="J3" s="2">
        <f t="shared" ref="J3:J33" si="0">I3</f>
        <v>0.25077886554650602</v>
      </c>
      <c r="K3" s="6">
        <f>BlackScholes(G3,H3,0.015,Data!I3,0,J3,"C",0,0)*100/H3</f>
        <v>0.6544514677569343</v>
      </c>
      <c r="L3" s="6">
        <f t="shared" ref="L3:L33" si="1">K3+D3</f>
        <v>94.656151467756928</v>
      </c>
      <c r="M3" s="2">
        <f t="shared" ref="M3:M33" si="2">C3/L3-1</f>
        <v>0.10716523305617809</v>
      </c>
      <c r="N3" s="2">
        <f>IF(Data!V3=0,"",Data!V3)</f>
        <v>0.116685908898224</v>
      </c>
      <c r="O3" s="2">
        <f>IF(Data!W3=0,"",Data!W3)</f>
        <v>2.5952654338225901E-2</v>
      </c>
      <c r="P3" s="2">
        <f t="shared" ref="P3:P33" si="3">IFERROR(_xlfn.NORM.DIST(M3,N3,O3,TRUE),"")</f>
        <v>0.3568662508159347</v>
      </c>
      <c r="Q3" s="5">
        <f>BlackScholes(G3,H3,0.015,Data!I3,0,J3,"C",0,1)</f>
        <v>8.255254931254033E-2</v>
      </c>
      <c r="R3" s="3">
        <f t="shared" ref="R3:R33" si="4">Q3*100/H3</f>
        <v>0.192879788113412</v>
      </c>
      <c r="S3" t="str">
        <f t="shared" ref="S3:S33" si="5">ROUND(10*C3,0)&amp;":"&amp;ROUND(G3*R3*10,0)</f>
        <v>1048:36</v>
      </c>
    </row>
    <row r="4" spans="1:19">
      <c r="A4" t="str">
        <f>Data!B4</f>
        <v>110032.SH</v>
      </c>
      <c r="B4" t="str">
        <f>Data!C4</f>
        <v>三一转债</v>
      </c>
      <c r="C4" s="8">
        <f>RTD("wdf.rtq", ,A4, "LastPrice","RT_Price")</f>
        <v>118.55</v>
      </c>
      <c r="D4" s="8">
        <f>Data!L4</f>
        <v>91.255799999999994</v>
      </c>
      <c r="E4" t="str">
        <f>Data!E4</f>
        <v>600031.SH</v>
      </c>
      <c r="F4" t="str">
        <f>Data!F4</f>
        <v>三一重工</v>
      </c>
      <c r="G4" s="7">
        <f>RTD("wdf.rtq", ,E4, "LastPrice","RT_Price")</f>
        <v>7.8100000000000005</v>
      </c>
      <c r="H4" s="7">
        <f>Data!H4</f>
        <v>7.45</v>
      </c>
      <c r="I4" s="2">
        <f>Data!J4</f>
        <v>0.28899030694467198</v>
      </c>
      <c r="J4" s="2">
        <f t="shared" si="0"/>
        <v>0.28899030694467198</v>
      </c>
      <c r="K4" s="6">
        <f>BlackScholes(G4,H4,0.015,Data!I4,0,J4,"C",0,0)*100/H4</f>
        <v>29.051289968299773</v>
      </c>
      <c r="L4" s="6">
        <f t="shared" si="1"/>
        <v>120.30708996829976</v>
      </c>
      <c r="M4" s="2">
        <f t="shared" si="2"/>
        <v>-1.4605040889632881E-2</v>
      </c>
      <c r="N4" s="2">
        <f>IF(Data!V4=0,"",Data!V4)</f>
        <v>7.6995307502074999E-3</v>
      </c>
      <c r="O4" s="2">
        <f>IF(Data!W4=0,"",Data!W4)</f>
        <v>3.5827648023708698E-2</v>
      </c>
      <c r="P4" s="2">
        <f t="shared" si="3"/>
        <v>0.26678950219473185</v>
      </c>
      <c r="Q4" s="5">
        <f>BlackScholes(G4,H4,0.015,Data!I4,0,J4,"C",0,1)</f>
        <v>0.68539780210437451</v>
      </c>
      <c r="R4" s="3">
        <f t="shared" si="4"/>
        <v>9.1999704980452961</v>
      </c>
      <c r="S4" t="str">
        <f t="shared" si="5"/>
        <v>1186:719</v>
      </c>
    </row>
    <row r="5" spans="1:19">
      <c r="A5" t="str">
        <f>Data!B5</f>
        <v>110033.SH</v>
      </c>
      <c r="B5" t="str">
        <f>Data!C5</f>
        <v>国贸转债</v>
      </c>
      <c r="C5" s="8">
        <f>RTD("wdf.rtq", ,A5, "LastPrice","RT_Price")</f>
        <v>126.18</v>
      </c>
      <c r="D5" s="8">
        <f>Data!L5</f>
        <v>92.771699999999996</v>
      </c>
      <c r="E5" t="str">
        <f>Data!E5</f>
        <v>600755.SH</v>
      </c>
      <c r="F5" t="str">
        <f>Data!F5</f>
        <v>厦门国贸</v>
      </c>
      <c r="G5" s="7">
        <f>RTD("wdf.rtq", ,E5, "LastPrice","RT_Price")</f>
        <v>10.65</v>
      </c>
      <c r="H5" s="7">
        <f>Data!H5</f>
        <v>8.81</v>
      </c>
      <c r="I5" s="2">
        <f>Data!J5</f>
        <v>0.44085891792235998</v>
      </c>
      <c r="J5" s="2">
        <f t="shared" si="0"/>
        <v>0.44085891792235998</v>
      </c>
      <c r="K5" s="6">
        <f>BlackScholes(G5,H5,0.015,Data!I5,0,J5,"C",0,0)*100/H5</f>
        <v>52.366913592232734</v>
      </c>
      <c r="L5" s="6">
        <f t="shared" si="1"/>
        <v>145.13861359223273</v>
      </c>
      <c r="M5" s="2">
        <f t="shared" si="2"/>
        <v>-0.13062418830523626</v>
      </c>
      <c r="N5" s="2">
        <f>IF(Data!V5=0,"",Data!V5)</f>
        <v>-2.3472989492548099E-2</v>
      </c>
      <c r="O5" s="2">
        <f>IF(Data!W5=0,"",Data!W5)</f>
        <v>5.1960439142116503E-2</v>
      </c>
      <c r="P5" s="2">
        <f t="shared" si="3"/>
        <v>1.9595831828253085E-2</v>
      </c>
      <c r="Q5" s="5">
        <f>BlackScholes(G5,H5,0.015,Data!I5,0,J5,"C",0,1)</f>
        <v>0.76796256724958301</v>
      </c>
      <c r="R5" s="3">
        <f t="shared" si="4"/>
        <v>8.7169417394958337</v>
      </c>
      <c r="S5" t="str">
        <f t="shared" si="5"/>
        <v>1262:928</v>
      </c>
    </row>
    <row r="6" spans="1:19">
      <c r="A6" t="str">
        <f>Data!B6</f>
        <v>110034.SH</v>
      </c>
      <c r="B6" t="str">
        <f>Data!C6</f>
        <v>九州转债</v>
      </c>
      <c r="C6" s="8">
        <f>RTD("wdf.rtq", ,A6, "LastPrice","RT_Price")</f>
        <v>126.82000000000001</v>
      </c>
      <c r="D6" s="8">
        <f>Data!L6</f>
        <v>91.659499999999994</v>
      </c>
      <c r="E6" t="str">
        <f>Data!E6</f>
        <v>600998.SH</v>
      </c>
      <c r="F6" t="str">
        <f>Data!F6</f>
        <v>九州通</v>
      </c>
      <c r="G6" s="7">
        <f>RTD("wdf.rtq", ,E6, "LastPrice","RT_Price")</f>
        <v>21.8</v>
      </c>
      <c r="H6" s="7">
        <f>Data!H6</f>
        <v>18.649999999999999</v>
      </c>
      <c r="I6" s="2">
        <f>Data!J6</f>
        <v>0.201543529858044</v>
      </c>
      <c r="J6" s="2">
        <f t="shared" si="0"/>
        <v>0.201543529858044</v>
      </c>
      <c r="K6" s="6">
        <f>BlackScholes(G6,H6,0.015,Data!I6,0,J6,"C",0,0)*100/H6</f>
        <v>31.191228669730325</v>
      </c>
      <c r="L6" s="6">
        <f t="shared" si="1"/>
        <v>122.85072866973032</v>
      </c>
      <c r="M6" s="2">
        <f t="shared" si="2"/>
        <v>3.2309709297212219E-2</v>
      </c>
      <c r="N6" s="2">
        <f>IF(Data!V6=0,"",Data!V6)</f>
        <v>6.8725615392032603E-3</v>
      </c>
      <c r="O6" s="2">
        <f>IF(Data!W6=0,"",Data!W6)</f>
        <v>5.1535704920402603E-2</v>
      </c>
      <c r="P6" s="2">
        <f t="shared" si="3"/>
        <v>0.68919964483448859</v>
      </c>
      <c r="Q6" s="5">
        <f>BlackScholes(G6,H6,0.015,Data!I6,0,J6,"C",0,1)</f>
        <v>0.76937632653976085</v>
      </c>
      <c r="R6" s="3">
        <f t="shared" si="4"/>
        <v>4.1253422334571628</v>
      </c>
      <c r="S6" t="str">
        <f t="shared" si="5"/>
        <v>1268:899</v>
      </c>
    </row>
    <row r="7" spans="1:19">
      <c r="A7" t="str">
        <f>Data!B7</f>
        <v>113008.SH</v>
      </c>
      <c r="B7" t="str">
        <f>Data!C7</f>
        <v>电气转债</v>
      </c>
      <c r="C7" s="8">
        <f>RTD("wdf.rtq", ,A7, "LastPrice","RT_Price")</f>
        <v>107.36</v>
      </c>
      <c r="D7" s="8">
        <f>Data!L7</f>
        <v>95.264300000000006</v>
      </c>
      <c r="E7" t="str">
        <f>Data!E7</f>
        <v>601727.SH</v>
      </c>
      <c r="F7" t="str">
        <f>Data!F7</f>
        <v>上海电气</v>
      </c>
      <c r="G7" s="7">
        <f>RTD("wdf.rtq", ,E7, "LastPrice","RT_Price")</f>
        <v>8.14</v>
      </c>
      <c r="H7" s="7">
        <f>Data!H7</f>
        <v>10.65</v>
      </c>
      <c r="I7" s="2">
        <f>Data!J7</f>
        <v>0.33169120731693202</v>
      </c>
      <c r="J7" s="2">
        <f t="shared" si="0"/>
        <v>0.33169120731693202</v>
      </c>
      <c r="K7" s="6">
        <f>BlackScholes(G7,H7,0.015,Data!I7,0,J7,"C",0,0)*100/H7</f>
        <v>12.22230774493509</v>
      </c>
      <c r="L7" s="6">
        <f t="shared" si="1"/>
        <v>107.4866077449351</v>
      </c>
      <c r="M7" s="2">
        <f t="shared" si="2"/>
        <v>-1.1778932054078428E-3</v>
      </c>
      <c r="N7" s="2">
        <f>IF(Data!V7=0,"",Data!V7)</f>
        <v>-6.5511051463199896E-2</v>
      </c>
      <c r="O7" s="2">
        <f>IF(Data!W7=0,"",Data!W7)</f>
        <v>7.6596688303253002E-2</v>
      </c>
      <c r="P7" s="2">
        <f t="shared" si="3"/>
        <v>0.79951630614704527</v>
      </c>
      <c r="Q7" s="5">
        <f>BlackScholes(G7,H7,0.015,Data!I7,0,J7,"C",0,1)</f>
        <v>0.47487004980109709</v>
      </c>
      <c r="R7" s="3">
        <f t="shared" si="4"/>
        <v>4.4588737070525548</v>
      </c>
      <c r="S7" t="str">
        <f t="shared" si="5"/>
        <v>1074:363</v>
      </c>
    </row>
    <row r="8" spans="1:19">
      <c r="A8" t="str">
        <f>Data!B8</f>
        <v>113009.SH</v>
      </c>
      <c r="B8" t="str">
        <f>Data!C8</f>
        <v>广汽转债</v>
      </c>
      <c r="C8" s="8">
        <f>RTD("wdf.rtq", ,A8, "LastPrice","RT_Price")</f>
        <v>132</v>
      </c>
      <c r="D8" s="8">
        <f>Data!L8</f>
        <v>90.942599999999999</v>
      </c>
      <c r="E8" t="str">
        <f>Data!E8</f>
        <v>601238.SH</v>
      </c>
      <c r="F8" t="str">
        <f>Data!F8</f>
        <v>广汽集团</v>
      </c>
      <c r="G8" s="7">
        <f>RTD("wdf.rtq", ,E8, "LastPrice","RT_Price")</f>
        <v>27.89</v>
      </c>
      <c r="H8" s="7">
        <f>Data!H8</f>
        <v>21.43</v>
      </c>
      <c r="I8" s="2">
        <f>Data!J8</f>
        <v>0.220436805939738</v>
      </c>
      <c r="J8" s="2">
        <f t="shared" si="0"/>
        <v>0.220436805939738</v>
      </c>
      <c r="K8" s="6">
        <f>BlackScholes(G8,H8,0.015,Data!I8,0,J8,"C",0,0)*100/H8</f>
        <v>43.199493217887571</v>
      </c>
      <c r="L8" s="6">
        <f t="shared" si="1"/>
        <v>134.14209321788758</v>
      </c>
      <c r="M8" s="2">
        <f t="shared" si="2"/>
        <v>-1.5968836973552891E-2</v>
      </c>
      <c r="N8" s="2">
        <f>IF(Data!V8=0,"",Data!V8)</f>
        <v>-4.3556352995900598E-2</v>
      </c>
      <c r="O8" s="2">
        <f>IF(Data!W8=0,"",Data!W8)</f>
        <v>2.87933564288099E-2</v>
      </c>
      <c r="P8" s="2">
        <f t="shared" si="3"/>
        <v>0.83099909632099811</v>
      </c>
      <c r="Q8" s="5">
        <f>BlackScholes(G8,H8,0.015,Data!I8,0,J8,"C",0,1)</f>
        <v>0.82814728793769743</v>
      </c>
      <c r="R8" s="3">
        <f t="shared" si="4"/>
        <v>3.8644297150615841</v>
      </c>
      <c r="S8" t="str">
        <f t="shared" si="5"/>
        <v>1320:1078</v>
      </c>
    </row>
    <row r="9" spans="1:19">
      <c r="A9" t="str">
        <f>Data!B9</f>
        <v>113010.SH</v>
      </c>
      <c r="B9" t="str">
        <f>Data!C9</f>
        <v>江南转债</v>
      </c>
      <c r="C9" s="8">
        <f>RTD("wdf.rtq", ,A9, "LastPrice","RT_Price")</f>
        <v>105.89</v>
      </c>
      <c r="D9" s="8">
        <f>Data!L9</f>
        <v>92.169899999999998</v>
      </c>
      <c r="E9" t="str">
        <f>Data!E9</f>
        <v>601199.SH</v>
      </c>
      <c r="F9" t="str">
        <f>Data!F9</f>
        <v>江南水务</v>
      </c>
      <c r="G9" s="7">
        <f>RTD("wdf.rtq", ,E9, "LastPrice","RT_Price")</f>
        <v>6.37</v>
      </c>
      <c r="H9" s="7">
        <f>Data!H9</f>
        <v>9.3000000000000007</v>
      </c>
      <c r="I9" s="2">
        <f>Data!J9</f>
        <v>0.16788103064398199</v>
      </c>
      <c r="J9" s="2">
        <f t="shared" si="0"/>
        <v>0.16788103064398199</v>
      </c>
      <c r="K9" s="6">
        <f>BlackScholes(G9,H9,0.015,Data!I9,0,J9,"C",0,0)*100/H9</f>
        <v>2.8902080633175515</v>
      </c>
      <c r="L9" s="6">
        <f t="shared" si="1"/>
        <v>95.060108063317557</v>
      </c>
      <c r="M9" s="2">
        <f t="shared" si="2"/>
        <v>0.11392677914345395</v>
      </c>
      <c r="N9" s="2">
        <f>IF(Data!V9=0,"",Data!V9)</f>
        <v>4.7486894736324302E-2</v>
      </c>
      <c r="O9" s="2">
        <f>IF(Data!W9=0,"",Data!W9)</f>
        <v>4.4821017833495298E-2</v>
      </c>
      <c r="P9" s="2">
        <f t="shared" si="3"/>
        <v>0.93087476886822951</v>
      </c>
      <c r="Q9" s="5">
        <f>BlackScholes(G9,H9,0.015,Data!I9,0,J9,"C",0,1)</f>
        <v>0.23939188008245557</v>
      </c>
      <c r="R9" s="3">
        <f t="shared" si="4"/>
        <v>2.5741062374457586</v>
      </c>
      <c r="S9" t="str">
        <f t="shared" si="5"/>
        <v>1059:164</v>
      </c>
    </row>
    <row r="10" spans="1:19">
      <c r="A10" t="str">
        <f>Data!B10</f>
        <v>113011.SH</v>
      </c>
      <c r="B10" t="str">
        <f>Data!C10</f>
        <v>光大转债</v>
      </c>
      <c r="C10" s="8">
        <f>RTD("wdf.rtq", ,A10, "LastPrice","RT_Price")</f>
        <v>111.39</v>
      </c>
      <c r="D10" s="8">
        <f>Data!L10</f>
        <v>85.600300000000004</v>
      </c>
      <c r="E10" t="str">
        <f>Data!E10</f>
        <v>601818.SH</v>
      </c>
      <c r="F10" t="str">
        <f>Data!F10</f>
        <v>光大银行</v>
      </c>
      <c r="G10" s="7">
        <f>RTD("wdf.rtq", ,E10, "LastPrice","RT_Price")</f>
        <v>4.1399999999999997</v>
      </c>
      <c r="H10" s="7">
        <f>Data!H10</f>
        <v>4.26</v>
      </c>
      <c r="I10" s="2">
        <f>Data!J10</f>
        <v>0.13364217797431899</v>
      </c>
      <c r="J10" s="2">
        <f t="shared" si="0"/>
        <v>0.13364217797431899</v>
      </c>
      <c r="K10" s="6">
        <f>BlackScholes(G10,H10,0.015,Data!I10,0,J10,"C",0,0)*100/H10</f>
        <v>14.358209662045223</v>
      </c>
      <c r="L10" s="6">
        <f t="shared" si="1"/>
        <v>99.95850966204523</v>
      </c>
      <c r="M10" s="2">
        <f t="shared" si="2"/>
        <v>0.11436235270617856</v>
      </c>
      <c r="N10" s="2">
        <f>IF(Data!V10=0,"",Data!V10)</f>
        <v>9.3801465660168004E-2</v>
      </c>
      <c r="O10" s="2">
        <f>IF(Data!W10=0,"",Data!W10)</f>
        <v>3.5050017747320299E-2</v>
      </c>
      <c r="P10" s="2">
        <f t="shared" si="3"/>
        <v>0.72126904704280892</v>
      </c>
      <c r="Q10" s="5">
        <f>BlackScholes(G10,H10,0.015,Data!I10,0,J10,"C",0,1)</f>
        <v>0.6273262736937808</v>
      </c>
      <c r="R10" s="3">
        <f t="shared" si="4"/>
        <v>14.725968866051193</v>
      </c>
      <c r="S10" t="str">
        <f t="shared" si="5"/>
        <v>1114:610</v>
      </c>
    </row>
    <row r="11" spans="1:19">
      <c r="A11" t="str">
        <f>Data!B11</f>
        <v>113012.SH</v>
      </c>
      <c r="B11" t="str">
        <f>Data!C11</f>
        <v>骆驼转债</v>
      </c>
      <c r="C11" s="8">
        <f>RTD("wdf.rtq", ,A11, "LastPrice","RT_Price")</f>
        <v>111.28</v>
      </c>
      <c r="D11" s="8">
        <f>Data!L11</f>
        <v>85.206500000000005</v>
      </c>
      <c r="E11" t="str">
        <f>Data!E11</f>
        <v>601311.SH</v>
      </c>
      <c r="F11" t="str">
        <f>Data!F11</f>
        <v>骆驼股份</v>
      </c>
      <c r="G11" s="7">
        <f>RTD("wdf.rtq", ,E11, "LastPrice","RT_Price")</f>
        <v>14.66</v>
      </c>
      <c r="H11" s="7">
        <f>Data!H11</f>
        <v>16.72</v>
      </c>
      <c r="I11" s="2">
        <f>Data!J11</f>
        <v>0.265177771029459</v>
      </c>
      <c r="J11" s="2">
        <f t="shared" si="0"/>
        <v>0.265177771029459</v>
      </c>
      <c r="K11" s="6">
        <f>BlackScholes(G11,H11,0.015,Data!I11,0,J11,"C",0,0)*100/H11</f>
        <v>19.650417331541913</v>
      </c>
      <c r="L11" s="6">
        <f t="shared" si="1"/>
        <v>104.85691733154192</v>
      </c>
      <c r="M11" s="2">
        <f t="shared" si="2"/>
        <v>6.1255688531727914E-2</v>
      </c>
      <c r="N11" s="2">
        <f>IF(Data!V11=0,"",Data!V11)</f>
        <v>7.0521291137613407E-2</v>
      </c>
      <c r="O11" s="2">
        <f>IF(Data!W11=0,"",Data!W11)</f>
        <v>4.0192046033178698E-2</v>
      </c>
      <c r="P11" s="2">
        <f t="shared" si="3"/>
        <v>0.40883871847682385</v>
      </c>
      <c r="Q11" s="5">
        <f>BlackScholes(G11,H11,0.015,Data!I11,0,J11,"C",0,1)</f>
        <v>0.5902633335586891</v>
      </c>
      <c r="R11" s="3">
        <f t="shared" si="4"/>
        <v>3.530283095446705</v>
      </c>
      <c r="S11" t="str">
        <f t="shared" si="5"/>
        <v>1113:518</v>
      </c>
    </row>
    <row r="12" spans="1:19">
      <c r="A12" t="str">
        <f>Data!B12</f>
        <v>113013.SH</v>
      </c>
      <c r="B12" t="str">
        <f>Data!C12</f>
        <v>国君转债</v>
      </c>
      <c r="C12" s="8">
        <f>RTD("wdf.rtq", ,A12, "LastPrice","RT_Price")</f>
        <v>123.27</v>
      </c>
      <c r="D12" s="8">
        <f>Data!L12</f>
        <v>84.287099999999995</v>
      </c>
      <c r="E12" t="str">
        <f>Data!E12</f>
        <v>601211.SH</v>
      </c>
      <c r="F12" t="str">
        <f>Data!F12</f>
        <v>国泰君安</v>
      </c>
      <c r="G12" s="7">
        <f>RTD("wdf.rtq", ,E12, "LastPrice","RT_Price")</f>
        <v>21.19</v>
      </c>
      <c r="H12" s="7">
        <f>Data!H12</f>
        <v>20.2</v>
      </c>
      <c r="I12" s="2">
        <f>Data!J12</f>
        <v>0.20359256300734199</v>
      </c>
      <c r="J12" s="2">
        <f t="shared" si="0"/>
        <v>0.20359256300734199</v>
      </c>
      <c r="K12" s="6">
        <f>BlackScholes(G12,H12,0.015,Data!I12,0,J12,"C",0,0)*100/H12</f>
        <v>26.167386513235535</v>
      </c>
      <c r="L12" s="6">
        <f t="shared" si="1"/>
        <v>110.45448651323554</v>
      </c>
      <c r="M12" s="2">
        <f t="shared" si="2"/>
        <v>0.11602528689704972</v>
      </c>
      <c r="N12" s="2">
        <f>IF(Data!V12=0,"",Data!V12)</f>
        <v>0.14672166898387301</v>
      </c>
      <c r="O12" s="2">
        <f>IF(Data!W12=0,"",Data!W12)</f>
        <v>2.2189430827625499E-2</v>
      </c>
      <c r="P12" s="2">
        <f t="shared" si="3"/>
        <v>8.3274415887913109E-2</v>
      </c>
      <c r="Q12" s="5">
        <f>BlackScholes(G12,H12,0.015,Data!I12,0,J12,"C",0,1)</f>
        <v>0.69773517074271707</v>
      </c>
      <c r="R12" s="3">
        <f t="shared" si="4"/>
        <v>3.4541345086273125</v>
      </c>
      <c r="S12" t="str">
        <f t="shared" si="5"/>
        <v>1233:732</v>
      </c>
    </row>
    <row r="13" spans="1:19">
      <c r="A13" t="str">
        <f>Data!B13</f>
        <v>120001.SZ</v>
      </c>
      <c r="B13" t="str">
        <f>Data!C13</f>
        <v>16以岭EB</v>
      </c>
      <c r="C13" s="8">
        <f>RTD("wdf.rtq", ,A13, "LastPrice","RT_Price")</f>
        <v>108</v>
      </c>
      <c r="D13" s="8">
        <f>Data!L13</f>
        <v>94.617500000000007</v>
      </c>
      <c r="E13" t="str">
        <f>Data!E13</f>
        <v>002603.SZ</v>
      </c>
      <c r="F13" t="str">
        <f>Data!F13</f>
        <v>以岭药业</v>
      </c>
      <c r="G13" s="7">
        <f>RTD("wdf.rtq", ,E13, "LastPrice","RT_Price")</f>
        <v>16.8</v>
      </c>
      <c r="H13" s="7">
        <f>Data!H13</f>
        <v>17.8</v>
      </c>
      <c r="I13" s="2">
        <f>Data!J13</f>
        <v>0.17255343212949101</v>
      </c>
      <c r="J13" s="2">
        <f t="shared" si="0"/>
        <v>0.17255343212949101</v>
      </c>
      <c r="K13" s="6">
        <f>BlackScholes(G13,H13,0.015,Data!I13,0,J13,"C",0,0)*100/H13</f>
        <v>11.890004732336118</v>
      </c>
      <c r="L13" s="6">
        <f t="shared" si="1"/>
        <v>106.50750473233613</v>
      </c>
      <c r="M13" s="2">
        <f t="shared" si="2"/>
        <v>1.4013052614598953E-2</v>
      </c>
      <c r="N13" s="2">
        <f>IF(Data!V13=0,"",Data!V13)</f>
        <v>-9.2666528957197395E-4</v>
      </c>
      <c r="O13" s="2">
        <f>IF(Data!W13=0,"",Data!W13)</f>
        <v>2.0355456763887499E-2</v>
      </c>
      <c r="P13" s="2">
        <f t="shared" si="3"/>
        <v>0.76850785505258723</v>
      </c>
      <c r="Q13" s="5">
        <f>BlackScholes(G13,H13,0.015,Data!I13,0,J13,"C",0,1)</f>
        <v>0.55768185647062585</v>
      </c>
      <c r="R13" s="3">
        <f t="shared" si="4"/>
        <v>3.1330441374754261</v>
      </c>
      <c r="S13" t="str">
        <f t="shared" si="5"/>
        <v>1080:526</v>
      </c>
    </row>
    <row r="14" spans="1:19">
      <c r="A14" t="str">
        <f>Data!B14</f>
        <v>123001.SZ</v>
      </c>
      <c r="B14" t="str">
        <f>Data!C14</f>
        <v>蓝标转债</v>
      </c>
      <c r="C14" s="8">
        <f>RTD("wdf.rtq", ,A14, "LastPrice","RT_Price")</f>
        <v>104.274</v>
      </c>
      <c r="D14" s="8">
        <f>Data!L14</f>
        <v>93.471900000000005</v>
      </c>
      <c r="E14" t="str">
        <f>Data!E14</f>
        <v>300058.SZ</v>
      </c>
      <c r="F14" t="str">
        <f>Data!F14</f>
        <v>蓝色光标</v>
      </c>
      <c r="G14" s="7">
        <f>RTD("wdf.rtq", ,E14, "LastPrice","RT_Price")</f>
        <v>7.18</v>
      </c>
      <c r="H14" s="7">
        <f>Data!H14</f>
        <v>9.77</v>
      </c>
      <c r="I14" s="2">
        <f>Data!J14</f>
        <v>0.255682316520423</v>
      </c>
      <c r="J14" s="2">
        <f t="shared" si="0"/>
        <v>0.255682316520423</v>
      </c>
      <c r="K14" s="6">
        <f>BlackScholes(G14,H14,0.015,Data!I14,0,J14,"C",0,0)*100/H14</f>
        <v>8.8370620465118872</v>
      </c>
      <c r="L14" s="6">
        <f t="shared" si="1"/>
        <v>102.30896204651189</v>
      </c>
      <c r="M14" s="2">
        <f t="shared" si="2"/>
        <v>1.9206899514773168E-2</v>
      </c>
      <c r="N14" s="2">
        <f>IF(Data!V14=0,"",Data!V14)</f>
        <v>3.6695422534817099E-2</v>
      </c>
      <c r="O14" s="2">
        <f>IF(Data!W14=0,"",Data!W14)</f>
        <v>3.2430624561567603E-2</v>
      </c>
      <c r="P14" s="2">
        <f t="shared" si="3"/>
        <v>0.29485389823345437</v>
      </c>
      <c r="Q14" s="5">
        <f>BlackScholes(G14,H14,0.015,Data!I14,0,J14,"C",0,1)</f>
        <v>0.41722890554260589</v>
      </c>
      <c r="R14" s="3">
        <f t="shared" si="4"/>
        <v>4.2705108039161299</v>
      </c>
      <c r="S14" t="str">
        <f t="shared" si="5"/>
        <v>1043:307</v>
      </c>
    </row>
    <row r="15" spans="1:19">
      <c r="A15" t="str">
        <f>Data!B15</f>
        <v>127003.SZ</v>
      </c>
      <c r="B15" t="str">
        <f>Data!C15</f>
        <v>海印转债</v>
      </c>
      <c r="C15" s="8">
        <f>RTD("wdf.rtq", ,A15, "LastPrice","RT_Price")</f>
        <v>101.39</v>
      </c>
      <c r="D15" s="8">
        <f>Data!L15</f>
        <v>92.972499999999997</v>
      </c>
      <c r="E15" t="str">
        <f>Data!E15</f>
        <v>000861.SZ</v>
      </c>
      <c r="F15" t="str">
        <f>Data!F15</f>
        <v>海印股份</v>
      </c>
      <c r="G15" s="7">
        <f>RTD("wdf.rtq", ,E15, "LastPrice","RT_Price")</f>
        <v>3.65</v>
      </c>
      <c r="H15" s="7">
        <f>Data!H15</f>
        <v>5.25</v>
      </c>
      <c r="I15" s="2">
        <f>Data!J15</f>
        <v>0.20362530985815999</v>
      </c>
      <c r="J15" s="2">
        <f t="shared" si="0"/>
        <v>0.20362530985815999</v>
      </c>
      <c r="K15" s="6">
        <f>BlackScholes(G15,H15,0.015,Data!I15,0,J15,"C",0,0)*100/H15</f>
        <v>5.2400146313949492</v>
      </c>
      <c r="L15" s="6">
        <f t="shared" si="1"/>
        <v>98.212514631394953</v>
      </c>
      <c r="M15" s="2">
        <f t="shared" si="2"/>
        <v>3.2353161718041701E-2</v>
      </c>
      <c r="N15" s="2">
        <f>IF(Data!V15=0,"",Data!V15)</f>
        <v>1.1840375385435699E-2</v>
      </c>
      <c r="O15" s="2">
        <f>IF(Data!W15=0,"",Data!W15)</f>
        <v>3.6691274589206603E-2</v>
      </c>
      <c r="P15" s="2">
        <f t="shared" si="3"/>
        <v>0.71194112370174922</v>
      </c>
      <c r="Q15" s="5">
        <f>BlackScholes(G15,H15,0.015,Data!I15,0,J15,"C",0,1)</f>
        <v>0.32618138560330756</v>
      </c>
      <c r="R15" s="3">
        <f t="shared" si="4"/>
        <v>6.2129787733963342</v>
      </c>
      <c r="S15" t="str">
        <f t="shared" si="5"/>
        <v>1014:227</v>
      </c>
    </row>
    <row r="16" spans="1:19">
      <c r="A16" t="str">
        <f>Data!B16</f>
        <v>127004.SZ</v>
      </c>
      <c r="B16" t="str">
        <f>Data!C16</f>
        <v>模塑转债</v>
      </c>
      <c r="C16" s="8">
        <f>RTD("wdf.rtq", ,A16, "LastPrice","RT_Price")</f>
        <v>107.59400000000001</v>
      </c>
      <c r="D16" s="8">
        <f>Data!L16</f>
        <v>89.003200000000007</v>
      </c>
      <c r="E16" t="str">
        <f>Data!E16</f>
        <v>000700.SZ</v>
      </c>
      <c r="F16" t="str">
        <f>Data!F16</f>
        <v>模塑科技</v>
      </c>
      <c r="G16" s="7">
        <f>RTD("wdf.rtq", ,E16, "LastPrice","RT_Price")</f>
        <v>6.83</v>
      </c>
      <c r="H16" s="7">
        <f>Data!H16</f>
        <v>8</v>
      </c>
      <c r="I16" s="2">
        <f>Data!J16</f>
        <v>0.303221084120252</v>
      </c>
      <c r="J16" s="2">
        <f t="shared" si="0"/>
        <v>0.303221084120252</v>
      </c>
      <c r="K16" s="6">
        <f>BlackScholes(G16,H16,0.015,Data!I16,0,J16,"C",0,0)*100/H16</f>
        <v>21.753570541597593</v>
      </c>
      <c r="L16" s="6">
        <f t="shared" si="1"/>
        <v>110.7567705415976</v>
      </c>
      <c r="M16" s="2">
        <f t="shared" si="2"/>
        <v>-2.8556001823922261E-2</v>
      </c>
      <c r="N16" s="2">
        <f>IF(Data!V16=0,"",Data!V16)</f>
        <v>-1.97469399868869E-2</v>
      </c>
      <c r="O16" s="2">
        <f>IF(Data!W16=0,"",Data!W16)</f>
        <v>1.40857894709191E-2</v>
      </c>
      <c r="P16" s="2">
        <f t="shared" si="3"/>
        <v>0.26585872738944405</v>
      </c>
      <c r="Q16" s="5">
        <f>BlackScholes(G16,H16,0.015,Data!I16,0,J16,"C",0,1)</f>
        <v>0.60143812749155645</v>
      </c>
      <c r="R16" s="3">
        <f t="shared" si="4"/>
        <v>7.5179765936444554</v>
      </c>
      <c r="S16" t="str">
        <f t="shared" si="5"/>
        <v>1076:513</v>
      </c>
    </row>
    <row r="17" spans="1:19">
      <c r="A17" t="str">
        <f>Data!B17</f>
        <v>128010.SZ</v>
      </c>
      <c r="B17" t="str">
        <f>Data!C17</f>
        <v>顺昌转债</v>
      </c>
      <c r="C17" s="8">
        <f>RTD("wdf.rtq", ,A17, "LastPrice","RT_Price")</f>
        <v>115.02</v>
      </c>
      <c r="D17" s="8">
        <f>Data!L17</f>
        <v>92.955399999999997</v>
      </c>
      <c r="E17" t="str">
        <f>Data!E17</f>
        <v>002245.SZ</v>
      </c>
      <c r="F17" t="str">
        <f>Data!F17</f>
        <v>澳洋顺昌</v>
      </c>
      <c r="G17" s="7">
        <f>RTD("wdf.rtq", ,E17, "LastPrice","RT_Price")</f>
        <v>8.77</v>
      </c>
      <c r="H17" s="7">
        <f>Data!H17</f>
        <v>9.32</v>
      </c>
      <c r="I17" s="2">
        <f>Data!J17</f>
        <v>0.29773527666509503</v>
      </c>
      <c r="J17" s="2">
        <f t="shared" si="0"/>
        <v>0.29773527666509503</v>
      </c>
      <c r="K17" s="6">
        <f>BlackScholes(G17,H17,0.015,Data!I17,0,J17,"C",0,0)*100/H17</f>
        <v>22.841698256798651</v>
      </c>
      <c r="L17" s="6">
        <f t="shared" si="1"/>
        <v>115.79709825679865</v>
      </c>
      <c r="M17" s="2">
        <f t="shared" si="2"/>
        <v>-6.7108612262054557E-3</v>
      </c>
      <c r="N17" s="2">
        <f>IF(Data!V17=0,"",Data!V17)</f>
        <v>-4.35289438349728E-2</v>
      </c>
      <c r="O17" s="2">
        <f>IF(Data!W17=0,"",Data!W17)</f>
        <v>4.9100392790662299E-2</v>
      </c>
      <c r="P17" s="2">
        <f t="shared" si="3"/>
        <v>0.77332841339384484</v>
      </c>
      <c r="Q17" s="5">
        <f>BlackScholes(G17,H17,0.015,Data!I17,0,J17,"C",0,1)</f>
        <v>0.62273086354867868</v>
      </c>
      <c r="R17" s="3">
        <f t="shared" si="4"/>
        <v>6.6816616260587844</v>
      </c>
      <c r="S17" t="str">
        <f t="shared" si="5"/>
        <v>1150:586</v>
      </c>
    </row>
    <row r="18" spans="1:19">
      <c r="A18" t="str">
        <f>Data!B18</f>
        <v>128012.SZ</v>
      </c>
      <c r="B18" t="str">
        <f>Data!C18</f>
        <v>辉丰转债</v>
      </c>
      <c r="C18" s="8">
        <f>RTD("wdf.rtq", ,A18, "LastPrice","RT_Price")</f>
        <v>104.8</v>
      </c>
      <c r="D18" s="8">
        <f>Data!L18</f>
        <v>87.293700000000001</v>
      </c>
      <c r="E18" t="str">
        <f>Data!E18</f>
        <v>002496.SZ</v>
      </c>
      <c r="F18" t="str">
        <f>Data!F18</f>
        <v>辉丰股份</v>
      </c>
      <c r="G18" s="7">
        <f>RTD("wdf.rtq", ,E18, "LastPrice","RT_Price")</f>
        <v>5.55</v>
      </c>
      <c r="H18" s="7">
        <f>Data!H18</f>
        <v>7.74</v>
      </c>
      <c r="I18" s="2">
        <f>Data!J18</f>
        <v>0.27911768901622203</v>
      </c>
      <c r="J18" s="2">
        <f t="shared" si="0"/>
        <v>0.27911768901622203</v>
      </c>
      <c r="K18" s="6">
        <f>BlackScholes(G18,H18,0.015,Data!I18,0,J18,"C",0,0)*100/H18</f>
        <v>10.194148931304255</v>
      </c>
      <c r="L18" s="6">
        <f t="shared" si="1"/>
        <v>97.487848931304256</v>
      </c>
      <c r="M18" s="2">
        <f t="shared" si="2"/>
        <v>7.500576891227051E-2</v>
      </c>
      <c r="N18" s="2">
        <f>IF(Data!V18=0,"",Data!V18)</f>
        <v>0.120100883276474</v>
      </c>
      <c r="O18" s="2">
        <f>IF(Data!W18=0,"",Data!W18)</f>
        <v>4.0741269858093801E-2</v>
      </c>
      <c r="P18" s="2">
        <f t="shared" si="3"/>
        <v>0.1341759977658159</v>
      </c>
      <c r="Q18" s="5">
        <f>BlackScholes(G18,H18,0.015,Data!I18,0,J18,"C",0,1)</f>
        <v>0.44016351040406965</v>
      </c>
      <c r="R18" s="3">
        <f t="shared" si="4"/>
        <v>5.6868670594841042</v>
      </c>
      <c r="S18" t="str">
        <f t="shared" si="5"/>
        <v>1048:316</v>
      </c>
    </row>
    <row r="19" spans="1:19">
      <c r="A19" t="str">
        <f>Data!B19</f>
        <v>128013.SZ</v>
      </c>
      <c r="B19" t="str">
        <f>Data!C19</f>
        <v>洪涛转债</v>
      </c>
      <c r="C19" s="8">
        <f>RTD("wdf.rtq", ,A19, "LastPrice","RT_Price")</f>
        <v>101.53</v>
      </c>
      <c r="D19" s="8">
        <f>Data!L19</f>
        <v>90.630799999999994</v>
      </c>
      <c r="E19" t="str">
        <f>Data!E19</f>
        <v>002325.SZ</v>
      </c>
      <c r="F19" t="str">
        <f>Data!F19</f>
        <v>洪涛股份</v>
      </c>
      <c r="G19" s="7">
        <f>RTD("wdf.rtq", ,E19, "LastPrice","RT_Price")</f>
        <v>6.0600000000000005</v>
      </c>
      <c r="H19" s="7">
        <f>Data!H19</f>
        <v>10.029999999999999</v>
      </c>
      <c r="I19" s="2">
        <f>Data!J19</f>
        <v>0.33229052192895198</v>
      </c>
      <c r="J19" s="2">
        <f t="shared" si="0"/>
        <v>0.33229052192895198</v>
      </c>
      <c r="K19" s="6">
        <f>BlackScholes(G19,H19,0.015,Data!I19,0,J19,"C",0,0)*100/H19</f>
        <v>8.9485791809058579</v>
      </c>
      <c r="L19" s="6">
        <f t="shared" si="1"/>
        <v>99.579379180905846</v>
      </c>
      <c r="M19" s="2">
        <f t="shared" si="2"/>
        <v>1.9588601928823612E-2</v>
      </c>
      <c r="N19" s="2">
        <f>IF(Data!V19=0,"",Data!V19)</f>
        <v>1.42457779804365E-2</v>
      </c>
      <c r="O19" s="2">
        <f>IF(Data!W19=0,"",Data!W19)</f>
        <v>2.58676689848488E-2</v>
      </c>
      <c r="P19" s="2">
        <f t="shared" si="3"/>
        <v>0.58181718377308411</v>
      </c>
      <c r="Q19" s="5">
        <f>BlackScholes(G19,H19,0.015,Data!I19,0,J19,"C",0,1)</f>
        <v>0.4084960461421358</v>
      </c>
      <c r="R19" s="3">
        <f t="shared" si="4"/>
        <v>4.0727422347172073</v>
      </c>
      <c r="S19" t="str">
        <f t="shared" si="5"/>
        <v>1015:247</v>
      </c>
    </row>
    <row r="20" spans="1:19">
      <c r="A20" t="str">
        <f>Data!B20</f>
        <v>128014.SZ</v>
      </c>
      <c r="B20" t="str">
        <f>Data!C20</f>
        <v>永东转债</v>
      </c>
      <c r="C20" s="8">
        <f>RTD("wdf.rtq", ,A20, "LastPrice","RT_Price")</f>
        <v>113.98</v>
      </c>
      <c r="D20" s="8">
        <f>Data!L20</f>
        <v>88.022199999999998</v>
      </c>
      <c r="E20" t="str">
        <f>Data!E20</f>
        <v>002753.SZ</v>
      </c>
      <c r="F20" t="str">
        <f>Data!F20</f>
        <v>永东股份</v>
      </c>
      <c r="G20" s="7">
        <f>RTD("wdf.rtq", ,E20, "LastPrice","RT_Price")</f>
        <v>20.48</v>
      </c>
      <c r="H20" s="7">
        <f>Data!H20</f>
        <v>20.46</v>
      </c>
      <c r="I20" s="2">
        <f>Data!J20</f>
        <v>0.56423641993627105</v>
      </c>
      <c r="J20" s="2">
        <f t="shared" si="0"/>
        <v>0.56423641993627105</v>
      </c>
      <c r="K20" s="6">
        <f>BlackScholes(G20,H20,0.015,Data!I20,0,J20,"C",0,0)*100/H20</f>
        <v>51.34318238854096</v>
      </c>
      <c r="L20" s="6">
        <f t="shared" si="1"/>
        <v>139.36538238854095</v>
      </c>
      <c r="M20" s="2">
        <f t="shared" si="2"/>
        <v>-0.18214984204447759</v>
      </c>
      <c r="N20" s="2">
        <f>IF(Data!V20=0,"",Data!V20)</f>
        <v>-0.167398025545726</v>
      </c>
      <c r="O20" s="2">
        <f>IF(Data!W20=0,"",Data!W20)</f>
        <v>4.3590823183523301E-2</v>
      </c>
      <c r="P20" s="2">
        <f t="shared" si="3"/>
        <v>0.36752499334691646</v>
      </c>
      <c r="Q20" s="5">
        <f>BlackScholes(G20,H20,0.015,Data!I20,0,J20,"C",0,1)</f>
        <v>0.7656760016460753</v>
      </c>
      <c r="R20" s="3">
        <f t="shared" si="4"/>
        <v>3.7423069484167901</v>
      </c>
      <c r="S20" t="str">
        <f t="shared" si="5"/>
        <v>1140:766</v>
      </c>
    </row>
    <row r="21" spans="1:19">
      <c r="A21" t="str">
        <f>Data!B21</f>
        <v>128015.SZ</v>
      </c>
      <c r="B21" t="str">
        <f>Data!C21</f>
        <v>久其转债</v>
      </c>
      <c r="C21" s="8">
        <f>RTD("wdf.rtq", ,A21, "LastPrice","RT_Price")</f>
        <v>114.10000000000001</v>
      </c>
      <c r="D21" s="8">
        <f>Data!L21</f>
        <v>86.612700000000004</v>
      </c>
      <c r="E21" t="str">
        <f>Data!E21</f>
        <v>002279.SZ</v>
      </c>
      <c r="F21" t="str">
        <f>Data!F21</f>
        <v>久其软件</v>
      </c>
      <c r="G21" s="7">
        <f>RTD("wdf.rtq", ,E21, "LastPrice","RT_Price")</f>
        <v>12.43</v>
      </c>
      <c r="H21" s="7">
        <f>Data!H21</f>
        <v>12.9</v>
      </c>
      <c r="I21" s="2">
        <f>Data!J21</f>
        <v>0.29817119627779298</v>
      </c>
      <c r="J21" s="2">
        <f t="shared" si="0"/>
        <v>0.29817119627779298</v>
      </c>
      <c r="K21" s="6">
        <f>BlackScholes(G21,H21,0.015,Data!I21,0,J21,"C",0,0)*100/H21</f>
        <v>28.340047987916673</v>
      </c>
      <c r="L21" s="6">
        <f t="shared" si="1"/>
        <v>114.95274798791668</v>
      </c>
      <c r="M21" s="2">
        <f t="shared" si="2"/>
        <v>-7.4182479570328308E-3</v>
      </c>
      <c r="N21" s="2">
        <f>IF(Data!V21=0,"",Data!V21)</f>
        <v>-8.4818909810526304E-3</v>
      </c>
      <c r="O21" s="2">
        <f>IF(Data!W21=0,"",Data!W21)</f>
        <v>2.1597352141994802E-2</v>
      </c>
      <c r="P21" s="2">
        <f t="shared" si="3"/>
        <v>0.51963947714531344</v>
      </c>
      <c r="Q21" s="5">
        <f>BlackScholes(G21,H21,0.015,Data!I21,0,J21,"C",0,1)</f>
        <v>0.66319959563857389</v>
      </c>
      <c r="R21" s="3">
        <f t="shared" si="4"/>
        <v>5.1410821367331314</v>
      </c>
      <c r="S21" t="str">
        <f t="shared" si="5"/>
        <v>1141:639</v>
      </c>
    </row>
    <row r="22" spans="1:19">
      <c r="A22" t="str">
        <f>Data!B22</f>
        <v>132001.SH</v>
      </c>
      <c r="B22" t="str">
        <f>Data!C22</f>
        <v>14宝钢EB</v>
      </c>
      <c r="C22" s="8">
        <f>RTD("wdf.rtq", ,A22, "LastPrice","RT_Price")</f>
        <v>140.62</v>
      </c>
      <c r="D22" s="8">
        <f>Data!L22</f>
        <v>102.4175</v>
      </c>
      <c r="E22" t="str">
        <f>Data!E22</f>
        <v>601336.SH</v>
      </c>
      <c r="F22" t="str">
        <f>Data!F22</f>
        <v>新华保险</v>
      </c>
      <c r="G22" s="7">
        <f>RTD("wdf.rtq", ,E22, "LastPrice","RT_Price")</f>
        <v>59.95</v>
      </c>
      <c r="H22" s="7">
        <f>Data!H22</f>
        <v>42.31</v>
      </c>
      <c r="I22" s="2">
        <f>Data!J22</f>
        <v>0.35526046900374902</v>
      </c>
      <c r="J22" s="2">
        <f t="shared" si="0"/>
        <v>0.35526046900374902</v>
      </c>
      <c r="K22" s="6">
        <f>BlackScholes(G22,H22,0.015,Data!I22,0,J22,"C",0,0)*100/H22</f>
        <v>41.936164115031048</v>
      </c>
      <c r="L22" s="6">
        <f t="shared" si="1"/>
        <v>144.35366411503105</v>
      </c>
      <c r="M22" s="2">
        <f t="shared" si="2"/>
        <v>-2.5864699298909444E-2</v>
      </c>
      <c r="N22" s="2">
        <f>IF(Data!V22=0,"",Data!V22)</f>
        <v>5.3300904337979602E-3</v>
      </c>
      <c r="O22" s="2">
        <f>IF(Data!W22=0,"",Data!W22)</f>
        <v>2.7317432414657401E-2</v>
      </c>
      <c r="P22" s="2">
        <f t="shared" si="3"/>
        <v>0.12674008162230777</v>
      </c>
      <c r="Q22" s="5">
        <f>BlackScholes(G22,H22,0.015,Data!I22,0,J22,"C",0,1)</f>
        <v>0.99597804058532469</v>
      </c>
      <c r="R22" s="3">
        <f t="shared" si="4"/>
        <v>2.3540015140281842</v>
      </c>
      <c r="S22" t="str">
        <f t="shared" si="5"/>
        <v>1406:1411</v>
      </c>
    </row>
    <row r="23" spans="1:19">
      <c r="A23" t="str">
        <f>Data!B23</f>
        <v>132002.SH</v>
      </c>
      <c r="B23" t="str">
        <f>Data!C23</f>
        <v>15天集EB</v>
      </c>
      <c r="C23" s="8">
        <f>RTD("wdf.rtq", ,A23, "LastPrice","RT_Price")</f>
        <v>103.71000000000001</v>
      </c>
      <c r="D23" s="8">
        <f>Data!L23</f>
        <v>91.361999999999995</v>
      </c>
      <c r="E23" t="str">
        <f>Data!E23</f>
        <v>600535.SH</v>
      </c>
      <c r="F23" t="str">
        <f>Data!F23</f>
        <v>天士力</v>
      </c>
      <c r="G23" s="7">
        <f>RTD("wdf.rtq", ,E23, "LastPrice","RT_Price")</f>
        <v>36.340000000000003</v>
      </c>
      <c r="H23" s="7">
        <f>Data!H23</f>
        <v>56.02</v>
      </c>
      <c r="I23" s="2">
        <f>Data!J23</f>
        <v>0.16347273389179101</v>
      </c>
      <c r="J23" s="2">
        <f t="shared" si="0"/>
        <v>0.16347273389179101</v>
      </c>
      <c r="K23" s="6">
        <f>BlackScholes(G23,H23,0.015,Data!I23,0,J23,"C",0,0)*100/H23</f>
        <v>0.6399152580914923</v>
      </c>
      <c r="L23" s="6">
        <f t="shared" si="1"/>
        <v>92.001915258091486</v>
      </c>
      <c r="M23" s="2">
        <f t="shared" si="2"/>
        <v>0.12725914138922012</v>
      </c>
      <c r="N23" s="2">
        <f>IF(Data!V23=0,"",Data!V23)</f>
        <v>0.110885466766212</v>
      </c>
      <c r="O23" s="2">
        <f>IF(Data!W23=0,"",Data!W23)</f>
        <v>1.6815059964801701E-2</v>
      </c>
      <c r="P23" s="2">
        <f t="shared" si="3"/>
        <v>0.83490980511348845</v>
      </c>
      <c r="Q23" s="5">
        <f>BlackScholes(G23,H23,0.015,Data!I23,0,J23,"C",0,1)</f>
        <v>8.9024802066256764E-2</v>
      </c>
      <c r="R23" s="3">
        <f t="shared" si="4"/>
        <v>0.1589161050807868</v>
      </c>
      <c r="S23" t="str">
        <f t="shared" si="5"/>
        <v>1037:58</v>
      </c>
    </row>
    <row r="24" spans="1:19">
      <c r="A24" t="str">
        <f>Data!B24</f>
        <v>132003.SH</v>
      </c>
      <c r="B24" t="str">
        <f>Data!C24</f>
        <v>15清控EB</v>
      </c>
      <c r="C24" s="8">
        <f>RTD("wdf.rtq", ,A24, "LastPrice","RT_Price")</f>
        <v>102.25</v>
      </c>
      <c r="D24" s="8">
        <f>Data!L24</f>
        <v>97.463800000000006</v>
      </c>
      <c r="E24" t="str">
        <f>Data!E24</f>
        <v>600109.SH</v>
      </c>
      <c r="F24" t="str">
        <f>Data!F24</f>
        <v>国金证券</v>
      </c>
      <c r="G24" s="7">
        <f>RTD("wdf.rtq", ,E24, "LastPrice","RT_Price")</f>
        <v>11.03</v>
      </c>
      <c r="H24" s="7">
        <f>Data!H24</f>
        <v>16.75</v>
      </c>
      <c r="I24" s="2">
        <f>Data!J24</f>
        <v>0.26201065949733898</v>
      </c>
      <c r="J24" s="2">
        <f t="shared" si="0"/>
        <v>0.26201065949733898</v>
      </c>
      <c r="K24" s="6">
        <f>BlackScholes(G24,H24,0.015,Data!I24,0,J24,"C",0,0)*100/H24</f>
        <v>0.59536339468816502</v>
      </c>
      <c r="L24" s="6">
        <f t="shared" si="1"/>
        <v>98.05916339468817</v>
      </c>
      <c r="M24" s="2">
        <f t="shared" si="2"/>
        <v>4.2737837650559163E-2</v>
      </c>
      <c r="N24" s="2">
        <f>IF(Data!V24=0,"",Data!V24)</f>
        <v>8.7584795420528605E-2</v>
      </c>
      <c r="O24" s="2">
        <f>IF(Data!W24=0,"",Data!W24)</f>
        <v>3.7803439574254E-2</v>
      </c>
      <c r="P24" s="2">
        <f t="shared" si="3"/>
        <v>0.11774807310285791</v>
      </c>
      <c r="Q24" s="5">
        <f>BlackScholes(G24,H24,0.015,Data!I24,0,J24,"C",0,1)</f>
        <v>8.2839114273457568E-2</v>
      </c>
      <c r="R24" s="3">
        <f t="shared" si="4"/>
        <v>0.49456187625944814</v>
      </c>
      <c r="S24" t="str">
        <f t="shared" si="5"/>
        <v>1023:55</v>
      </c>
    </row>
    <row r="25" spans="1:19">
      <c r="A25" t="str">
        <f>Data!B25</f>
        <v>132004.SH</v>
      </c>
      <c r="B25" t="str">
        <f>Data!C25</f>
        <v>15国盛EB</v>
      </c>
      <c r="C25" s="8">
        <f>RTD("wdf.rtq", ,A25, "LastPrice","RT_Price")</f>
        <v>92.88</v>
      </c>
      <c r="D25" s="8">
        <f>Data!L25</f>
        <v>89.842399999999998</v>
      </c>
      <c r="E25" t="str">
        <f>Data!E25</f>
        <v>600170.SH</v>
      </c>
      <c r="F25" t="str">
        <f>Data!F25</f>
        <v>上海建工</v>
      </c>
      <c r="G25" s="7">
        <f>RTD("wdf.rtq", ,E25, "LastPrice","RT_Price")</f>
        <v>3.72</v>
      </c>
      <c r="H25" s="7">
        <f>Data!H25</f>
        <v>6.76</v>
      </c>
      <c r="I25" s="2">
        <f>Data!J25</f>
        <v>0.154835005218356</v>
      </c>
      <c r="J25" s="2">
        <f t="shared" si="0"/>
        <v>0.154835005218356</v>
      </c>
      <c r="K25" s="6">
        <f>BlackScholes(G25,H25,0.015,Data!I25,0,J25,"C",0,0)*100/H25</f>
        <v>0.38599556601919455</v>
      </c>
      <c r="L25" s="6">
        <f t="shared" si="1"/>
        <v>90.228395566019188</v>
      </c>
      <c r="M25" s="2">
        <f t="shared" si="2"/>
        <v>2.9387693500996015E-2</v>
      </c>
      <c r="N25" s="2">
        <f>IF(Data!V25=0,"",Data!V25)</f>
        <v>4.5698838873743701E-2</v>
      </c>
      <c r="O25" s="2">
        <f>IF(Data!W25=0,"",Data!W25)</f>
        <v>1.2299233041539501E-2</v>
      </c>
      <c r="P25" s="2">
        <f t="shared" si="3"/>
        <v>9.2388042037980636E-2</v>
      </c>
      <c r="Q25" s="5">
        <f>BlackScholes(G25,H25,0.015,Data!I25,0,J25,"C",0,1)</f>
        <v>5.8757520772113193E-2</v>
      </c>
      <c r="R25" s="3">
        <f t="shared" si="4"/>
        <v>0.86919409426202954</v>
      </c>
      <c r="S25" t="str">
        <f t="shared" si="5"/>
        <v>929:32</v>
      </c>
    </row>
    <row r="26" spans="1:19">
      <c r="A26" t="str">
        <f>Data!B26</f>
        <v>132005.SH</v>
      </c>
      <c r="B26" t="str">
        <f>Data!C26</f>
        <v>15国资EB</v>
      </c>
      <c r="C26" s="8">
        <f>RTD("wdf.rtq", ,A26, "LastPrice","RT_Price")</f>
        <v>124.5</v>
      </c>
      <c r="D26" s="8">
        <f>Data!L26</f>
        <v>99.282700000000006</v>
      </c>
      <c r="E26" t="str">
        <f>Data!E26</f>
        <v>601601.SH</v>
      </c>
      <c r="F26" t="str">
        <f>Data!F26</f>
        <v>中国太保</v>
      </c>
      <c r="G26" s="7">
        <f>RTD("wdf.rtq", ,E26, "LastPrice","RT_Price")</f>
        <v>39.89</v>
      </c>
      <c r="H26" s="7">
        <f>Data!H26</f>
        <v>37.58</v>
      </c>
      <c r="I26" s="2">
        <f>Data!J26</f>
        <v>0.27955347259889601</v>
      </c>
      <c r="J26" s="2">
        <f t="shared" si="0"/>
        <v>0.27955347259889601</v>
      </c>
      <c r="K26" s="6">
        <f>BlackScholes(G26,H26,0.015,Data!I26,0,J26,"C",0,0)*100/H26</f>
        <v>25.545964217536856</v>
      </c>
      <c r="L26" s="6">
        <f t="shared" si="1"/>
        <v>124.82866421753687</v>
      </c>
      <c r="M26" s="2">
        <f t="shared" si="2"/>
        <v>-2.632922651195857E-3</v>
      </c>
      <c r="N26" s="2">
        <f>IF(Data!V26=0,"",Data!V26)</f>
        <v>4.5504639107189299E-2</v>
      </c>
      <c r="O26" s="2">
        <f>IF(Data!W26=0,"",Data!W26)</f>
        <v>2.3532642321640599E-2</v>
      </c>
      <c r="P26" s="2">
        <f t="shared" si="3"/>
        <v>2.039956830791011E-2</v>
      </c>
      <c r="Q26" s="5">
        <f>BlackScholes(G26,H26,0.015,Data!I26,0,J26,"C",0,1)</f>
        <v>0.67842802812115821</v>
      </c>
      <c r="R26" s="3">
        <f t="shared" si="4"/>
        <v>1.8052901227279357</v>
      </c>
      <c r="S26" t="str">
        <f t="shared" si="5"/>
        <v>1245:720</v>
      </c>
    </row>
    <row r="27" spans="1:19">
      <c r="A27" t="str">
        <f>Data!B27</f>
        <v>132006.SH</v>
      </c>
      <c r="B27" t="str">
        <f>Data!C27</f>
        <v>16皖新EB</v>
      </c>
      <c r="C27" s="8">
        <f>RTD("wdf.rtq", ,A27, "LastPrice","RT_Price")</f>
        <v>101.8</v>
      </c>
      <c r="D27" s="8">
        <f>Data!L27</f>
        <v>97.178799999999995</v>
      </c>
      <c r="E27" t="str">
        <f>Data!E27</f>
        <v>601801.SH</v>
      </c>
      <c r="F27" t="str">
        <f>Data!F27</f>
        <v>皖新传媒</v>
      </c>
      <c r="G27" s="7">
        <f>RTD("wdf.rtq", ,E27, "LastPrice","RT_Price")</f>
        <v>12.1</v>
      </c>
      <c r="H27" s="7">
        <f>Data!H27</f>
        <v>16.190000000000001</v>
      </c>
      <c r="I27" s="2">
        <f>Data!J27</f>
        <v>0.30781747757573802</v>
      </c>
      <c r="J27" s="2">
        <f t="shared" si="0"/>
        <v>0.30781747757573802</v>
      </c>
      <c r="K27" s="6">
        <f>BlackScholes(G27,H27,0.015,Data!I27,0,J27,"C",0,0)*100/H27</f>
        <v>11.222070316391843</v>
      </c>
      <c r="L27" s="6">
        <f t="shared" si="1"/>
        <v>108.40087031639183</v>
      </c>
      <c r="M27" s="2">
        <f t="shared" si="2"/>
        <v>-6.0893148709283751E-2</v>
      </c>
      <c r="N27" s="2">
        <f>IF(Data!V27=0,"",Data!V27)</f>
        <v>-0.13788558426147901</v>
      </c>
      <c r="O27" s="2">
        <f>IF(Data!W27=0,"",Data!W27)</f>
        <v>6.5655765099146696E-2</v>
      </c>
      <c r="P27" s="2">
        <f t="shared" si="3"/>
        <v>0.87953557922247527</v>
      </c>
      <c r="Q27" s="5">
        <f>BlackScholes(G27,H27,0.015,Data!I27,0,J27,"C",0,1)</f>
        <v>0.45857515309221136</v>
      </c>
      <c r="R27" s="3">
        <f t="shared" si="4"/>
        <v>2.8324592531946347</v>
      </c>
      <c r="S27" t="str">
        <f t="shared" si="5"/>
        <v>1018:343</v>
      </c>
    </row>
    <row r="28" spans="1:19">
      <c r="A28" t="str">
        <f>Data!B28</f>
        <v>132007.SH</v>
      </c>
      <c r="B28" t="str">
        <f>Data!C28</f>
        <v>16凤凰EB</v>
      </c>
      <c r="C28" s="8">
        <f>RTD("wdf.rtq", ,A28, "LastPrice","RT_Price")</f>
        <v>92.63</v>
      </c>
      <c r="D28" s="8">
        <f>Data!L28</f>
        <v>91.573800000000006</v>
      </c>
      <c r="E28" t="str">
        <f>Data!E28</f>
        <v>601928.SH</v>
      </c>
      <c r="F28" t="str">
        <f>Data!F28</f>
        <v>凤凰传媒</v>
      </c>
      <c r="G28" s="7">
        <f>RTD("wdf.rtq", ,E28, "LastPrice","RT_Price")</f>
        <v>9.14</v>
      </c>
      <c r="H28" s="7">
        <f>Data!H28</f>
        <v>15.75</v>
      </c>
      <c r="I28" s="2">
        <f>Data!J28</f>
        <v>0.12888122359519</v>
      </c>
      <c r="J28" s="2">
        <f t="shared" si="0"/>
        <v>0.12888122359519</v>
      </c>
      <c r="K28" s="6">
        <f>BlackScholes(G28,H28,0.015,Data!I28,0,J28,"C",0,0)*100/H28</f>
        <v>0.22898870600614435</v>
      </c>
      <c r="L28" s="6">
        <f t="shared" si="1"/>
        <v>91.802788706006154</v>
      </c>
      <c r="M28" s="2">
        <f t="shared" si="2"/>
        <v>9.0107425455554502E-3</v>
      </c>
      <c r="N28" s="2">
        <f>IF(Data!V28=0,"",Data!V28)</f>
        <v>5.8980549406071801E-2</v>
      </c>
      <c r="O28" s="2">
        <f>IF(Data!W28=0,"",Data!W28)</f>
        <v>3.5766699639649201E-2</v>
      </c>
      <c r="P28" s="2">
        <f t="shared" si="3"/>
        <v>8.1191117092238238E-2</v>
      </c>
      <c r="Q28" s="5">
        <f>BlackScholes(G28,H28,0.015,Data!I28,0,J28,"C",0,1)</f>
        <v>4.1153301435774954E-2</v>
      </c>
      <c r="R28" s="3">
        <f t="shared" si="4"/>
        <v>0.26129080276682515</v>
      </c>
      <c r="S28" t="str">
        <f t="shared" si="5"/>
        <v>926:24</v>
      </c>
    </row>
    <row r="29" spans="1:19">
      <c r="A29" t="str">
        <f>Data!B29</f>
        <v>132008.SH</v>
      </c>
      <c r="B29" t="str">
        <f>Data!C29</f>
        <v>17山高EB</v>
      </c>
      <c r="C29" s="8">
        <f>RTD("wdf.rtq", ,A29, "LastPrice","RT_Price")</f>
        <v>95.45</v>
      </c>
      <c r="D29" s="8">
        <f>Data!L29</f>
        <v>93.392499999999998</v>
      </c>
      <c r="E29" t="str">
        <f>Data!E29</f>
        <v>600350.SH</v>
      </c>
      <c r="F29" t="str">
        <f>Data!F29</f>
        <v>山东高速</v>
      </c>
      <c r="G29" s="7">
        <f>RTD("wdf.rtq", ,E29, "LastPrice","RT_Price")</f>
        <v>5.95</v>
      </c>
      <c r="H29" s="7">
        <f>Data!H29</f>
        <v>9.8000000000000007</v>
      </c>
      <c r="I29" s="2">
        <f>Data!J29</f>
        <v>0.18213764378337599</v>
      </c>
      <c r="J29" s="2">
        <f t="shared" si="0"/>
        <v>0.18213764378337599</v>
      </c>
      <c r="K29" s="6">
        <f>BlackScholes(G29,H29,0.015,Data!I29,0,J29,"C",0,0)*100/H29</f>
        <v>1.9235849118357471</v>
      </c>
      <c r="L29" s="6">
        <f t="shared" si="1"/>
        <v>95.316084911835745</v>
      </c>
      <c r="M29" s="2">
        <f t="shared" si="2"/>
        <v>1.4049579175239302E-3</v>
      </c>
      <c r="N29" s="2">
        <f>IF(Data!V29=0,"",Data!V29)</f>
        <v>-6.1410583544614199E-3</v>
      </c>
      <c r="O29" s="2">
        <f>IF(Data!W29=0,"",Data!W29)</f>
        <v>9.4507957120514297E-3</v>
      </c>
      <c r="P29" s="2">
        <f t="shared" si="3"/>
        <v>0.78769617388884194</v>
      </c>
      <c r="Q29" s="5">
        <f>BlackScholes(G29,H29,0.015,Data!I29,0,J29,"C",0,1)</f>
        <v>0.17874799719333268</v>
      </c>
      <c r="R29" s="3">
        <f t="shared" si="4"/>
        <v>1.8239591550340069</v>
      </c>
      <c r="S29" t="str">
        <f t="shared" si="5"/>
        <v>955:109</v>
      </c>
    </row>
    <row r="30" spans="1:19">
      <c r="A30" t="str">
        <f>Data!B30</f>
        <v>132009.SH</v>
      </c>
      <c r="B30" t="str">
        <f>Data!C30</f>
        <v>17中油EB</v>
      </c>
      <c r="C30" s="8">
        <f>RTD("wdf.rtq", ,A30, "LastPrice","RT_Price")</f>
        <v>102.2</v>
      </c>
      <c r="D30" s="8">
        <f>Data!L30</f>
        <v>88.509600000000006</v>
      </c>
      <c r="E30" t="str">
        <f>Data!E30</f>
        <v>601857.SH</v>
      </c>
      <c r="F30" t="str">
        <f>Data!F30</f>
        <v>中国石油</v>
      </c>
      <c r="G30" s="7">
        <f>RTD("wdf.rtq", ,E30, "LastPrice","RT_Price")</f>
        <v>8.27</v>
      </c>
      <c r="H30" s="7">
        <f>Data!H30</f>
        <v>8.92</v>
      </c>
      <c r="I30" s="2">
        <f>Data!J30</f>
        <v>0.121781857025242</v>
      </c>
      <c r="J30" s="2">
        <f t="shared" si="0"/>
        <v>0.121781857025242</v>
      </c>
      <c r="K30" s="6">
        <f>BlackScholes(G30,H30,0.015,Data!I30,0,J30,"C",0,0)*100/H30</f>
        <v>9.5864490067097865</v>
      </c>
      <c r="L30" s="6">
        <f t="shared" si="1"/>
        <v>98.096049006709791</v>
      </c>
      <c r="M30" s="2">
        <f t="shared" si="2"/>
        <v>4.183604778016603E-2</v>
      </c>
      <c r="N30" s="2">
        <f>IF(Data!V30=0,"",Data!V30)</f>
        <v>5.8329963798047203E-2</v>
      </c>
      <c r="O30" s="2">
        <f>IF(Data!W30=0,"",Data!W30)</f>
        <v>1.1894799937863999E-2</v>
      </c>
      <c r="P30" s="2">
        <f t="shared" si="3"/>
        <v>8.2774363613566784E-2</v>
      </c>
      <c r="Q30" s="5">
        <f>BlackScholes(G30,H30,0.015,Data!I30,0,J30,"C",0,1)</f>
        <v>0.54586179956752123</v>
      </c>
      <c r="R30" s="3">
        <f t="shared" si="4"/>
        <v>6.1195269009811799</v>
      </c>
      <c r="S30" t="str">
        <f t="shared" si="5"/>
        <v>1022:506</v>
      </c>
    </row>
    <row r="31" spans="1:19">
      <c r="A31" t="str">
        <f>Data!B31</f>
        <v>132010.SH</v>
      </c>
      <c r="B31" t="str">
        <f>Data!C31</f>
        <v>17桐昆EB</v>
      </c>
      <c r="C31" s="8">
        <f>RTD("wdf.rtq", ,A31, "LastPrice","RT_Price")</f>
        <v>114.5</v>
      </c>
      <c r="D31" s="8">
        <f>Data!L31</f>
        <v>92.4465</v>
      </c>
      <c r="E31" t="str">
        <f>Data!E31</f>
        <v>601233.SH</v>
      </c>
      <c r="F31" t="str">
        <f>Data!F31</f>
        <v>桐昆股份</v>
      </c>
      <c r="G31" s="7">
        <f>RTD("wdf.rtq", ,E31, "LastPrice","RT_Price")</f>
        <v>15.97</v>
      </c>
      <c r="H31" s="7">
        <f>Data!H31</f>
        <v>17.12</v>
      </c>
      <c r="I31" s="2">
        <f>Data!J31</f>
        <v>0.41568566998047901</v>
      </c>
      <c r="J31" s="2">
        <f t="shared" si="0"/>
        <v>0.41568566998047901</v>
      </c>
      <c r="K31" s="6">
        <f>BlackScholes(G31,H31,0.015,Data!I31,0,J31,"C",0,0)*100/H31</f>
        <v>24.421894029445635</v>
      </c>
      <c r="L31" s="6">
        <f t="shared" si="1"/>
        <v>116.86839402944564</v>
      </c>
      <c r="M31" s="2">
        <f t="shared" si="2"/>
        <v>-2.026547938058354E-2</v>
      </c>
      <c r="N31" s="2">
        <f>IF(Data!V31=0,"",Data!V31)</f>
        <v>-1.7680208740778799E-2</v>
      </c>
      <c r="O31" s="2">
        <f>IF(Data!W31=0,"",Data!W31)</f>
        <v>1.93076599329653E-2</v>
      </c>
      <c r="P31" s="2">
        <f t="shared" si="3"/>
        <v>0.44674133760909357</v>
      </c>
      <c r="Q31" s="5">
        <f>BlackScholes(G31,H31,0.015,Data!I31,0,J31,"C",0,1)</f>
        <v>0.62087759642830453</v>
      </c>
      <c r="R31" s="3">
        <f t="shared" si="4"/>
        <v>3.6266214744643954</v>
      </c>
      <c r="S31" t="str">
        <f t="shared" si="5"/>
        <v>1145:579</v>
      </c>
    </row>
    <row r="32" spans="1:19">
      <c r="A32" t="str">
        <f>Data!B32</f>
        <v>132011.SH</v>
      </c>
      <c r="B32" t="str">
        <f>Data!C32</f>
        <v>17浙报EB</v>
      </c>
      <c r="C32" s="8">
        <f>RTD("wdf.rtq", ,A32, "LastPrice","RT_Price")</f>
        <v>92.78</v>
      </c>
      <c r="D32" s="8">
        <f>Data!L32</f>
        <v>86.498500000000007</v>
      </c>
      <c r="E32" t="str">
        <f>Data!E32</f>
        <v>600633.SH</v>
      </c>
      <c r="F32" t="str">
        <f>Data!F32</f>
        <v>浙数文化</v>
      </c>
      <c r="G32" s="7">
        <f>RTD("wdf.rtq", ,E32, "LastPrice","RT_Price")</f>
        <v>16.88</v>
      </c>
      <c r="H32" s="7">
        <f>Data!H32</f>
        <v>25</v>
      </c>
      <c r="I32" s="2">
        <f>Data!J32</f>
        <v>0.31828590642718702</v>
      </c>
      <c r="J32" s="2">
        <f t="shared" si="0"/>
        <v>0.31828590642718702</v>
      </c>
      <c r="K32" s="6">
        <f>BlackScholes(G32,H32,0.015,Data!I32,0,J32,"C",0,0)*100/H32</f>
        <v>11.36163902448985</v>
      </c>
      <c r="L32" s="6">
        <f t="shared" si="1"/>
        <v>97.860139024489854</v>
      </c>
      <c r="M32" s="2">
        <f t="shared" si="2"/>
        <v>-5.1912240010394073E-2</v>
      </c>
      <c r="N32" s="2">
        <f>IF(Data!V32=0,"",Data!V32)</f>
        <v>-5.9344878382733099E-2</v>
      </c>
      <c r="O32" s="2">
        <f>IF(Data!W32=0,"",Data!W32)</f>
        <v>1.8037419047271502E-2</v>
      </c>
      <c r="P32" s="2">
        <f t="shared" si="3"/>
        <v>0.65985511077429604</v>
      </c>
      <c r="Q32" s="5">
        <f>BlackScholes(G32,H32,0.015,Data!I32,0,J32,"C",0,1)</f>
        <v>0.45710127308537502</v>
      </c>
      <c r="R32" s="3">
        <f t="shared" si="4"/>
        <v>1.8284050923415001</v>
      </c>
      <c r="S32" t="str">
        <f t="shared" si="5"/>
        <v>928:309</v>
      </c>
    </row>
    <row r="33" spans="1:19">
      <c r="A33" t="str">
        <f>Data!B33</f>
        <v>132012.SH</v>
      </c>
      <c r="B33" t="str">
        <f>Data!C33</f>
        <v>17巨化EB</v>
      </c>
      <c r="C33" s="8">
        <f>RTD("wdf.rtq", ,A33, "LastPrice","RT_Price")</f>
        <v>103.7</v>
      </c>
      <c r="D33" s="8">
        <f>Data!L33</f>
        <v>92.058499999999995</v>
      </c>
      <c r="E33" t="str">
        <f>Data!E33</f>
        <v>600160.SH</v>
      </c>
      <c r="F33" t="str">
        <f>Data!F33</f>
        <v>巨化股份</v>
      </c>
      <c r="G33" s="7">
        <f>RTD("wdf.rtq", ,E33, "LastPrice","RT_Price")</f>
        <v>11.82</v>
      </c>
      <c r="H33" s="7">
        <f>Data!H33</f>
        <v>13.6</v>
      </c>
      <c r="I33" s="2">
        <f>Data!J33</f>
        <v>0.39847405920427498</v>
      </c>
      <c r="J33" s="2">
        <f t="shared" si="0"/>
        <v>0.39847405920427498</v>
      </c>
      <c r="K33" s="6">
        <f>BlackScholes(G33,H33,0.015,Data!I33,0,J33,"C",0,0)*100/H33</f>
        <v>20.003292763151624</v>
      </c>
      <c r="L33" s="6">
        <f t="shared" si="1"/>
        <v>112.06179276315162</v>
      </c>
      <c r="M33" s="2">
        <f t="shared" si="2"/>
        <v>-7.4617695799537032E-2</v>
      </c>
      <c r="N33" s="2">
        <f>IF(Data!V33=0,"",Data!V33)</f>
        <v>-9.0840372591082699E-2</v>
      </c>
      <c r="O33" s="2">
        <f>IF(Data!W33=0,"",Data!W33)</f>
        <v>9.1327364476867807E-3</v>
      </c>
      <c r="P33" s="2">
        <f t="shared" si="3"/>
        <v>0.96216003544454332</v>
      </c>
      <c r="Q33" s="5">
        <f>BlackScholes(G33,H33,0.015,Data!I33,0,J33,"C",0,1)</f>
        <v>0.57726030576877574</v>
      </c>
      <c r="R33" s="3">
        <f t="shared" si="4"/>
        <v>4.2445610718292333</v>
      </c>
      <c r="S33" t="str">
        <f t="shared" si="5"/>
        <v>1037:502</v>
      </c>
    </row>
  </sheetData>
  <phoneticPr fontId="1" type="noConversion"/>
  <conditionalFormatting sqref="P2:P33">
    <cfRule type="colorScale" priority="2">
      <colorScale>
        <cfvo type="min"/>
        <cfvo type="percentile" val="50"/>
        <cfvo type="max"/>
        <color rgb="FF5A8AC6"/>
        <color rgb="FFFCFCFF"/>
        <color rgb="FFF8696B"/>
      </colorScale>
    </cfRule>
  </conditionalFormatting>
  <conditionalFormatting sqref="Q2:Q33">
    <cfRule type="cellIs" dxfId="1" priority="1"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3"/>
  <sheetViews>
    <sheetView workbookViewId="0">
      <selection activeCell="H23" sqref="H23"/>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c r="A2" s="1">
        <f>Data!A2</f>
        <v>43026</v>
      </c>
      <c r="B2" t="str">
        <f>Data!B2</f>
        <v>110030.SH</v>
      </c>
      <c r="C2" t="str">
        <f>Data!C2</f>
        <v>格力转债</v>
      </c>
      <c r="D2" t="str">
        <f>Data!E2</f>
        <v>600185.SH</v>
      </c>
      <c r="E2" t="str">
        <f>Data!F2</f>
        <v>格力地产</v>
      </c>
      <c r="F2" s="6">
        <f>Data!D2</f>
        <v>110.8536</v>
      </c>
      <c r="G2" s="6">
        <f>Data!N2</f>
        <v>108.088939074162</v>
      </c>
      <c r="H2" s="2">
        <f t="shared" ref="H2:H33" si="0">F2/G2-1</f>
        <v>2.5577648828073896E-2</v>
      </c>
      <c r="I2" s="2">
        <f>IF(Data!V2=0,"",Data!V2)</f>
        <v>3.0029168619381201E-2</v>
      </c>
      <c r="J2" s="2">
        <f>IF(Data!W2=0,"",Data!W2)</f>
        <v>5.3635758146216302E-2</v>
      </c>
      <c r="K2" s="2">
        <f>IFERROR(_xlfn.NORM.DIST(H2,I2,J2,TRUE),"")</f>
        <v>0.46692760908620989</v>
      </c>
      <c r="L2" s="2">
        <f>IF(Data!X2=0,"",Data!X2)</f>
        <v>9.7802853476321606E-3</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c r="A3" s="1">
        <f>Data!A3</f>
        <v>43026</v>
      </c>
      <c r="B3" t="str">
        <f>Data!B3</f>
        <v>110031.SH</v>
      </c>
      <c r="C3" t="str">
        <f>Data!C3</f>
        <v>航信转债</v>
      </c>
      <c r="D3" t="str">
        <f>Data!E3</f>
        <v>600271.SH</v>
      </c>
      <c r="E3" t="str">
        <f>Data!F3</f>
        <v>航天信息</v>
      </c>
      <c r="F3" s="6">
        <f>Data!D3</f>
        <v>104.67659999999999</v>
      </c>
      <c r="G3" s="6">
        <f>Data!N3</f>
        <v>94.734453636071706</v>
      </c>
      <c r="H3" s="2">
        <f t="shared" si="0"/>
        <v>0.10494752418292985</v>
      </c>
      <c r="I3" s="2">
        <f>IF(Data!V3=0,"",Data!V3)</f>
        <v>0.116685908898224</v>
      </c>
      <c r="J3" s="2">
        <f>IF(Data!W3=0,"",Data!W3)</f>
        <v>2.5952654338225901E-2</v>
      </c>
      <c r="K3" s="2">
        <f t="shared" ref="K3:K33" si="1">IFERROR(_xlfn.NORM.DIST(H3,I3,J3,TRUE),"")</f>
        <v>0.32552644965709487</v>
      </c>
      <c r="L3" s="2">
        <f>IF(Data!X3=0,"",Data!X3)</f>
        <v>0.101091998337075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c r="A4" s="1">
        <f>Data!A4</f>
        <v>43026</v>
      </c>
      <c r="B4" t="str">
        <f>Data!B4</f>
        <v>110032.SH</v>
      </c>
      <c r="C4" t="str">
        <f>Data!C4</f>
        <v>三一转债</v>
      </c>
      <c r="D4" t="str">
        <f>Data!E4</f>
        <v>600031.SH</v>
      </c>
      <c r="E4" t="str">
        <f>Data!F4</f>
        <v>三一重工</v>
      </c>
      <c r="F4" s="6">
        <f>Data!D4</f>
        <v>119.46550000000001</v>
      </c>
      <c r="G4" s="6">
        <f>Data!N4</f>
        <v>121.792084143433</v>
      </c>
      <c r="H4" s="2">
        <f t="shared" si="0"/>
        <v>-1.9102917564765565E-2</v>
      </c>
      <c r="I4" s="2">
        <f>IF(Data!V4=0,"",Data!V4)</f>
        <v>7.6995307502074999E-3</v>
      </c>
      <c r="J4" s="2">
        <f>IF(Data!W4=0,"",Data!W4)</f>
        <v>3.5827648023708698E-2</v>
      </c>
      <c r="K4" s="2">
        <f t="shared" si="1"/>
        <v>0.22720173214500614</v>
      </c>
      <c r="L4" s="2">
        <f>IF(Data!X4=0,"",Data!X4)</f>
        <v>-1.0279523816745101E-2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c r="A5" s="1">
        <f>Data!A5</f>
        <v>43026</v>
      </c>
      <c r="B5" t="str">
        <f>Data!B5</f>
        <v>110033.SH</v>
      </c>
      <c r="C5" t="str">
        <f>Data!C5</f>
        <v>国贸转债</v>
      </c>
      <c r="D5" t="str">
        <f>Data!E5</f>
        <v>600755.SH</v>
      </c>
      <c r="E5" t="str">
        <f>Data!F5</f>
        <v>厦门国贸</v>
      </c>
      <c r="F5" s="6">
        <f>Data!D5</f>
        <v>127.10680000000001</v>
      </c>
      <c r="G5" s="6">
        <f>Data!N5</f>
        <v>146.53787952901899</v>
      </c>
      <c r="H5" s="2">
        <f t="shared" si="0"/>
        <v>-0.1326010693717663</v>
      </c>
      <c r="I5" s="2">
        <f>IF(Data!V5=0,"",Data!V5)</f>
        <v>-2.3472989492548099E-2</v>
      </c>
      <c r="J5" s="2">
        <f>IF(Data!W5=0,"",Data!W5)</f>
        <v>5.1960439142116503E-2</v>
      </c>
      <c r="K5" s="2">
        <f t="shared" si="1"/>
        <v>1.7854977911960453E-2</v>
      </c>
      <c r="L5" s="2">
        <f>IF(Data!X5=0,"",Data!X5)</f>
        <v>-0.124015616875742</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c r="A6" s="1">
        <f>Data!A6</f>
        <v>43026</v>
      </c>
      <c r="B6" t="str">
        <f>Data!B6</f>
        <v>110034.SH</v>
      </c>
      <c r="C6" t="str">
        <f>Data!C6</f>
        <v>九州转债</v>
      </c>
      <c r="D6" t="str">
        <f>Data!E6</f>
        <v>600998.SH</v>
      </c>
      <c r="E6" t="str">
        <f>Data!F6</f>
        <v>九州通</v>
      </c>
      <c r="F6" s="6">
        <f>Data!D6</f>
        <v>126.68640000000001</v>
      </c>
      <c r="G6" s="6">
        <f>Data!N6</f>
        <v>120.24840257509599</v>
      </c>
      <c r="H6" s="2">
        <f t="shared" si="0"/>
        <v>5.3539151348671155E-2</v>
      </c>
      <c r="I6" s="2">
        <f>IF(Data!V6=0,"",Data!V6)</f>
        <v>6.8725615392032603E-3</v>
      </c>
      <c r="J6" s="2">
        <f>IF(Data!W6=0,"",Data!W6)</f>
        <v>5.1535704920402603E-2</v>
      </c>
      <c r="K6" s="2">
        <f t="shared" si="1"/>
        <v>0.817404903825383</v>
      </c>
      <c r="L6" s="2">
        <f>IF(Data!X6=0,"",Data!X6)</f>
        <v>4.67527067212496E-2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c r="A7" s="1">
        <f>Data!A7</f>
        <v>43026</v>
      </c>
      <c r="B7" t="str">
        <f>Data!B7</f>
        <v>113008.SH</v>
      </c>
      <c r="C7" t="str">
        <f>Data!C7</f>
        <v>电气转债</v>
      </c>
      <c r="D7" t="str">
        <f>Data!E7</f>
        <v>601727.SH</v>
      </c>
      <c r="E7" t="str">
        <f>Data!F7</f>
        <v>上海电气</v>
      </c>
      <c r="F7" s="6">
        <f>Data!D7</f>
        <v>107.24039999999999</v>
      </c>
      <c r="G7" s="6">
        <f>Data!N7</f>
        <v>107.264619045045</v>
      </c>
      <c r="H7" s="2">
        <f t="shared" si="0"/>
        <v>-2.2578782510596085E-4</v>
      </c>
      <c r="I7" s="2">
        <f>IF(Data!V7=0,"",Data!V7)</f>
        <v>-6.5511051463199896E-2</v>
      </c>
      <c r="J7" s="2">
        <f>IF(Data!W7=0,"",Data!W7)</f>
        <v>7.6596688303253002E-2</v>
      </c>
      <c r="K7" s="2">
        <f t="shared" si="1"/>
        <v>0.80298310135276574</v>
      </c>
      <c r="L7" s="2">
        <f>IF(Data!X7=0,"",Data!X7)</f>
        <v>-3.8469852219183299E-3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c r="A8" s="1">
        <f>Data!A8</f>
        <v>43026</v>
      </c>
      <c r="B8" t="str">
        <f>Data!B8</f>
        <v>113009.SH</v>
      </c>
      <c r="C8" t="str">
        <f>Data!C8</f>
        <v>广汽转债</v>
      </c>
      <c r="D8" t="str">
        <f>Data!E8</f>
        <v>601238.SH</v>
      </c>
      <c r="E8" t="str">
        <f>Data!F8</f>
        <v>广汽集团</v>
      </c>
      <c r="F8" s="6">
        <f>Data!D8</f>
        <v>132.0301</v>
      </c>
      <c r="G8" s="6">
        <f>Data!N8</f>
        <v>133.67903878926501</v>
      </c>
      <c r="H8" s="2">
        <f t="shared" si="0"/>
        <v>-1.2335058691321343E-2</v>
      </c>
      <c r="I8" s="2">
        <f>IF(Data!V8=0,"",Data!V8)</f>
        <v>-4.3556352995900598E-2</v>
      </c>
      <c r="J8" s="2">
        <f>IF(Data!W8=0,"",Data!W8)</f>
        <v>2.87933564288099E-2</v>
      </c>
      <c r="K8" s="2">
        <f t="shared" si="1"/>
        <v>0.86088916130249138</v>
      </c>
      <c r="L8" s="2">
        <f>IF(Data!X8=0,"",Data!X8)</f>
        <v>-2.1277449346272299E-2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c r="A9" s="1">
        <f>Data!A9</f>
        <v>43026</v>
      </c>
      <c r="B9" t="str">
        <f>Data!B9</f>
        <v>113010.SH</v>
      </c>
      <c r="C9" t="str">
        <f>Data!C9</f>
        <v>江南转债</v>
      </c>
      <c r="D9" t="str">
        <f>Data!E9</f>
        <v>601199.SH</v>
      </c>
      <c r="E9" t="str">
        <f>Data!F9</f>
        <v>江南水务</v>
      </c>
      <c r="F9" s="6">
        <f>Data!D9</f>
        <v>105.6155</v>
      </c>
      <c r="G9" s="6">
        <f>Data!N9</f>
        <v>95.164262924821102</v>
      </c>
      <c r="H9" s="2">
        <f t="shared" si="0"/>
        <v>0.10982312849346898</v>
      </c>
      <c r="I9" s="2">
        <f>IF(Data!V9=0,"",Data!V9)</f>
        <v>4.7486894736324302E-2</v>
      </c>
      <c r="J9" s="2">
        <f>IF(Data!W9=0,"",Data!W9)</f>
        <v>4.4821017833495298E-2</v>
      </c>
      <c r="K9" s="2">
        <f t="shared" si="1"/>
        <v>0.91785412336397654</v>
      </c>
      <c r="L9" s="2">
        <f>IF(Data!X9=0,"",Data!X9)</f>
        <v>0.10659381361786199</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c r="A10" s="1">
        <f>Data!A10</f>
        <v>43026</v>
      </c>
      <c r="B10" t="str">
        <f>Data!B10</f>
        <v>113011.SH</v>
      </c>
      <c r="C10" t="str">
        <f>Data!C10</f>
        <v>光大转债</v>
      </c>
      <c r="D10" t="str">
        <f>Data!E10</f>
        <v>601818.SH</v>
      </c>
      <c r="E10" t="str">
        <f>Data!F10</f>
        <v>光大银行</v>
      </c>
      <c r="F10" s="6">
        <f>Data!D10</f>
        <v>112.41160000000001</v>
      </c>
      <c r="G10" s="6">
        <f>Data!N10</f>
        <v>99.811595555426095</v>
      </c>
      <c r="H10" s="2">
        <f t="shared" si="0"/>
        <v>0.12623788222658994</v>
      </c>
      <c r="I10" s="2">
        <f>IF(Data!V10=0,"",Data!V10)</f>
        <v>9.3801465660168004E-2</v>
      </c>
      <c r="J10" s="2">
        <f>IF(Data!W10=0,"",Data!W10)</f>
        <v>3.5050017747320299E-2</v>
      </c>
      <c r="K10" s="2">
        <f t="shared" si="1"/>
        <v>0.82262944343242483</v>
      </c>
      <c r="L10" s="2">
        <f>IF(Data!X10=0,"",Data!X10)</f>
        <v>0.127851845404019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c r="A11" s="1">
        <f>Data!A11</f>
        <v>43026</v>
      </c>
      <c r="B11" t="str">
        <f>Data!B11</f>
        <v>113012.SH</v>
      </c>
      <c r="C11" t="str">
        <f>Data!C11</f>
        <v>骆驼转债</v>
      </c>
      <c r="D11" t="str">
        <f>Data!E11</f>
        <v>601311.SH</v>
      </c>
      <c r="E11" t="str">
        <f>Data!F11</f>
        <v>骆驼股份</v>
      </c>
      <c r="F11" s="6">
        <f>Data!D11</f>
        <v>112.70820000000001</v>
      </c>
      <c r="G11" s="6">
        <f>Data!N11</f>
        <v>105.282391437634</v>
      </c>
      <c r="H11" s="2">
        <f t="shared" si="0"/>
        <v>7.0532293776446098E-2</v>
      </c>
      <c r="I11" s="2">
        <f>IF(Data!V11=0,"",Data!V11)</f>
        <v>7.0521291137613407E-2</v>
      </c>
      <c r="J11" s="2">
        <f>IF(Data!W11=0,"",Data!W11)</f>
        <v>4.0192046033178698E-2</v>
      </c>
      <c r="K11" s="2">
        <f t="shared" si="1"/>
        <v>0.50010921110529927</v>
      </c>
      <c r="L11" s="2">
        <f>IF(Data!X11=0,"",Data!X11)</f>
        <v>4.72243670239514E-2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c r="A12" s="1">
        <f>Data!A12</f>
        <v>43026</v>
      </c>
      <c r="B12" t="str">
        <f>Data!B12</f>
        <v>113013.SH</v>
      </c>
      <c r="C12" t="str">
        <f>Data!C12</f>
        <v>国君转债</v>
      </c>
      <c r="D12" t="str">
        <f>Data!E12</f>
        <v>601211.SH</v>
      </c>
      <c r="E12" t="str">
        <f>Data!F12</f>
        <v>国泰君安</v>
      </c>
      <c r="F12" s="6">
        <f>Data!D12</f>
        <v>124.24299999999999</v>
      </c>
      <c r="G12" s="6">
        <f>Data!N12</f>
        <v>110.83545050943199</v>
      </c>
      <c r="H12" s="2">
        <f t="shared" si="0"/>
        <v>0.12096806057035914</v>
      </c>
      <c r="I12" s="2">
        <f>IF(Data!V12=0,"",Data!V12)</f>
        <v>0.14672166898387301</v>
      </c>
      <c r="J12" s="2">
        <f>IF(Data!W12=0,"",Data!W12)</f>
        <v>2.2189430827625499E-2</v>
      </c>
      <c r="K12" s="2">
        <f t="shared" si="1"/>
        <v>0.12289721467618789</v>
      </c>
      <c r="L12" s="2">
        <f>IF(Data!X12=0,"",Data!X12)</f>
        <v>0.13019887579964101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43026</v>
      </c>
      <c r="B13" t="str">
        <f>Data!B13</f>
        <v>120001.SZ</v>
      </c>
      <c r="C13" t="str">
        <f>Data!C13</f>
        <v>16以岭EB</v>
      </c>
      <c r="D13" t="str">
        <f>Data!E13</f>
        <v>002603.SZ</v>
      </c>
      <c r="E13" t="str">
        <f>Data!F13</f>
        <v>以岭药业</v>
      </c>
      <c r="F13" s="6">
        <f>Data!D13</f>
        <v>107.49590000000001</v>
      </c>
      <c r="G13" s="6">
        <f>Data!N13</f>
        <v>106.382510381472</v>
      </c>
      <c r="H13" s="2">
        <f t="shared" si="0"/>
        <v>1.0465908489426967E-2</v>
      </c>
      <c r="I13" s="2">
        <f>IF(Data!V13=0,"",Data!V13)</f>
        <v>-9.2666528957197395E-4</v>
      </c>
      <c r="J13" s="2">
        <f>IF(Data!W13=0,"",Data!W13)</f>
        <v>2.0355456763887499E-2</v>
      </c>
      <c r="K13" s="2">
        <f t="shared" si="1"/>
        <v>0.71215166856095269</v>
      </c>
      <c r="L13" s="2">
        <f>IF(Data!X13=0,"",Data!X13)</f>
        <v>1.0624782645597399E-2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c r="A14" s="1">
        <f>Data!A14</f>
        <v>43026</v>
      </c>
      <c r="B14" t="str">
        <f>Data!B14</f>
        <v>123001.SZ</v>
      </c>
      <c r="C14" t="str">
        <f>Data!C14</f>
        <v>蓝标转债</v>
      </c>
      <c r="D14" t="str">
        <f>Data!E14</f>
        <v>300058.SZ</v>
      </c>
      <c r="E14" t="str">
        <f>Data!F14</f>
        <v>蓝色光标</v>
      </c>
      <c r="F14" s="6">
        <f>Data!D14</f>
        <v>103.6151</v>
      </c>
      <c r="G14" s="6">
        <f>Data!N14</f>
        <v>102.223765070517</v>
      </c>
      <c r="H14" s="2">
        <f t="shared" si="0"/>
        <v>1.3610679752630972E-2</v>
      </c>
      <c r="I14" s="2">
        <f>IF(Data!V14=0,"",Data!V14)</f>
        <v>3.6695422534817099E-2</v>
      </c>
      <c r="J14" s="2">
        <f>IF(Data!W14=0,"",Data!W14)</f>
        <v>3.2430624561567603E-2</v>
      </c>
      <c r="K14" s="2">
        <f t="shared" si="1"/>
        <v>0.23828835604180199</v>
      </c>
      <c r="L14" s="2">
        <f>IF(Data!X14=0,"",Data!X14)</f>
        <v>1.13494515769353E-2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43026</v>
      </c>
      <c r="B15" t="str">
        <f>Data!B15</f>
        <v>127003.SZ</v>
      </c>
      <c r="C15" t="str">
        <f>Data!C15</f>
        <v>海印转债</v>
      </c>
      <c r="D15" t="str">
        <f>Data!E15</f>
        <v>000861.SZ</v>
      </c>
      <c r="E15" t="str">
        <f>Data!F15</f>
        <v>海印股份</v>
      </c>
      <c r="F15" s="6">
        <f>Data!D15</f>
        <v>101.7349</v>
      </c>
      <c r="G15" s="6">
        <f>Data!N15</f>
        <v>98.593011135810201</v>
      </c>
      <c r="H15" s="2">
        <f t="shared" si="0"/>
        <v>3.1867257404907701E-2</v>
      </c>
      <c r="I15" s="2">
        <f>IF(Data!V15=0,"",Data!V15)</f>
        <v>1.1840375385435699E-2</v>
      </c>
      <c r="J15" s="2">
        <f>IF(Data!W15=0,"",Data!W15)</f>
        <v>3.6691274589206603E-2</v>
      </c>
      <c r="K15" s="2">
        <f t="shared" si="1"/>
        <v>0.70740563631125908</v>
      </c>
      <c r="L15" s="2">
        <f>IF(Data!X15=0,"",Data!X15)</f>
        <v>2.67061674032784E-2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c r="A16" s="1">
        <f>Data!A16</f>
        <v>43026</v>
      </c>
      <c r="B16" t="str">
        <f>Data!B16</f>
        <v>127004.SZ</v>
      </c>
      <c r="C16" t="str">
        <f>Data!C16</f>
        <v>模塑转债</v>
      </c>
      <c r="D16" t="str">
        <f>Data!E16</f>
        <v>000700.SZ</v>
      </c>
      <c r="E16" t="str">
        <f>Data!F16</f>
        <v>模塑科技</v>
      </c>
      <c r="F16" s="6">
        <f>Data!D16</f>
        <v>108.8596</v>
      </c>
      <c r="G16" s="6">
        <f>Data!N16</f>
        <v>111.589647224153</v>
      </c>
      <c r="H16" s="2">
        <f t="shared" si="0"/>
        <v>-2.446505829227219E-2</v>
      </c>
      <c r="I16" s="2">
        <f>IF(Data!V16=0,"",Data!V16)</f>
        <v>-1.97469399868869E-2</v>
      </c>
      <c r="J16" s="2">
        <f>IF(Data!W16=0,"",Data!W16)</f>
        <v>1.40857894709191E-2</v>
      </c>
      <c r="K16" s="2">
        <f t="shared" si="1"/>
        <v>0.36882917613865362</v>
      </c>
      <c r="L16" s="2">
        <f>IF(Data!X16=0,"",Data!X16)</f>
        <v>-3.2640805915426202E-2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c r="A17" s="1">
        <f>Data!A17</f>
        <v>43026</v>
      </c>
      <c r="B17" t="str">
        <f>Data!B17</f>
        <v>128010.SZ</v>
      </c>
      <c r="C17" t="str">
        <f>Data!C17</f>
        <v>顺昌转债</v>
      </c>
      <c r="D17" t="str">
        <f>Data!E17</f>
        <v>002245.SZ</v>
      </c>
      <c r="E17" t="str">
        <f>Data!F17</f>
        <v>澳洋顺昌</v>
      </c>
      <c r="F17" s="6">
        <f>Data!D17</f>
        <v>115.9842</v>
      </c>
      <c r="G17" s="6">
        <f>Data!N17</f>
        <v>116.064967956147</v>
      </c>
      <c r="H17" s="2">
        <f t="shared" si="0"/>
        <v>-6.958857402822316E-4</v>
      </c>
      <c r="I17" s="2">
        <f>IF(Data!V17=0,"",Data!V17)</f>
        <v>-4.35289438349728E-2</v>
      </c>
      <c r="J17" s="2">
        <f>IF(Data!W17=0,"",Data!W17)</f>
        <v>4.9100392790662299E-2</v>
      </c>
      <c r="K17" s="2">
        <f t="shared" si="1"/>
        <v>0.80849310091239557</v>
      </c>
      <c r="L17" s="2">
        <f>IF(Data!X17=0,"",Data!X17)</f>
        <v>-4.01293461719933E-3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c r="A18" s="1">
        <f>Data!A18</f>
        <v>43026</v>
      </c>
      <c r="B18" t="str">
        <f>Data!B18</f>
        <v>128012.SZ</v>
      </c>
      <c r="C18" t="str">
        <f>Data!C18</f>
        <v>辉丰转债</v>
      </c>
      <c r="D18" t="str">
        <f>Data!E18</f>
        <v>002496.SZ</v>
      </c>
      <c r="E18" t="str">
        <f>Data!F18</f>
        <v>辉丰股份</v>
      </c>
      <c r="F18" s="6">
        <f>Data!D18</f>
        <v>104.9979</v>
      </c>
      <c r="G18" s="6">
        <f>Data!N18</f>
        <v>98.536373346588405</v>
      </c>
      <c r="H18" s="2">
        <f t="shared" si="0"/>
        <v>6.5575040301960819E-2</v>
      </c>
      <c r="I18" s="2">
        <f>IF(Data!V18=0,"",Data!V18)</f>
        <v>0.120100883276474</v>
      </c>
      <c r="J18" s="2">
        <f>IF(Data!W18=0,"",Data!W18)</f>
        <v>4.0741269858093801E-2</v>
      </c>
      <c r="K18" s="2">
        <f t="shared" si="1"/>
        <v>9.0392126787236265E-2</v>
      </c>
      <c r="L18" s="2">
        <f>IF(Data!X18=0,"",Data!X18)</f>
        <v>5.8643055126186699E-2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43026</v>
      </c>
      <c r="B19" t="str">
        <f>Data!B19</f>
        <v>128013.SZ</v>
      </c>
      <c r="C19" t="str">
        <f>Data!C19</f>
        <v>洪涛转债</v>
      </c>
      <c r="D19" t="str">
        <f>Data!E19</f>
        <v>002325.SZ</v>
      </c>
      <c r="E19" t="str">
        <f>Data!F19</f>
        <v>洪涛股份</v>
      </c>
      <c r="F19" s="6">
        <f>Data!D19</f>
        <v>101.5742</v>
      </c>
      <c r="G19" s="6">
        <f>Data!N19</f>
        <v>99.991033953834204</v>
      </c>
      <c r="H19" s="2">
        <f t="shared" si="0"/>
        <v>1.5833080062925831E-2</v>
      </c>
      <c r="I19" s="2">
        <f>IF(Data!V19=0,"",Data!V19)</f>
        <v>1.42457779804365E-2</v>
      </c>
      <c r="J19" s="2">
        <f>IF(Data!W19=0,"",Data!W19)</f>
        <v>2.58676689848488E-2</v>
      </c>
      <c r="K19" s="2">
        <f t="shared" si="1"/>
        <v>0.52446469922196681</v>
      </c>
      <c r="L19" s="2">
        <f>IF(Data!X19=0,"",Data!X19)</f>
        <v>9.1673910892469106E-3</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43026</v>
      </c>
      <c r="B20" t="str">
        <f>Data!B20</f>
        <v>128014.SZ</v>
      </c>
      <c r="C20" t="str">
        <f>Data!C20</f>
        <v>永东转债</v>
      </c>
      <c r="D20" t="str">
        <f>Data!E20</f>
        <v>002753.SZ</v>
      </c>
      <c r="E20" t="str">
        <f>Data!F20</f>
        <v>永东股份</v>
      </c>
      <c r="F20" s="6">
        <f>Data!D20</f>
        <v>116.1566</v>
      </c>
      <c r="G20" s="6">
        <f>Data!N20</f>
        <v>143.02083311520701</v>
      </c>
      <c r="H20" s="2">
        <f t="shared" si="0"/>
        <v>-0.18783440517065908</v>
      </c>
      <c r="I20" s="2">
        <f>IF(Data!V20=0,"",Data!V20)</f>
        <v>-0.167398025545726</v>
      </c>
      <c r="J20" s="2">
        <f>IF(Data!W20=0,"",Data!W20)</f>
        <v>4.3590823183523301E-2</v>
      </c>
      <c r="K20" s="2">
        <f t="shared" si="1"/>
        <v>0.31959808636374121</v>
      </c>
      <c r="L20" s="2">
        <f>IF(Data!X20=0,"",Data!X20)</f>
        <v>-0.20466988777815701</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c r="A21" s="1">
        <f>Data!A21</f>
        <v>43026</v>
      </c>
      <c r="B21" t="str">
        <f>Data!B21</f>
        <v>128015.SZ</v>
      </c>
      <c r="C21" t="str">
        <f>Data!C21</f>
        <v>久其转债</v>
      </c>
      <c r="D21" t="str">
        <f>Data!E21</f>
        <v>002279.SZ</v>
      </c>
      <c r="E21" t="str">
        <f>Data!F21</f>
        <v>久其软件</v>
      </c>
      <c r="F21" s="6">
        <f>Data!D21</f>
        <v>114.8887</v>
      </c>
      <c r="G21" s="6">
        <f>Data!N21</f>
        <v>114.593662202357</v>
      </c>
      <c r="H21" s="2">
        <f t="shared" si="0"/>
        <v>2.5746432391873242E-3</v>
      </c>
      <c r="I21" s="2">
        <f>IF(Data!V21=0,"",Data!V21)</f>
        <v>-8.4818909810526304E-3</v>
      </c>
      <c r="J21" s="2">
        <f>IF(Data!W21=0,"",Data!W21)</f>
        <v>2.1597352141994802E-2</v>
      </c>
      <c r="K21" s="2">
        <f t="shared" si="1"/>
        <v>0.69565326819335671</v>
      </c>
      <c r="L21" s="2">
        <f>IF(Data!X21=0,"",Data!X21)</f>
        <v>-1.3573312043776301E-2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c r="A22" s="1">
        <f>Data!A22</f>
        <v>43026</v>
      </c>
      <c r="B22" t="str">
        <f>Data!B22</f>
        <v>132001.SH</v>
      </c>
      <c r="C22" t="str">
        <f>Data!C22</f>
        <v>14宝钢EB</v>
      </c>
      <c r="D22" t="str">
        <f>Data!E22</f>
        <v>601336.SH</v>
      </c>
      <c r="E22" t="str">
        <f>Data!F22</f>
        <v>新华保险</v>
      </c>
      <c r="F22" s="6">
        <f>Data!D22</f>
        <v>139.80000000000001</v>
      </c>
      <c r="G22" s="6">
        <f>Data!N22</f>
        <v>143.52998397086799</v>
      </c>
      <c r="H22" s="2">
        <f t="shared" si="0"/>
        <v>-2.5987489635789562E-2</v>
      </c>
      <c r="I22" s="2">
        <f>IF(Data!V22=0,"",Data!V22)</f>
        <v>5.3300904337979602E-3</v>
      </c>
      <c r="J22" s="2">
        <f>IF(Data!W22=0,"",Data!W22)</f>
        <v>2.7317432414657401E-2</v>
      </c>
      <c r="K22" s="2">
        <f t="shared" si="1"/>
        <v>0.12580821368620035</v>
      </c>
      <c r="L22" s="2">
        <f>IF(Data!X22=0,"",Data!X22)</f>
        <v>-6.9114789421805302E-3</v>
      </c>
      <c r="M22" s="2">
        <f>IF(Data!Y22=0,"",Data!Y22)</f>
        <v>1.1920721362155299E-2</v>
      </c>
      <c r="N22" s="2">
        <f>IF(Data!Z22=0,"",Data!Z22)</f>
        <v>-1.55475431791728E-2</v>
      </c>
      <c r="O22" s="2">
        <f>IF(Data!AA22=0,"",Data!AA22)</f>
        <v>-1.30285291955022E-2</v>
      </c>
      <c r="P22" s="2">
        <f>IF(Data!AB22=0,"",Data!AB22)</f>
        <v>-3.4033998743630599E-3</v>
      </c>
      <c r="Q22" s="2">
        <f>IF(Data!AC22=0,"",Data!AC22)</f>
        <v>-3.2247200402337001E-2</v>
      </c>
      <c r="R22" s="2">
        <f>IF(Data!AD22=0,"",Data!AD22)</f>
        <v>-9.3154701821644894E-3</v>
      </c>
      <c r="S22" s="2">
        <f>IF(Data!AE22=0,"",Data!AE22)</f>
        <v>-4.8814367035250898E-4</v>
      </c>
      <c r="T22" s="2">
        <f>IF(Data!AF22=0,"",Data!AF22)</f>
        <v>-1.80834911250936E-3</v>
      </c>
      <c r="U22" s="2">
        <f>IF(Data!AG22=0,"",Data!AG22)</f>
        <v>1.20222737112645E-2</v>
      </c>
    </row>
    <row r="23" spans="1:21">
      <c r="A23" s="1">
        <f>Data!A23</f>
        <v>43026</v>
      </c>
      <c r="B23" t="str">
        <f>Data!B23</f>
        <v>132002.SH</v>
      </c>
      <c r="C23" t="str">
        <f>Data!C23</f>
        <v>15天集EB</v>
      </c>
      <c r="D23" t="str">
        <f>Data!E23</f>
        <v>600535.SH</v>
      </c>
      <c r="E23" t="str">
        <f>Data!F23</f>
        <v>天士力</v>
      </c>
      <c r="F23" s="6">
        <f>Data!D23</f>
        <v>103.65</v>
      </c>
      <c r="G23" s="6">
        <f>Data!N23</f>
        <v>91.966145428325703</v>
      </c>
      <c r="H23" s="2">
        <f t="shared" si="0"/>
        <v>0.12704516990744352</v>
      </c>
      <c r="I23" s="2">
        <f>IF(Data!V23=0,"",Data!V23)</f>
        <v>0.110885466766212</v>
      </c>
      <c r="J23" s="2">
        <f>IF(Data!W23=0,"",Data!W23)</f>
        <v>1.6815059964801701E-2</v>
      </c>
      <c r="K23" s="2">
        <f t="shared" si="1"/>
        <v>0.83173035265340034</v>
      </c>
      <c r="L23" s="2">
        <f>IF(Data!X23=0,"",Data!X23)</f>
        <v>0.12254296214349999</v>
      </c>
      <c r="M23" s="2">
        <f>IF(Data!Y23=0,"",Data!Y23)</f>
        <v>0.13047197333649099</v>
      </c>
      <c r="N23" s="2">
        <f>IF(Data!Z23=0,"",Data!Z23)</f>
        <v>0.12811014658498901</v>
      </c>
      <c r="O23" s="2">
        <f>IF(Data!AA23=0,"",Data!AA23)</f>
        <v>0.122106794087927</v>
      </c>
      <c r="P23" s="2">
        <f>IF(Data!AB23=0,"",Data!AB23)</f>
        <v>0.13006389583709399</v>
      </c>
      <c r="Q23" s="2">
        <f>IF(Data!AC23=0,"",Data!AC23)</f>
        <v>0.11111255248416101</v>
      </c>
      <c r="R23" s="2">
        <f>IF(Data!AD23=0,"",Data!AD23)</f>
        <v>9.9558537784547901E-2</v>
      </c>
      <c r="S23" s="2">
        <f>IF(Data!AE23=0,"",Data!AE23)</f>
        <v>0.10569657143412001</v>
      </c>
      <c r="T23" s="2">
        <f>IF(Data!AF23=0,"",Data!AF23)</f>
        <v>0.114844734761814</v>
      </c>
      <c r="U23" s="2">
        <f>IF(Data!AG23=0,"",Data!AG23)</f>
        <v>9.50945281834744E-2</v>
      </c>
    </row>
    <row r="24" spans="1:21">
      <c r="A24" s="1">
        <f>Data!A24</f>
        <v>43026</v>
      </c>
      <c r="B24" t="str">
        <f>Data!B24</f>
        <v>132003.SH</v>
      </c>
      <c r="C24" t="str">
        <f>Data!C24</f>
        <v>15清控EB</v>
      </c>
      <c r="D24" t="str">
        <f>Data!E24</f>
        <v>600109.SH</v>
      </c>
      <c r="E24" t="str">
        <f>Data!F24</f>
        <v>国金证券</v>
      </c>
      <c r="F24" s="6">
        <f>Data!D24</f>
        <v>102.52</v>
      </c>
      <c r="G24" s="6">
        <f>Data!N24</f>
        <v>98.198636889023803</v>
      </c>
      <c r="H24" s="2">
        <f t="shared" si="0"/>
        <v>4.4006345178292605E-2</v>
      </c>
      <c r="I24" s="2">
        <f>IF(Data!V24=0,"",Data!V24)</f>
        <v>8.7584795420528605E-2</v>
      </c>
      <c r="J24" s="2">
        <f>IF(Data!W24=0,"",Data!W24)</f>
        <v>3.7803439574254E-2</v>
      </c>
      <c r="K24" s="2">
        <f t="shared" si="1"/>
        <v>0.12450359948127204</v>
      </c>
      <c r="L24" s="2">
        <f>IF(Data!X24=0,"",Data!X24)</f>
        <v>4.2721738848506101E-2</v>
      </c>
      <c r="M24" s="2">
        <f>IF(Data!Y24=0,"",Data!Y24)</f>
        <v>5.1694659833360197E-2</v>
      </c>
      <c r="N24" s="2">
        <f>IF(Data!Z24=0,"",Data!Z24)</f>
        <v>6.8642226312463694E-2</v>
      </c>
      <c r="O24" s="2">
        <f>IF(Data!AA24=0,"",Data!AA24)</f>
        <v>6.9274509947361507E-2</v>
      </c>
      <c r="P24" s="2">
        <f>IF(Data!AB24=0,"",Data!AB24)</f>
        <v>5.64202278022886E-2</v>
      </c>
      <c r="Q24" s="2">
        <f>IF(Data!AC24=0,"",Data!AC24)</f>
        <v>4.6074026708987803E-2</v>
      </c>
      <c r="R24" s="2">
        <f>IF(Data!AD24=0,"",Data!AD24)</f>
        <v>5.8520006370922202E-2</v>
      </c>
      <c r="S24" s="2">
        <f>IF(Data!AE24=0,"",Data!AE24)</f>
        <v>9.8222245283364804E-2</v>
      </c>
      <c r="T24" s="2">
        <f>IF(Data!AF24=0,"",Data!AF24)</f>
        <v>0.119216721471503</v>
      </c>
      <c r="U24" s="2">
        <f>IF(Data!AG24=0,"",Data!AG24)</f>
        <v>0.11675218909893</v>
      </c>
    </row>
    <row r="25" spans="1:21">
      <c r="A25" s="1">
        <f>Data!A25</f>
        <v>43026</v>
      </c>
      <c r="B25" t="str">
        <f>Data!B25</f>
        <v>132004.SH</v>
      </c>
      <c r="C25" t="str">
        <f>Data!C25</f>
        <v>15国盛EB</v>
      </c>
      <c r="D25" t="str">
        <f>Data!E25</f>
        <v>600170.SH</v>
      </c>
      <c r="E25" t="str">
        <f>Data!F25</f>
        <v>上海建工</v>
      </c>
      <c r="F25" s="6">
        <f>Data!D25</f>
        <v>92.8</v>
      </c>
      <c r="G25" s="6">
        <f>Data!N25</f>
        <v>90.255151393435</v>
      </c>
      <c r="H25" s="2">
        <f t="shared" si="0"/>
        <v>2.8196159080955185E-2</v>
      </c>
      <c r="I25" s="2">
        <f>IF(Data!V25=0,"",Data!V25)</f>
        <v>4.5698838873743701E-2</v>
      </c>
      <c r="J25" s="2">
        <f>IF(Data!W25=0,"",Data!W25)</f>
        <v>1.2299233041539501E-2</v>
      </c>
      <c r="K25" s="2">
        <f t="shared" si="1"/>
        <v>7.7357811473799082E-2</v>
      </c>
      <c r="L25" s="2">
        <f>IF(Data!X25=0,"",Data!X25)</f>
        <v>2.69333017708984E-2</v>
      </c>
      <c r="M25" s="2">
        <f>IF(Data!Y25=0,"",Data!Y25)</f>
        <v>3.2268087996484902E-2</v>
      </c>
      <c r="N25" s="2">
        <f>IF(Data!Z25=0,"",Data!Z25)</f>
        <v>4.3778004845818501E-2</v>
      </c>
      <c r="O25" s="2">
        <f>IF(Data!AA25=0,"",Data!AA25)</f>
        <v>3.91908602366784E-2</v>
      </c>
      <c r="P25" s="2">
        <f>IF(Data!AB25=0,"",Data!AB25)</f>
        <v>4.3298993303570801E-2</v>
      </c>
      <c r="Q25" s="2">
        <f>IF(Data!AC25=0,"",Data!AC25)</f>
        <v>3.3890391339799097E-2</v>
      </c>
      <c r="R25" s="2">
        <f>IF(Data!AD25=0,"",Data!AD25)</f>
        <v>4.15225101551484E-2</v>
      </c>
      <c r="S25" s="2">
        <f>IF(Data!AE25=0,"",Data!AE25)</f>
        <v>6.4566577364887107E-2</v>
      </c>
      <c r="T25" s="2">
        <f>IF(Data!AF25=0,"",Data!AF25)</f>
        <v>5.7415856721002002E-2</v>
      </c>
      <c r="U25" s="2">
        <f>IF(Data!AG25=0,"",Data!AG25)</f>
        <v>4.2834995431012102E-2</v>
      </c>
    </row>
    <row r="26" spans="1:21">
      <c r="A26" s="1">
        <f>Data!A26</f>
        <v>43026</v>
      </c>
      <c r="B26" t="str">
        <f>Data!B26</f>
        <v>132005.SH</v>
      </c>
      <c r="C26" t="str">
        <f>Data!C26</f>
        <v>15国资EB</v>
      </c>
      <c r="D26" t="str">
        <f>Data!E26</f>
        <v>601601.SH</v>
      </c>
      <c r="E26" t="str">
        <f>Data!F26</f>
        <v>中国太保</v>
      </c>
      <c r="F26" s="6">
        <f>Data!D26</f>
        <v>125.95</v>
      </c>
      <c r="G26" s="6">
        <f>Data!N26</f>
        <v>124.253453535048</v>
      </c>
      <c r="H26" s="2">
        <f t="shared" si="0"/>
        <v>1.365391799330129E-2</v>
      </c>
      <c r="I26" s="2">
        <f>IF(Data!V26=0,"",Data!V26)</f>
        <v>4.5504639107189299E-2</v>
      </c>
      <c r="J26" s="2">
        <f>IF(Data!W26=0,"",Data!W26)</f>
        <v>2.3532642321640599E-2</v>
      </c>
      <c r="K26" s="2">
        <f t="shared" si="1"/>
        <v>8.7952792999627216E-2</v>
      </c>
      <c r="L26" s="2">
        <f>IF(Data!X26=0,"",Data!X26)</f>
        <v>2.6011668105898099E-3</v>
      </c>
      <c r="M26" s="2">
        <f>IF(Data!Y26=0,"",Data!Y26)</f>
        <v>2.4977574481994801E-2</v>
      </c>
      <c r="N26" s="2">
        <f>IF(Data!Z26=0,"",Data!Z26)</f>
        <v>3.0169425658020999E-2</v>
      </c>
      <c r="O26" s="2">
        <f>IF(Data!AA26=0,"",Data!AA26)</f>
        <v>2.80064704348136E-2</v>
      </c>
      <c r="P26" s="2">
        <f>IF(Data!AB26=0,"",Data!AB26)</f>
        <v>1.9210297244119798E-2</v>
      </c>
      <c r="Q26" s="2">
        <f>IF(Data!AC26=0,"",Data!AC26)</f>
        <v>3.2513837368254403E-2</v>
      </c>
      <c r="R26" s="2">
        <f>IF(Data!AD26=0,"",Data!AD26)</f>
        <v>3.3362227751618602E-2</v>
      </c>
      <c r="S26" s="2">
        <f>IF(Data!AE26=0,"",Data!AE26)</f>
        <v>5.9441082552434001E-2</v>
      </c>
      <c r="T26" s="2">
        <f>IF(Data!AF26=0,"",Data!AF26)</f>
        <v>7.4860244802746195E-2</v>
      </c>
      <c r="U26" s="2">
        <f>IF(Data!AG26=0,"",Data!AG26)</f>
        <v>7.2305340338014404E-2</v>
      </c>
    </row>
    <row r="27" spans="1:21">
      <c r="A27" s="1">
        <f>Data!A27</f>
        <v>43026</v>
      </c>
      <c r="B27" t="str">
        <f>Data!B27</f>
        <v>132006.SH</v>
      </c>
      <c r="C27" t="str">
        <f>Data!C27</f>
        <v>16皖新EB</v>
      </c>
      <c r="D27" t="str">
        <f>Data!E27</f>
        <v>601801.SH</v>
      </c>
      <c r="E27" t="str">
        <f>Data!F27</f>
        <v>皖新传媒</v>
      </c>
      <c r="F27" s="6">
        <f>Data!D27</f>
        <v>101.8</v>
      </c>
      <c r="G27" s="6">
        <f>Data!N27</f>
        <v>109.090480937051</v>
      </c>
      <c r="H27" s="2">
        <f t="shared" si="0"/>
        <v>-6.6829670878963854E-2</v>
      </c>
      <c r="I27" s="2">
        <f>IF(Data!V27=0,"",Data!V27)</f>
        <v>-0.13788558426147901</v>
      </c>
      <c r="J27" s="2">
        <f>IF(Data!W27=0,"",Data!W27)</f>
        <v>6.5655765099146696E-2</v>
      </c>
      <c r="K27" s="2">
        <f t="shared" si="1"/>
        <v>0.86042914178192598</v>
      </c>
      <c r="L27" s="2">
        <f>IF(Data!X27=0,"",Data!X27)</f>
        <v>-6.7404792333247796E-2</v>
      </c>
      <c r="M27" s="2">
        <f>IF(Data!Y27=0,"",Data!Y27)</f>
        <v>-7.0258105786472E-2</v>
      </c>
      <c r="N27" s="2">
        <f>IF(Data!Z27=0,"",Data!Z27)</f>
        <v>-8.5604903438311702E-2</v>
      </c>
      <c r="O27" s="2">
        <f>IF(Data!AA27=0,"",Data!AA27)</f>
        <v>-0.12764772860677701</v>
      </c>
      <c r="P27" s="2">
        <f>IF(Data!AB27=0,"",Data!AB27)</f>
        <v>-0.16515116679133501</v>
      </c>
      <c r="Q27" s="2">
        <f>IF(Data!AC27=0,"",Data!AC27)</f>
        <v>-0.219735845191359</v>
      </c>
      <c r="R27" s="2">
        <f>IF(Data!AD27=0,"",Data!AD27)</f>
        <v>-0.22692635197402</v>
      </c>
      <c r="S27" s="2">
        <f>IF(Data!AE27=0,"",Data!AE27)</f>
        <v>-0.227860274054241</v>
      </c>
      <c r="T27" s="2">
        <f>IF(Data!AF27=0,"",Data!AF27)</f>
        <v>-0.21502503963231501</v>
      </c>
      <c r="U27" s="2">
        <f>IF(Data!AG27=0,"",Data!AG27)</f>
        <v>-0.18730770497707799</v>
      </c>
    </row>
    <row r="28" spans="1:21">
      <c r="A28" s="1">
        <f>Data!A28</f>
        <v>43026</v>
      </c>
      <c r="B28" t="str">
        <f>Data!B28</f>
        <v>132007.SH</v>
      </c>
      <c r="C28" t="str">
        <f>Data!C28</f>
        <v>16凤凰EB</v>
      </c>
      <c r="D28" t="str">
        <f>Data!E28</f>
        <v>601928.SH</v>
      </c>
      <c r="E28" t="str">
        <f>Data!F28</f>
        <v>凤凰传媒</v>
      </c>
      <c r="F28" s="6">
        <f>Data!D28</f>
        <v>93.06</v>
      </c>
      <c r="G28" s="6">
        <f>Data!N28</f>
        <v>91.824461423903301</v>
      </c>
      <c r="H28" s="2">
        <f t="shared" si="0"/>
        <v>1.345544048870484E-2</v>
      </c>
      <c r="I28" s="2">
        <f>IF(Data!V28=0,"",Data!V28)</f>
        <v>5.8980549406071801E-2</v>
      </c>
      <c r="J28" s="2">
        <f>IF(Data!W28=0,"",Data!W28)</f>
        <v>3.5766699639649201E-2</v>
      </c>
      <c r="K28" s="2">
        <f t="shared" si="1"/>
        <v>0.10153829041375226</v>
      </c>
      <c r="L28" s="2">
        <f>IF(Data!X28=0,"",Data!X28)</f>
        <v>1.32569668867704E-2</v>
      </c>
      <c r="M28" s="2">
        <f>IF(Data!Y28=0,"",Data!Y28)</f>
        <v>2.4012563559759999E-2</v>
      </c>
      <c r="N28" s="2">
        <f>IF(Data!Z28=0,"",Data!Z28)</f>
        <v>3.0496358545474299E-2</v>
      </c>
      <c r="O28" s="2">
        <f>IF(Data!AA28=0,"",Data!AA28)</f>
        <v>2.5970334716573201E-2</v>
      </c>
      <c r="P28" s="2">
        <f>IF(Data!AB28=0,"",Data!AB28)</f>
        <v>2.87096233099251E-2</v>
      </c>
      <c r="Q28" s="2">
        <f>IF(Data!AC28=0,"",Data!AC28)</f>
        <v>3.9894816718214501E-2</v>
      </c>
      <c r="R28" s="2">
        <f>IF(Data!AD28=0,"",Data!AD28)</f>
        <v>6.2616010554276E-2</v>
      </c>
      <c r="S28" s="2">
        <f>IF(Data!AE28=0,"",Data!AE28)</f>
        <v>9.3069509008616699E-2</v>
      </c>
      <c r="T28" s="2">
        <f>IF(Data!AF28=0,"",Data!AF28)</f>
        <v>0.103628665102124</v>
      </c>
      <c r="U28" s="2">
        <f>IF(Data!AG28=0,"",Data!AG28)</f>
        <v>9.3497913727799295E-2</v>
      </c>
    </row>
    <row r="29" spans="1:21">
      <c r="A29" s="1">
        <f>Data!A29</f>
        <v>43026</v>
      </c>
      <c r="B29" t="str">
        <f>Data!B29</f>
        <v>132008.SH</v>
      </c>
      <c r="C29" t="str">
        <f>Data!C29</f>
        <v>17山高EB</v>
      </c>
      <c r="D29" t="str">
        <f>Data!E29</f>
        <v>600350.SH</v>
      </c>
      <c r="E29" t="str">
        <f>Data!F29</f>
        <v>山东高速</v>
      </c>
      <c r="F29" s="6">
        <f>Data!D29</f>
        <v>95.35</v>
      </c>
      <c r="G29" s="6">
        <f>Data!N29</f>
        <v>95.408734891266107</v>
      </c>
      <c r="H29" s="2">
        <f t="shared" si="0"/>
        <v>-6.1561335377779969E-4</v>
      </c>
      <c r="I29" s="2">
        <f>IF(Data!V29=0,"",Data!V29)</f>
        <v>-6.1410583544614199E-3</v>
      </c>
      <c r="J29" s="2">
        <f>IF(Data!W29=0,"",Data!W29)</f>
        <v>9.4507957120514297E-3</v>
      </c>
      <c r="K29" s="2">
        <f t="shared" si="1"/>
        <v>0.72060978653292784</v>
      </c>
      <c r="L29" s="2">
        <f>IF(Data!X29=0,"",Data!X29)</f>
        <v>-1.6606466882552501E-3</v>
      </c>
      <c r="M29" s="2">
        <f>IF(Data!Y29=0,"",Data!Y29)</f>
        <v>7.6092645465502298E-5</v>
      </c>
      <c r="N29" s="2">
        <f>IF(Data!Z29=0,"",Data!Z29)</f>
        <v>1.15602493344569E-3</v>
      </c>
      <c r="O29" s="2">
        <f>IF(Data!AA29=0,"",Data!AA29)</f>
        <v>-4.8546617391110802E-3</v>
      </c>
      <c r="P29" s="2">
        <f>IF(Data!AB29=0,"",Data!AB29)</f>
        <v>-1.17416411778885E-2</v>
      </c>
      <c r="Q29" s="2">
        <f>IF(Data!AC29=0,"",Data!AC29)</f>
        <v>-2.4451665028072202E-2</v>
      </c>
      <c r="R29" s="2" t="str">
        <f>IF(Data!AD29=0,"",Data!AD29)</f>
        <v/>
      </c>
      <c r="S29" s="2" t="str">
        <f>IF(Data!AE29=0,"",Data!AE29)</f>
        <v/>
      </c>
      <c r="T29" s="2" t="str">
        <f>IF(Data!AF29=0,"",Data!AF29)</f>
        <v/>
      </c>
      <c r="U29" s="2" t="str">
        <f>IF(Data!AG29=0,"",Data!AG29)</f>
        <v/>
      </c>
    </row>
    <row r="30" spans="1:21">
      <c r="A30" s="1">
        <f>Data!A30</f>
        <v>43026</v>
      </c>
      <c r="B30" t="str">
        <f>Data!B30</f>
        <v>132009.SH</v>
      </c>
      <c r="C30" t="str">
        <f>Data!C30</f>
        <v>17中油EB</v>
      </c>
      <c r="D30" t="str">
        <f>Data!E30</f>
        <v>601857.SH</v>
      </c>
      <c r="E30" t="str">
        <f>Data!F30</f>
        <v>中国石油</v>
      </c>
      <c r="F30" s="6">
        <f>Data!D30</f>
        <v>101.84</v>
      </c>
      <c r="G30" s="6">
        <f>Data!N30</f>
        <v>97.974064268144303</v>
      </c>
      <c r="H30" s="2">
        <f t="shared" si="0"/>
        <v>3.9458766569844927E-2</v>
      </c>
      <c r="I30" s="2">
        <f>IF(Data!V30=0,"",Data!V30)</f>
        <v>5.8329963798047203E-2</v>
      </c>
      <c r="J30" s="2">
        <f>IF(Data!W30=0,"",Data!W30)</f>
        <v>1.1894799937863999E-2</v>
      </c>
      <c r="K30" s="2">
        <f t="shared" si="1"/>
        <v>5.6312040662498272E-2</v>
      </c>
      <c r="L30" s="2">
        <f>IF(Data!X30=0,"",Data!X30)</f>
        <v>5.4040691067967897E-2</v>
      </c>
      <c r="M30" s="2">
        <f>IF(Data!Y30=0,"",Data!Y30)</f>
        <v>6.2190776164863897E-2</v>
      </c>
      <c r="N30" s="2">
        <f>IF(Data!Z30=0,"",Data!Z30)</f>
        <v>6.1126650590453101E-2</v>
      </c>
      <c r="O30" s="2">
        <f>IF(Data!AA30=0,"",Data!AA30)</f>
        <v>3.6112628980476298E-2</v>
      </c>
      <c r="P30" s="2" t="str">
        <f>IF(Data!AB30=0,"",Data!AB30)</f>
        <v/>
      </c>
      <c r="Q30" s="2" t="str">
        <f>IF(Data!AC30=0,"",Data!AC30)</f>
        <v/>
      </c>
      <c r="R30" s="2" t="str">
        <f>IF(Data!AD30=0,"",Data!AD30)</f>
        <v/>
      </c>
      <c r="S30" s="2" t="str">
        <f>IF(Data!AE30=0,"",Data!AE30)</f>
        <v/>
      </c>
      <c r="T30" s="2" t="str">
        <f>IF(Data!AF30=0,"",Data!AF30)</f>
        <v/>
      </c>
      <c r="U30" s="2" t="str">
        <f>IF(Data!AG30=0,"",Data!AG30)</f>
        <v/>
      </c>
    </row>
    <row r="31" spans="1:21">
      <c r="A31" s="1">
        <f>Data!A31</f>
        <v>43026</v>
      </c>
      <c r="B31" t="str">
        <f>Data!B31</f>
        <v>132010.SH</v>
      </c>
      <c r="C31" t="str">
        <f>Data!C31</f>
        <v>17桐昆EB</v>
      </c>
      <c r="D31" t="str">
        <f>Data!E31</f>
        <v>601233.SH</v>
      </c>
      <c r="E31" t="str">
        <f>Data!F31</f>
        <v>桐昆股份</v>
      </c>
      <c r="F31" s="6">
        <f>Data!D31</f>
        <v>115.5</v>
      </c>
      <c r="G31" s="6">
        <f>Data!N31</f>
        <v>119.229657686045</v>
      </c>
      <c r="H31" s="2">
        <f t="shared" si="0"/>
        <v>-3.1281291571480629E-2</v>
      </c>
      <c r="I31" s="2">
        <f>IF(Data!V31=0,"",Data!V31)</f>
        <v>-1.7680208740778799E-2</v>
      </c>
      <c r="J31" s="2">
        <f>IF(Data!W31=0,"",Data!W31)</f>
        <v>1.93076599329653E-2</v>
      </c>
      <c r="K31" s="2">
        <f t="shared" si="1"/>
        <v>0.24057948429717874</v>
      </c>
      <c r="L31" s="2">
        <f>IF(Data!X31=0,"",Data!X31)</f>
        <v>-4.0660851992780099E-2</v>
      </c>
      <c r="M31" s="2">
        <f>IF(Data!Y31=0,"",Data!Y31)</f>
        <v>-1.34289819379791E-2</v>
      </c>
      <c r="N31" s="2">
        <f>IF(Data!Z31=0,"",Data!Z31)</f>
        <v>-4.1702968611761898E-3</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43026</v>
      </c>
      <c r="B32" t="str">
        <f>Data!B32</f>
        <v>132011.SH</v>
      </c>
      <c r="C32" t="str">
        <f>Data!C32</f>
        <v>17浙报EB</v>
      </c>
      <c r="D32" t="str">
        <f>Data!E32</f>
        <v>600633.SH</v>
      </c>
      <c r="E32" t="str">
        <f>Data!F32</f>
        <v>浙数文化</v>
      </c>
      <c r="F32" s="6">
        <f>Data!D32</f>
        <v>93</v>
      </c>
      <c r="G32" s="6">
        <f>Data!N32</f>
        <v>98.981114842993307</v>
      </c>
      <c r="H32" s="2">
        <f t="shared" si="0"/>
        <v>-6.0426828415508615E-2</v>
      </c>
      <c r="I32" s="2">
        <f>IF(Data!V32=0,"",Data!V32)</f>
        <v>-5.9344878382733099E-2</v>
      </c>
      <c r="J32" s="2">
        <f>IF(Data!W32=0,"",Data!W32)</f>
        <v>1.8037419047271502E-2</v>
      </c>
      <c r="K32" s="2">
        <f t="shared" si="1"/>
        <v>0.47608433270217609</v>
      </c>
      <c r="L32" s="2">
        <f>IF(Data!X32=0,"",Data!X32)</f>
        <v>-7.0645525085095306E-2</v>
      </c>
      <c r="M32" s="2">
        <f>IF(Data!Y32=0,"",Data!Y32)</f>
        <v>-5.4586711350159502E-2</v>
      </c>
      <c r="N32" s="2" t="str">
        <f>IF(Data!Z32=0,"",Data!Z32)</f>
        <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43026</v>
      </c>
      <c r="B33" t="str">
        <f>Data!B33</f>
        <v>132012.SH</v>
      </c>
      <c r="C33" t="str">
        <f>Data!C33</f>
        <v>17巨化EB</v>
      </c>
      <c r="D33" t="str">
        <f>Data!E33</f>
        <v>600160.SH</v>
      </c>
      <c r="E33" t="str">
        <f>Data!F33</f>
        <v>巨化股份</v>
      </c>
      <c r="F33" s="6">
        <f>Data!D33</f>
        <v>103.71</v>
      </c>
      <c r="G33" s="6">
        <f>Data!N33</f>
        <v>111.976973573004</v>
      </c>
      <c r="H33" s="2">
        <f t="shared" si="0"/>
        <v>-7.3827442457303993E-2</v>
      </c>
      <c r="I33" s="2">
        <f>IF(Data!V33=0,"",Data!V33)</f>
        <v>-9.0840372591082699E-2</v>
      </c>
      <c r="J33" s="2">
        <f>IF(Data!W33=0,"",Data!W33)</f>
        <v>9.1327364476867807E-3</v>
      </c>
      <c r="K33" s="2">
        <f t="shared" si="1"/>
        <v>0.96875840622703424</v>
      </c>
      <c r="L33" s="2">
        <f>IF(Data!X33=0,"",Data!X33)</f>
        <v>-9.2713972161063696E-2</v>
      </c>
      <c r="M33" s="2">
        <f>IF(Data!Y33=0,"",Data!Y33)</f>
        <v>-8.8342239831108102E-2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3"/>
  <sheetViews>
    <sheetView workbookViewId="0">
      <selection activeCell="J12" sqref="J12"/>
    </sheetView>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c r="A2" s="1">
        <f>Data!A2</f>
        <v>43026</v>
      </c>
      <c r="B2" t="str">
        <f>Data!B2</f>
        <v>110030.SH</v>
      </c>
      <c r="C2" t="str">
        <f>Data!C2</f>
        <v>格力转债</v>
      </c>
      <c r="D2" t="str">
        <f>Data!E2</f>
        <v>600185.SH</v>
      </c>
      <c r="E2" t="str">
        <f>Data!F2</f>
        <v>格力地产</v>
      </c>
      <c r="F2" s="6">
        <f>Data!L2</f>
        <v>98.3476</v>
      </c>
      <c r="G2" s="6">
        <f>Data!M2</f>
        <v>9.7413390741616297</v>
      </c>
      <c r="H2" s="5">
        <f>Data!P2</f>
        <v>0.45572700189173798</v>
      </c>
      <c r="I2" s="3">
        <f>Data!Q2</f>
        <v>6.2945718493333898</v>
      </c>
      <c r="J2" t="str">
        <f>ROUND(10*Data!D2,0)&amp;":"&amp;ROUND(Data!G2*I2*10,0)</f>
        <v>1109:385</v>
      </c>
      <c r="K2">
        <f>Data!R2</f>
        <v>-0.26458874723711101</v>
      </c>
      <c r="L2" s="6">
        <f>Data!S2</f>
        <v>-2.57744870204434</v>
      </c>
      <c r="M2" s="6">
        <f>Data!T2</f>
        <v>-5.7177745302713996</v>
      </c>
      <c r="N2" s="2">
        <f>Data!J2</f>
        <v>0.284429115774681</v>
      </c>
      <c r="O2" s="2">
        <f>Data!K2</f>
        <v>0.356310060410167</v>
      </c>
    </row>
    <row r="3" spans="1:15">
      <c r="A3" s="1">
        <f>Data!A3</f>
        <v>43026</v>
      </c>
      <c r="B3" t="str">
        <f>Data!B3</f>
        <v>110031.SH</v>
      </c>
      <c r="C3" t="str">
        <f>Data!C3</f>
        <v>航信转债</v>
      </c>
      <c r="D3" t="str">
        <f>Data!E3</f>
        <v>600271.SH</v>
      </c>
      <c r="E3" t="str">
        <f>Data!F3</f>
        <v>航天信息</v>
      </c>
      <c r="F3" s="6">
        <f>Data!L3</f>
        <v>94.0017</v>
      </c>
      <c r="G3" s="6">
        <f>Data!M3</f>
        <v>0.732753636071661</v>
      </c>
      <c r="H3" s="5">
        <f>Data!P3</f>
        <v>8.93542715735995E-2</v>
      </c>
      <c r="I3" s="3">
        <f>Data!Q3</f>
        <v>0.20877166255513899</v>
      </c>
      <c r="J3" t="str">
        <f>ROUND(10*Data!D3,0)&amp;":"&amp;ROUND(Data!G3*I3*10,0)</f>
        <v>1047:40</v>
      </c>
      <c r="K3">
        <f>Data!R3</f>
        <v>-0.22162302998889699</v>
      </c>
      <c r="L3" s="6">
        <f>Data!S3</f>
        <v>-0.16239508106158301</v>
      </c>
      <c r="M3" s="6">
        <f>Data!T3</f>
        <v>-2.922253875</v>
      </c>
      <c r="N3" s="2">
        <f>Data!J3</f>
        <v>0.25077886554650602</v>
      </c>
      <c r="O3" s="2">
        <f>Data!K3</f>
        <v>0.62080931621600399</v>
      </c>
    </row>
    <row r="4" spans="1:15">
      <c r="A4" s="1">
        <f>Data!A4</f>
        <v>43026</v>
      </c>
      <c r="B4" t="str">
        <f>Data!B4</f>
        <v>110032.SH</v>
      </c>
      <c r="C4" t="str">
        <f>Data!C4</f>
        <v>三一转债</v>
      </c>
      <c r="D4" t="str">
        <f>Data!E4</f>
        <v>600031.SH</v>
      </c>
      <c r="E4" t="str">
        <f>Data!F4</f>
        <v>三一重工</v>
      </c>
      <c r="F4" s="6">
        <f>Data!L4</f>
        <v>91.255799999999994</v>
      </c>
      <c r="G4" s="6">
        <f>Data!M4</f>
        <v>30.536284143433399</v>
      </c>
      <c r="H4" s="5">
        <f>Data!P4</f>
        <v>0.69742811097379798</v>
      </c>
      <c r="I4" s="3">
        <f>Data!Q4</f>
        <v>9.3614511540107106</v>
      </c>
      <c r="J4" t="str">
        <f>ROUND(10*Data!D4,0)&amp;":"&amp;ROUND(Data!G4*I4*10,0)</f>
        <v>1195:746</v>
      </c>
      <c r="K4">
        <f>Data!R4</f>
        <v>-0.244982924802054</v>
      </c>
      <c r="L4" s="6">
        <f>Data!S4</f>
        <v>-7.4808682020448796</v>
      </c>
      <c r="M4" s="6">
        <f>Data!T4</f>
        <v>-6.6889609138155102</v>
      </c>
      <c r="N4" s="2">
        <f>Data!J4</f>
        <v>0.28899030694467198</v>
      </c>
      <c r="O4" s="2">
        <f>Data!K4</f>
        <v>0.26348796572398497</v>
      </c>
    </row>
    <row r="5" spans="1:15">
      <c r="A5" s="1">
        <f>Data!A5</f>
        <v>43026</v>
      </c>
      <c r="B5" t="str">
        <f>Data!B5</f>
        <v>110033.SH</v>
      </c>
      <c r="C5" t="str">
        <f>Data!C5</f>
        <v>国贸转债</v>
      </c>
      <c r="D5" t="str">
        <f>Data!E5</f>
        <v>600755.SH</v>
      </c>
      <c r="E5" t="str">
        <f>Data!F5</f>
        <v>厦门国贸</v>
      </c>
      <c r="F5" s="6">
        <f>Data!L5</f>
        <v>92.771699999999996</v>
      </c>
      <c r="G5" s="6">
        <f>Data!M5</f>
        <v>53.766179529019098</v>
      </c>
      <c r="H5" s="5">
        <f>Data!P5</f>
        <v>0.77295648796677796</v>
      </c>
      <c r="I5" s="3">
        <f>Data!Q5</f>
        <v>8.7736264241405006</v>
      </c>
      <c r="J5" t="str">
        <f>ROUND(10*Data!D5,0)&amp;":"&amp;ROUND(Data!G5*I5*10,0)</f>
        <v>1271:948</v>
      </c>
      <c r="K5">
        <f>Data!R5</f>
        <v>-0.40394504538411702</v>
      </c>
      <c r="L5" s="6">
        <f>Data!S5</f>
        <v>-21.718581829980199</v>
      </c>
      <c r="M5" s="6">
        <f>Data!T5</f>
        <v>-8.1361035490153704</v>
      </c>
      <c r="N5" s="2">
        <f>Data!J5</f>
        <v>0.44085891792235998</v>
      </c>
      <c r="O5" s="2">
        <f>Data!K5</f>
        <v>0.188856593930221</v>
      </c>
    </row>
    <row r="6" spans="1:15">
      <c r="A6" s="1">
        <f>Data!A6</f>
        <v>43026</v>
      </c>
      <c r="B6" t="str">
        <f>Data!B6</f>
        <v>110034.SH</v>
      </c>
      <c r="C6" t="str">
        <f>Data!C6</f>
        <v>九州转债</v>
      </c>
      <c r="D6" t="str">
        <f>Data!E6</f>
        <v>600998.SH</v>
      </c>
      <c r="E6" t="str">
        <f>Data!F6</f>
        <v>九州通</v>
      </c>
      <c r="F6" s="6">
        <f>Data!L6</f>
        <v>91.659499999999994</v>
      </c>
      <c r="G6" s="6">
        <f>Data!M6</f>
        <v>28.588902575095901</v>
      </c>
      <c r="H6" s="5">
        <f>Data!P6</f>
        <v>0.74699315065170302</v>
      </c>
      <c r="I6" s="3">
        <f>Data!Q6</f>
        <v>4.0053252045667698</v>
      </c>
      <c r="J6" t="str">
        <f>ROUND(10*Data!D6,0)&amp;":"&amp;ROUND(Data!G6*I6*10,0)</f>
        <v>1267:848</v>
      </c>
      <c r="K6">
        <f>Data!R6</f>
        <v>-0.48798553412185902</v>
      </c>
      <c r="L6" s="6">
        <f>Data!S6</f>
        <v>-13.950970893066</v>
      </c>
      <c r="M6" s="6">
        <f>Data!T6</f>
        <v>-8.2464965598795992</v>
      </c>
      <c r="N6" s="2">
        <f>Data!J6</f>
        <v>0.201543529858044</v>
      </c>
      <c r="O6" s="2">
        <f>Data!K6</f>
        <v>0.28996355230753901</v>
      </c>
    </row>
    <row r="7" spans="1:15">
      <c r="A7" s="1">
        <f>Data!A7</f>
        <v>43026</v>
      </c>
      <c r="B7" t="str">
        <f>Data!B7</f>
        <v>113008.SH</v>
      </c>
      <c r="C7" t="str">
        <f>Data!C7</f>
        <v>电气转债</v>
      </c>
      <c r="D7" t="str">
        <f>Data!E7</f>
        <v>601727.SH</v>
      </c>
      <c r="E7" t="str">
        <f>Data!F7</f>
        <v>上海电气</v>
      </c>
      <c r="F7" s="6">
        <f>Data!L7</f>
        <v>95.264300000000006</v>
      </c>
      <c r="G7" s="6">
        <f>Data!M7</f>
        <v>12.000319045045</v>
      </c>
      <c r="H7" s="5">
        <f>Data!P7</f>
        <v>0.47079810337057798</v>
      </c>
      <c r="I7" s="3">
        <f>Data!Q7</f>
        <v>4.4206394682683401</v>
      </c>
      <c r="J7" t="str">
        <f>ROUND(10*Data!D7,0)&amp;":"&amp;ROUND(Data!G7*I7*10,0)</f>
        <v>1072:358</v>
      </c>
      <c r="K7">
        <f>Data!R7</f>
        <v>-0.33196295454646801</v>
      </c>
      <c r="L7" s="6">
        <f>Data!S7</f>
        <v>-3.9836613656933801</v>
      </c>
      <c r="M7" s="6">
        <f>Data!T7</f>
        <v>-3.6326397506925199</v>
      </c>
      <c r="N7" s="2">
        <f>Data!J7</f>
        <v>0.33169120731693202</v>
      </c>
      <c r="O7" s="2">
        <f>Data!K7</f>
        <v>0.344318334109254</v>
      </c>
    </row>
    <row r="8" spans="1:15">
      <c r="A8" s="1">
        <f>Data!A8</f>
        <v>43026</v>
      </c>
      <c r="B8" t="str">
        <f>Data!B8</f>
        <v>113009.SH</v>
      </c>
      <c r="C8" t="str">
        <f>Data!C8</f>
        <v>广汽转债</v>
      </c>
      <c r="D8" t="str">
        <f>Data!E8</f>
        <v>601238.SH</v>
      </c>
      <c r="E8" t="str">
        <f>Data!F8</f>
        <v>广汽集团</v>
      </c>
      <c r="F8" s="6">
        <f>Data!L8</f>
        <v>90.942599999999999</v>
      </c>
      <c r="G8" s="6">
        <f>Data!M8</f>
        <v>42.736438789264902</v>
      </c>
      <c r="H8" s="5">
        <f>Data!P8</f>
        <v>0.82572343354420796</v>
      </c>
      <c r="I8" s="3">
        <f>Data!Q8</f>
        <v>3.8531191485964</v>
      </c>
      <c r="J8" t="str">
        <f>ROUND(10*Data!D8,0)&amp;":"&amp;ROUND(Data!G8*I8*10,0)</f>
        <v>1320:1070</v>
      </c>
      <c r="K8">
        <f>Data!R8</f>
        <v>-0.58754337592005601</v>
      </c>
      <c r="L8" s="6">
        <f>Data!S8</f>
        <v>-25.109511521045601</v>
      </c>
      <c r="M8" s="6">
        <f>Data!T8</f>
        <v>-9.6298828125</v>
      </c>
      <c r="N8" s="2">
        <f>Data!J8</f>
        <v>0.220436805939738</v>
      </c>
      <c r="O8" s="2">
        <f>Data!K8</f>
        <v>0.202055018206555</v>
      </c>
    </row>
    <row r="9" spans="1:15">
      <c r="A9" s="1">
        <f>Data!A9</f>
        <v>43026</v>
      </c>
      <c r="B9" t="str">
        <f>Data!B9</f>
        <v>113010.SH</v>
      </c>
      <c r="C9" t="str">
        <f>Data!C9</f>
        <v>江南转债</v>
      </c>
      <c r="D9" t="str">
        <f>Data!E9</f>
        <v>601199.SH</v>
      </c>
      <c r="E9" t="str">
        <f>Data!F9</f>
        <v>江南水务</v>
      </c>
      <c r="F9" s="6">
        <f>Data!L9</f>
        <v>92.169899999999998</v>
      </c>
      <c r="G9" s="6">
        <f>Data!M9</f>
        <v>2.9943629248210599</v>
      </c>
      <c r="H9" s="5">
        <f>Data!P9</f>
        <v>0.24493390452764099</v>
      </c>
      <c r="I9" s="3">
        <f>Data!Q9</f>
        <v>2.6336978981466799</v>
      </c>
      <c r="J9" t="str">
        <f>ROUND(10*Data!D9,0)&amp;":"&amp;ROUND(Data!G9*I9*10,0)</f>
        <v>1056:169</v>
      </c>
      <c r="K9">
        <f>Data!R9</f>
        <v>-9.9840540280772702E-2</v>
      </c>
      <c r="L9" s="6">
        <f>Data!S9</f>
        <v>-0.29895881221085002</v>
      </c>
      <c r="M9" s="6">
        <f>Data!T9</f>
        <v>-3.0438147612156299</v>
      </c>
      <c r="N9" s="2">
        <f>Data!J9</f>
        <v>0.16788103064398199</v>
      </c>
      <c r="O9" s="2">
        <f>Data!K9</f>
        <v>0.36538449782711502</v>
      </c>
    </row>
    <row r="10" spans="1:15">
      <c r="A10" s="1">
        <f>Data!A10</f>
        <v>43026</v>
      </c>
      <c r="B10" t="str">
        <f>Data!B10</f>
        <v>113011.SH</v>
      </c>
      <c r="C10" t="str">
        <f>Data!C10</f>
        <v>光大转债</v>
      </c>
      <c r="D10" t="str">
        <f>Data!E10</f>
        <v>601818.SH</v>
      </c>
      <c r="E10" t="str">
        <f>Data!F10</f>
        <v>光大银行</v>
      </c>
      <c r="F10" s="6">
        <f>Data!L10</f>
        <v>85.600300000000004</v>
      </c>
      <c r="G10" s="6">
        <f>Data!M10</f>
        <v>14.211295555426</v>
      </c>
      <c r="H10" s="5">
        <f>Data!P10</f>
        <v>0.62437950135926601</v>
      </c>
      <c r="I10" s="3">
        <f>Data!Q10</f>
        <v>14.6567958065555</v>
      </c>
      <c r="J10" t="str">
        <f>ROUND(10*Data!D10,0)&amp;":"&amp;ROUND(Data!G10*I10*10,0)</f>
        <v>1124:605</v>
      </c>
      <c r="K10">
        <f>Data!R10</f>
        <v>-7.4594744288444398E-2</v>
      </c>
      <c r="L10" s="6">
        <f>Data!S10</f>
        <v>-1.0600879579645099</v>
      </c>
      <c r="M10" s="6">
        <f>Data!T10</f>
        <v>-4.9516568561308798</v>
      </c>
      <c r="N10" s="2">
        <f>Data!J10</f>
        <v>0.13364217797431899</v>
      </c>
      <c r="O10" s="2">
        <f>Data!K10</f>
        <v>0.28277003149067498</v>
      </c>
    </row>
    <row r="11" spans="1:15">
      <c r="A11" s="1">
        <f>Data!A11</f>
        <v>43026</v>
      </c>
      <c r="B11" t="str">
        <f>Data!B11</f>
        <v>113012.SH</v>
      </c>
      <c r="C11" t="str">
        <f>Data!C11</f>
        <v>骆驼转债</v>
      </c>
      <c r="D11" t="str">
        <f>Data!E11</f>
        <v>601311.SH</v>
      </c>
      <c r="E11" t="str">
        <f>Data!F11</f>
        <v>骆驼股份</v>
      </c>
      <c r="F11" s="6">
        <f>Data!L11</f>
        <v>85.206500000000005</v>
      </c>
      <c r="G11" s="6">
        <f>Data!M11</f>
        <v>20.075891437634098</v>
      </c>
      <c r="H11" s="5">
        <f>Data!P11</f>
        <v>0.59538157953388104</v>
      </c>
      <c r="I11" s="3">
        <f>Data!Q11</f>
        <v>3.5608946144370899</v>
      </c>
      <c r="J11" t="str">
        <f>ROUND(10*Data!D11,0)&amp;":"&amp;ROUND(Data!G11*I11*10,0)</f>
        <v>1127:526</v>
      </c>
      <c r="K11">
        <f>Data!R11</f>
        <v>-0.40739622825579203</v>
      </c>
      <c r="L11" s="6">
        <f>Data!S11</f>
        <v>-8.1788424505648791</v>
      </c>
      <c r="M11" s="6">
        <f>Data!T11</f>
        <v>-5.0612372268907597</v>
      </c>
      <c r="N11" s="2">
        <f>Data!J11</f>
        <v>0.265177771029459</v>
      </c>
      <c r="O11" s="2">
        <f>Data!K11</f>
        <v>0.36219180686075297</v>
      </c>
    </row>
    <row r="12" spans="1:15">
      <c r="A12" s="1">
        <f>Data!A12</f>
        <v>43026</v>
      </c>
      <c r="B12" t="str">
        <f>Data!B12</f>
        <v>113013.SH</v>
      </c>
      <c r="C12" t="str">
        <f>Data!C12</f>
        <v>国君转债</v>
      </c>
      <c r="D12" t="str">
        <f>Data!E12</f>
        <v>601211.SH</v>
      </c>
      <c r="E12" t="str">
        <f>Data!F12</f>
        <v>国泰君安</v>
      </c>
      <c r="F12" s="6">
        <f>Data!L12</f>
        <v>84.287099999999995</v>
      </c>
      <c r="G12" s="6">
        <f>Data!M12</f>
        <v>26.5483505094317</v>
      </c>
      <c r="H12" s="5">
        <f>Data!P12</f>
        <v>0.70143506402253397</v>
      </c>
      <c r="I12" s="3">
        <f>Data!Q12</f>
        <v>3.47245081199274</v>
      </c>
      <c r="J12" t="str">
        <f>ROUND(10*Data!D12,0)&amp;":"&amp;ROUND(Data!G12*I12*10,0)</f>
        <v>1242:740</v>
      </c>
      <c r="K12">
        <f>Data!R12</f>
        <v>-0.45823373408220303</v>
      </c>
      <c r="L12" s="6">
        <f>Data!S12</f>
        <v>-12.16534978766</v>
      </c>
      <c r="M12" s="6">
        <f>Data!T12</f>
        <v>-6.9868589108910903</v>
      </c>
      <c r="N12" s="2">
        <f>Data!J12</f>
        <v>0.20359256300734199</v>
      </c>
      <c r="O12" s="2">
        <f>Data!K12</f>
        <v>0.359105102831348</v>
      </c>
    </row>
    <row r="13" spans="1:15">
      <c r="A13" s="1">
        <f>Data!A13</f>
        <v>43026</v>
      </c>
      <c r="B13" t="str">
        <f>Data!B13</f>
        <v>120001.SZ</v>
      </c>
      <c r="C13" t="str">
        <f>Data!C13</f>
        <v>16以岭EB</v>
      </c>
      <c r="D13" t="str">
        <f>Data!E13</f>
        <v>002603.SZ</v>
      </c>
      <c r="E13" t="str">
        <f>Data!F13</f>
        <v>以岭药业</v>
      </c>
      <c r="F13" s="6">
        <f>Data!L13</f>
        <v>94.617500000000007</v>
      </c>
      <c r="G13" s="6">
        <f>Data!M13</f>
        <v>11.765010381472001</v>
      </c>
      <c r="H13" s="5">
        <f>Data!P13</f>
        <v>0.55476620059333903</v>
      </c>
      <c r="I13" s="3">
        <f>Data!Q13</f>
        <v>3.1166640482771801</v>
      </c>
      <c r="J13" t="str">
        <f>ROUND(10*Data!D13,0)&amp;":"&amp;ROUND(Data!G13*I13*10,0)</f>
        <v>1075:522</v>
      </c>
      <c r="K13">
        <f>Data!R13</f>
        <v>-0.41339579844359697</v>
      </c>
      <c r="L13" s="6">
        <f>Data!S13</f>
        <v>-4.8636058603458503</v>
      </c>
      <c r="M13" s="6">
        <f>Data!T13</f>
        <v>-3.6771441981747102</v>
      </c>
      <c r="N13" s="2">
        <f>Data!J13</f>
        <v>0.17255343212949101</v>
      </c>
      <c r="O13" s="2">
        <f>Data!K13</f>
        <v>0.19586096145095599</v>
      </c>
    </row>
    <row r="14" spans="1:15">
      <c r="A14" s="1">
        <f>Data!A14</f>
        <v>43026</v>
      </c>
      <c r="B14" t="str">
        <f>Data!B14</f>
        <v>123001.SZ</v>
      </c>
      <c r="C14" t="str">
        <f>Data!C14</f>
        <v>蓝标转债</v>
      </c>
      <c r="D14" t="str">
        <f>Data!E14</f>
        <v>300058.SZ</v>
      </c>
      <c r="E14" t="str">
        <f>Data!F14</f>
        <v>蓝色光标</v>
      </c>
      <c r="F14" s="6">
        <f>Data!L14</f>
        <v>93.471900000000005</v>
      </c>
      <c r="G14" s="6">
        <f>Data!M14</f>
        <v>8.7518650705165104</v>
      </c>
      <c r="H14" s="5">
        <f>Data!P14</f>
        <v>0.41514497381945797</v>
      </c>
      <c r="I14" s="3">
        <f>Data!Q14</f>
        <v>4.2491808988685502</v>
      </c>
      <c r="J14" t="str">
        <f>ROUND(10*Data!D14,0)&amp;":"&amp;ROUND(Data!G14*I14*10,0)</f>
        <v>1036:304</v>
      </c>
      <c r="K14">
        <f>Data!R14</f>
        <v>-0.20650790024974999</v>
      </c>
      <c r="L14" s="6">
        <f>Data!S14</f>
        <v>-1.8073292789815001</v>
      </c>
      <c r="M14" s="6">
        <f>Data!T14</f>
        <v>-2.4319693453032598</v>
      </c>
      <c r="N14" s="2">
        <f>Data!J14</f>
        <v>0.255682316520423</v>
      </c>
      <c r="O14" s="2">
        <f>Data!K14</f>
        <v>0.28842749371080101</v>
      </c>
    </row>
    <row r="15" spans="1:15">
      <c r="A15" s="1">
        <f>Data!A15</f>
        <v>43026</v>
      </c>
      <c r="B15" t="str">
        <f>Data!B15</f>
        <v>127003.SZ</v>
      </c>
      <c r="C15" t="str">
        <f>Data!C15</f>
        <v>海印转债</v>
      </c>
      <c r="D15" t="str">
        <f>Data!E15</f>
        <v>000861.SZ</v>
      </c>
      <c r="E15" t="str">
        <f>Data!F15</f>
        <v>海印股份</v>
      </c>
      <c r="F15" s="6">
        <f>Data!L15</f>
        <v>92.972499999999997</v>
      </c>
      <c r="G15" s="6">
        <f>Data!M15</f>
        <v>5.6205111358101902</v>
      </c>
      <c r="H15" s="5">
        <f>Data!P15</f>
        <v>0.33968692432083702</v>
      </c>
      <c r="I15" s="3">
        <f>Data!Q15</f>
        <v>6.4702271299207101</v>
      </c>
      <c r="J15" t="str">
        <f>ROUND(10*Data!D15,0)&amp;":"&amp;ROUND(Data!G15*I15*10,0)</f>
        <v>1017:240</v>
      </c>
      <c r="K15">
        <f>Data!R15</f>
        <v>-7.8692522213307706E-2</v>
      </c>
      <c r="L15" s="6">
        <f>Data!S15</f>
        <v>-0.44229219740488601</v>
      </c>
      <c r="M15" s="6">
        <f>Data!T15</f>
        <v>-1.8876309266181399</v>
      </c>
      <c r="N15" s="2">
        <f>Data!J15</f>
        <v>0.20362530985815999</v>
      </c>
      <c r="O15" s="2">
        <f>Data!K15</f>
        <v>0.26073617718674402</v>
      </c>
    </row>
    <row r="16" spans="1:15">
      <c r="A16" s="1">
        <f>Data!A16</f>
        <v>43026</v>
      </c>
      <c r="B16" t="str">
        <f>Data!B16</f>
        <v>127004.SZ</v>
      </c>
      <c r="C16" t="str">
        <f>Data!C16</f>
        <v>模塑转债</v>
      </c>
      <c r="D16" t="str">
        <f>Data!E16</f>
        <v>000700.SZ</v>
      </c>
      <c r="E16" t="str">
        <f>Data!F16</f>
        <v>模塑科技</v>
      </c>
      <c r="F16" s="6">
        <f>Data!L16</f>
        <v>89.003200000000007</v>
      </c>
      <c r="G16" s="6">
        <f>Data!M16</f>
        <v>22.5864472241527</v>
      </c>
      <c r="H16" s="5">
        <f>Data!P16</f>
        <v>0.60998761019137304</v>
      </c>
      <c r="I16" s="3">
        <f>Data!Q16</f>
        <v>7.6248451273921596</v>
      </c>
      <c r="J16" t="str">
        <f>ROUND(10*Data!D16,0)&amp;":"&amp;ROUND(Data!G16*I16*10,0)</f>
        <v>1089:529</v>
      </c>
      <c r="K16">
        <f>Data!R16</f>
        <v>-0.20660317064741901</v>
      </c>
      <c r="L16" s="6">
        <f>Data!S16</f>
        <v>-4.6664316101705499</v>
      </c>
      <c r="M16" s="6">
        <f>Data!T16</f>
        <v>-3.5296685064935001</v>
      </c>
      <c r="N16" s="2">
        <f>Data!J16</f>
        <v>0.303221084120252</v>
      </c>
      <c r="O16" s="2">
        <f>Data!K16</f>
        <v>0.27125958286998603</v>
      </c>
    </row>
    <row r="17" spans="1:15">
      <c r="A17" s="1">
        <f>Data!A17</f>
        <v>43026</v>
      </c>
      <c r="B17" t="str">
        <f>Data!B17</f>
        <v>128010.SZ</v>
      </c>
      <c r="C17" t="str">
        <f>Data!C17</f>
        <v>顺昌转债</v>
      </c>
      <c r="D17" t="str">
        <f>Data!E17</f>
        <v>002245.SZ</v>
      </c>
      <c r="E17" t="str">
        <f>Data!F17</f>
        <v>澳洋顺昌</v>
      </c>
      <c r="F17" s="6">
        <f>Data!L17</f>
        <v>92.955399999999997</v>
      </c>
      <c r="G17" s="6">
        <f>Data!M17</f>
        <v>23.109567956147401</v>
      </c>
      <c r="H17" s="5">
        <f>Data!P17</f>
        <v>0.62553871036403497</v>
      </c>
      <c r="I17" s="3">
        <f>Data!Q17</f>
        <v>6.7117887378115402</v>
      </c>
      <c r="J17" t="str">
        <f>ROUND(10*Data!D17,0)&amp;":"&amp;ROUND(Data!G17*I17*10,0)</f>
        <v>1160:591</v>
      </c>
      <c r="K17">
        <f>Data!R17</f>
        <v>-0.29101429414309998</v>
      </c>
      <c r="L17" s="6">
        <f>Data!S17</f>
        <v>-6.7252146067102299</v>
      </c>
      <c r="M17" s="6">
        <f>Data!T17</f>
        <v>-5.3973750000000003</v>
      </c>
      <c r="N17" s="2">
        <f>Data!J17</f>
        <v>0.29773527666509503</v>
      </c>
      <c r="O17" s="2">
        <f>Data!K17</f>
        <v>0.30361933785410999</v>
      </c>
    </row>
    <row r="18" spans="1:15">
      <c r="A18" s="1">
        <f>Data!A18</f>
        <v>43026</v>
      </c>
      <c r="B18" t="str">
        <f>Data!B18</f>
        <v>128012.SZ</v>
      </c>
      <c r="C18" t="str">
        <f>Data!C18</f>
        <v>辉丰转债</v>
      </c>
      <c r="D18" t="str">
        <f>Data!E18</f>
        <v>002496.SZ</v>
      </c>
      <c r="E18" t="str">
        <f>Data!F18</f>
        <v>辉丰股份</v>
      </c>
      <c r="F18" s="6">
        <f>Data!L18</f>
        <v>87.293700000000001</v>
      </c>
      <c r="G18" s="6">
        <f>Data!M18</f>
        <v>11.242673346588401</v>
      </c>
      <c r="H18" s="5">
        <f>Data!P18</f>
        <v>0.46147774477100001</v>
      </c>
      <c r="I18" s="3">
        <f>Data!Q18</f>
        <v>5.9622447644832004</v>
      </c>
      <c r="J18" t="str">
        <f>ROUND(10*Data!D18,0)&amp;":"&amp;ROUND(Data!G18*I18*10,0)</f>
        <v>1050:342</v>
      </c>
      <c r="K18">
        <f>Data!R18</f>
        <v>-0.17612414435926901</v>
      </c>
      <c r="L18" s="6">
        <f>Data!S18</f>
        <v>-1.98010622347864</v>
      </c>
      <c r="M18" s="6">
        <f>Data!T18</f>
        <v>-3.9251060943510798</v>
      </c>
      <c r="N18" s="2">
        <f>Data!J18</f>
        <v>0.27911768901622203</v>
      </c>
      <c r="O18" s="2">
        <f>Data!K18</f>
        <v>0.38825338988894897</v>
      </c>
    </row>
    <row r="19" spans="1:15">
      <c r="A19" s="1">
        <f>Data!A19</f>
        <v>43026</v>
      </c>
      <c r="B19" t="str">
        <f>Data!B19</f>
        <v>128013.SZ</v>
      </c>
      <c r="C19" t="str">
        <f>Data!C19</f>
        <v>洪涛转债</v>
      </c>
      <c r="D19" t="str">
        <f>Data!E19</f>
        <v>002325.SZ</v>
      </c>
      <c r="E19" t="str">
        <f>Data!F19</f>
        <v>洪涛股份</v>
      </c>
      <c r="F19" s="6">
        <f>Data!L19</f>
        <v>90.630799999999994</v>
      </c>
      <c r="G19" s="6">
        <f>Data!M19</f>
        <v>9.3602339538342303</v>
      </c>
      <c r="H19" s="5">
        <f>Data!P19</f>
        <v>0.41726675191367102</v>
      </c>
      <c r="I19" s="3">
        <f>Data!Q19</f>
        <v>4.16018695826192</v>
      </c>
      <c r="J19" t="str">
        <f>ROUND(10*Data!D19,0)&amp;":"&amp;ROUND(Data!G19*I19*10,0)</f>
        <v>1016:256</v>
      </c>
      <c r="K19">
        <f>Data!R19</f>
        <v>-0.207161252750722</v>
      </c>
      <c r="L19" s="6">
        <f>Data!S19</f>
        <v>-1.9390777919161399</v>
      </c>
      <c r="M19" s="6">
        <f>Data!T19</f>
        <v>-2.2885834606569899</v>
      </c>
      <c r="N19" s="2">
        <f>Data!J19</f>
        <v>0.33229052192895198</v>
      </c>
      <c r="O19" s="2">
        <f>Data!K19</f>
        <v>0.364892391500868</v>
      </c>
    </row>
    <row r="20" spans="1:15">
      <c r="A20" s="1">
        <f>Data!A20</f>
        <v>43026</v>
      </c>
      <c r="B20" t="str">
        <f>Data!B20</f>
        <v>128014.SZ</v>
      </c>
      <c r="C20" t="str">
        <f>Data!C20</f>
        <v>永东转债</v>
      </c>
      <c r="D20" t="str">
        <f>Data!E20</f>
        <v>002753.SZ</v>
      </c>
      <c r="E20" t="str">
        <f>Data!F20</f>
        <v>永东股份</v>
      </c>
      <c r="F20" s="6">
        <f>Data!L20</f>
        <v>88.022199999999998</v>
      </c>
      <c r="G20" s="6">
        <f>Data!M20</f>
        <v>54.998633115206502</v>
      </c>
      <c r="H20" s="5">
        <f>Data!P20</f>
        <v>0.77626909457947002</v>
      </c>
      <c r="I20" s="3">
        <f>Data!Q20</f>
        <v>3.79408159618509</v>
      </c>
      <c r="J20" t="str">
        <f>ROUND(10*Data!D20,0)&amp;":"&amp;ROUND(Data!G20*I20*10,0)</f>
        <v>1162:814</v>
      </c>
      <c r="K20">
        <f>Data!R20</f>
        <v>-0.85240161042418505</v>
      </c>
      <c r="L20" s="6">
        <f>Data!S20</f>
        <v>-46.8809234385309</v>
      </c>
      <c r="M20" s="6">
        <f>Data!T20</f>
        <v>-5.1157701760212602</v>
      </c>
      <c r="N20" s="2">
        <f>Data!J20</f>
        <v>0.56423641993627105</v>
      </c>
      <c r="O20" s="2">
        <f>Data!K20</f>
        <v>0.23587095025678401</v>
      </c>
    </row>
    <row r="21" spans="1:15">
      <c r="A21" s="1">
        <f>Data!A21</f>
        <v>43026</v>
      </c>
      <c r="B21" t="str">
        <f>Data!B21</f>
        <v>128015.SZ</v>
      </c>
      <c r="C21" t="str">
        <f>Data!C21</f>
        <v>久其转债</v>
      </c>
      <c r="D21" t="str">
        <f>Data!E21</f>
        <v>002279.SZ</v>
      </c>
      <c r="E21" t="str">
        <f>Data!F21</f>
        <v>久其软件</v>
      </c>
      <c r="F21" s="6">
        <f>Data!L21</f>
        <v>86.612700000000004</v>
      </c>
      <c r="G21" s="6">
        <f>Data!M21</f>
        <v>27.980962202357102</v>
      </c>
      <c r="H21" s="5">
        <f>Data!P21</f>
        <v>0.66028365254842403</v>
      </c>
      <c r="I21" s="3">
        <f>Data!Q21</f>
        <v>5.1184779267319698</v>
      </c>
      <c r="J21" t="str">
        <f>ROUND(10*Data!D21,0)&amp;":"&amp;ROUND(Data!G21*I21*10,0)</f>
        <v>1149:633</v>
      </c>
      <c r="K21">
        <f>Data!R21</f>
        <v>-0.352435529373676</v>
      </c>
      <c r="L21" s="6">
        <f>Data!S21</f>
        <v>-9.8614852261725297</v>
      </c>
      <c r="M21" s="6">
        <f>Data!T21</f>
        <v>-5.0116898672709604</v>
      </c>
      <c r="N21" s="2">
        <f>Data!J21</f>
        <v>0.29817119627779298</v>
      </c>
      <c r="O21" s="2">
        <f>Data!K21</f>
        <v>0.30293474021016398</v>
      </c>
    </row>
    <row r="22" spans="1:15">
      <c r="A22" s="1">
        <f>Data!A22</f>
        <v>43026</v>
      </c>
      <c r="B22" t="str">
        <f>Data!B22</f>
        <v>132001.SH</v>
      </c>
      <c r="C22" t="str">
        <f>Data!C22</f>
        <v>14宝钢EB</v>
      </c>
      <c r="D22" t="str">
        <f>Data!E22</f>
        <v>601336.SH</v>
      </c>
      <c r="E22" t="str">
        <f>Data!F22</f>
        <v>新华保险</v>
      </c>
      <c r="F22" s="6">
        <f>Data!L22</f>
        <v>102.4175</v>
      </c>
      <c r="G22" s="6">
        <f>Data!M22</f>
        <v>41.112483970868098</v>
      </c>
      <c r="H22" s="5">
        <f>Data!P22</f>
        <v>0.99543441409825795</v>
      </c>
      <c r="I22" s="3">
        <f>Data!Q22</f>
        <v>2.3527166487786801</v>
      </c>
      <c r="J22" t="str">
        <f>ROUND(10*Data!D22,0)&amp;":"&amp;ROUND(Data!G22*I22*10,0)</f>
        <v>1398:1402</v>
      </c>
      <c r="K22">
        <f>Data!R22</f>
        <v>-0.99829244581763299</v>
      </c>
      <c r="L22" s="6">
        <f>Data!S22</f>
        <v>-41.042282176916203</v>
      </c>
      <c r="M22" s="6">
        <f>Data!T22</f>
        <v>-255.836484375</v>
      </c>
      <c r="N22" s="2">
        <f>Data!J22</f>
        <v>0.35526046900374902</v>
      </c>
      <c r="O22" s="2">
        <f>Data!K22</f>
        <v>0.39010288238525398</v>
      </c>
    </row>
    <row r="23" spans="1:15">
      <c r="A23" s="1">
        <f>Data!A23</f>
        <v>43026</v>
      </c>
      <c r="B23" t="str">
        <f>Data!B23</f>
        <v>132002.SH</v>
      </c>
      <c r="C23" t="str">
        <f>Data!C23</f>
        <v>15天集EB</v>
      </c>
      <c r="D23" t="str">
        <f>Data!E23</f>
        <v>600535.SH</v>
      </c>
      <c r="E23" t="str">
        <f>Data!F23</f>
        <v>天士力</v>
      </c>
      <c r="F23" s="6">
        <f>Data!L23</f>
        <v>91.361999999999995</v>
      </c>
      <c r="G23" s="6">
        <f>Data!M23</f>
        <v>0.60414542832573703</v>
      </c>
      <c r="H23" s="5">
        <f>Data!P23</f>
        <v>8.5237410839607106E-2</v>
      </c>
      <c r="I23" s="3">
        <f>Data!Q23</f>
        <v>0.15215532102750301</v>
      </c>
      <c r="J23" t="str">
        <f>ROUND(10*Data!D23,0)&amp;":"&amp;ROUND(Data!G23*I23*10,0)</f>
        <v>1037:55</v>
      </c>
      <c r="K23">
        <f>Data!R23</f>
        <v>-0.32424285265792202</v>
      </c>
      <c r="L23" s="6">
        <f>Data!S23</f>
        <v>-0.19588983710058</v>
      </c>
      <c r="M23" s="6">
        <f>Data!T23</f>
        <v>-4.6510058762530297</v>
      </c>
      <c r="N23" s="2">
        <f>Data!J23</f>
        <v>0.16347273389179101</v>
      </c>
      <c r="O23" s="2">
        <f>Data!K23</f>
        <v>0.50894710462919401</v>
      </c>
    </row>
    <row r="24" spans="1:15">
      <c r="A24" s="1">
        <f>Data!A24</f>
        <v>43026</v>
      </c>
      <c r="B24" t="str">
        <f>Data!B24</f>
        <v>132003.SH</v>
      </c>
      <c r="C24" t="str">
        <f>Data!C24</f>
        <v>15清控EB</v>
      </c>
      <c r="D24" t="str">
        <f>Data!E24</f>
        <v>600109.SH</v>
      </c>
      <c r="E24" t="str">
        <f>Data!F24</f>
        <v>国金证券</v>
      </c>
      <c r="F24" s="6">
        <f>Data!L24</f>
        <v>97.463800000000006</v>
      </c>
      <c r="G24" s="6">
        <f>Data!M24</f>
        <v>0.73483688902381294</v>
      </c>
      <c r="H24" s="5">
        <f>Data!P24</f>
        <v>9.7091987514445602E-2</v>
      </c>
      <c r="I24" s="3">
        <f>Data!Q24</f>
        <v>0.57965365680266001</v>
      </c>
      <c r="J24" t="str">
        <f>ROUND(10*Data!D24,0)&amp;":"&amp;ROUND(Data!G24*I24*10,0)</f>
        <v>1025:65</v>
      </c>
      <c r="K24">
        <f>Data!R24</f>
        <v>-0.26576804486217798</v>
      </c>
      <c r="L24" s="6">
        <f>Data!S24</f>
        <v>-0.195296163288464</v>
      </c>
      <c r="M24" s="6">
        <f>Data!T24</f>
        <v>-4.9433383928571297</v>
      </c>
      <c r="N24" s="2">
        <f>Data!J24</f>
        <v>0.26201065949733898</v>
      </c>
      <c r="O24" s="2">
        <f>Data!K24</f>
        <v>0.53101811437702695</v>
      </c>
    </row>
    <row r="25" spans="1:15">
      <c r="A25" s="1">
        <f>Data!A25</f>
        <v>43026</v>
      </c>
      <c r="B25" t="str">
        <f>Data!B25</f>
        <v>132004.SH</v>
      </c>
      <c r="C25" t="str">
        <f>Data!C25</f>
        <v>15国盛EB</v>
      </c>
      <c r="D25" t="str">
        <f>Data!E25</f>
        <v>600170.SH</v>
      </c>
      <c r="E25" t="str">
        <f>Data!F25</f>
        <v>上海建工</v>
      </c>
      <c r="F25" s="6">
        <f>Data!L25</f>
        <v>89.842399999999998</v>
      </c>
      <c r="G25" s="6">
        <f>Data!M25</f>
        <v>0.41275139343496298</v>
      </c>
      <c r="H25" s="5">
        <f>Data!P25</f>
        <v>6.1838490204894597E-2</v>
      </c>
      <c r="I25" s="3">
        <f>Data!Q25</f>
        <v>0.91477056516116195</v>
      </c>
      <c r="J25" t="str">
        <f>ROUND(10*Data!D25,0)&amp;":"&amp;ROUND(Data!G25*I25*10,0)</f>
        <v>928:34</v>
      </c>
      <c r="K25">
        <f>Data!R25</f>
        <v>-2.06483258177051E-2</v>
      </c>
      <c r="L25" s="6">
        <f>Data!S25</f>
        <v>-8.5226252533568796E-3</v>
      </c>
      <c r="M25" s="6">
        <f>Data!T25</f>
        <v>-0.72973681838666005</v>
      </c>
      <c r="N25" s="2">
        <f>Data!J25</f>
        <v>0.154835005218356</v>
      </c>
      <c r="O25" s="2">
        <f>Data!K25</f>
        <v>0.28573574682001701</v>
      </c>
    </row>
    <row r="26" spans="1:15">
      <c r="A26" s="1">
        <f>Data!A26</f>
        <v>43026</v>
      </c>
      <c r="B26" t="str">
        <f>Data!B26</f>
        <v>132005.SH</v>
      </c>
      <c r="C26" t="str">
        <f>Data!C26</f>
        <v>15国资EB</v>
      </c>
      <c r="D26" t="str">
        <f>Data!E26</f>
        <v>601601.SH</v>
      </c>
      <c r="E26" t="str">
        <f>Data!F26</f>
        <v>中国太保</v>
      </c>
      <c r="F26" s="6">
        <f>Data!L26</f>
        <v>99.282700000000006</v>
      </c>
      <c r="G26" s="6">
        <f>Data!M26</f>
        <v>24.9707535350482</v>
      </c>
      <c r="H26" s="5">
        <f>Data!P26</f>
        <v>0.67258301013488198</v>
      </c>
      <c r="I26" s="3">
        <f>Data!Q26</f>
        <v>1.78973658896988</v>
      </c>
      <c r="J26" t="str">
        <f>ROUND(10*Data!D26,0)&amp;":"&amp;ROUND(Data!G26*I26*10,0)</f>
        <v>1260:708</v>
      </c>
      <c r="K26">
        <f>Data!R26</f>
        <v>-1.38464657151924</v>
      </c>
      <c r="L26" s="6">
        <f>Data!S26</f>
        <v>-34.575668270556299</v>
      </c>
      <c r="M26" s="6">
        <f>Data!T26</f>
        <v>-8.4836413422428798</v>
      </c>
      <c r="N26" s="2">
        <f>Data!J26</f>
        <v>0.27955347259889601</v>
      </c>
      <c r="O26" s="2">
        <f>Data!K26</f>
        <v>0.32660018050060902</v>
      </c>
    </row>
    <row r="27" spans="1:15">
      <c r="A27" s="1">
        <f>Data!A27</f>
        <v>43026</v>
      </c>
      <c r="B27" t="str">
        <f>Data!B27</f>
        <v>132006.SH</v>
      </c>
      <c r="C27" t="str">
        <f>Data!C27</f>
        <v>16皖新EB</v>
      </c>
      <c r="D27" t="str">
        <f>Data!E27</f>
        <v>601801.SH</v>
      </c>
      <c r="E27" t="str">
        <f>Data!F27</f>
        <v>皖新传媒</v>
      </c>
      <c r="F27" s="6">
        <f>Data!L27</f>
        <v>97.178799999999995</v>
      </c>
      <c r="G27" s="6">
        <f>Data!M27</f>
        <v>11.9116809370515</v>
      </c>
      <c r="H27" s="5">
        <f>Data!P27</f>
        <v>0.471787657154082</v>
      </c>
      <c r="I27" s="3">
        <f>Data!Q27</f>
        <v>2.9140682961956901</v>
      </c>
      <c r="J27" t="str">
        <f>ROUND(10*Data!D27,0)&amp;":"&amp;ROUND(Data!G27*I27*10,0)</f>
        <v>1018:360</v>
      </c>
      <c r="K27">
        <f>Data!R27</f>
        <v>-0.45221667365934498</v>
      </c>
      <c r="L27" s="6">
        <f>Data!S27</f>
        <v>-5.3866607310448504</v>
      </c>
      <c r="M27" s="6">
        <f>Data!T27</f>
        <v>-1.2547022067939499</v>
      </c>
      <c r="N27" s="2">
        <f>Data!J27</f>
        <v>0.30781747757573802</v>
      </c>
      <c r="O27" s="2">
        <f>Data!K27</f>
        <v>0.18526257854304201</v>
      </c>
    </row>
    <row r="28" spans="1:15">
      <c r="A28" s="1">
        <f>Data!A28</f>
        <v>43026</v>
      </c>
      <c r="B28" t="str">
        <f>Data!B28</f>
        <v>132007.SH</v>
      </c>
      <c r="C28" t="str">
        <f>Data!C28</f>
        <v>16凤凰EB</v>
      </c>
      <c r="D28" t="str">
        <f>Data!E28</f>
        <v>601928.SH</v>
      </c>
      <c r="E28" t="str">
        <f>Data!F28</f>
        <v>凤凰传媒</v>
      </c>
      <c r="F28" s="6">
        <f>Data!L28</f>
        <v>91.573800000000006</v>
      </c>
      <c r="G28" s="6">
        <f>Data!M28</f>
        <v>0.250661423903285</v>
      </c>
      <c r="H28" s="5">
        <f>Data!P28</f>
        <v>4.4208058716326201E-2</v>
      </c>
      <c r="I28" s="3">
        <f>Data!Q28</f>
        <v>0.28068608708778597</v>
      </c>
      <c r="J28" t="str">
        <f>ROUND(10*Data!D28,0)&amp;":"&amp;ROUND(Data!G28*I28*10,0)</f>
        <v>931:26</v>
      </c>
      <c r="K28">
        <f>Data!R28</f>
        <v>-3.3145099631096998E-2</v>
      </c>
      <c r="L28" s="6">
        <f>Data!S28</f>
        <v>-8.3081978689469992E-3</v>
      </c>
      <c r="M28" s="6">
        <f>Data!T28</f>
        <v>-0.36793782500565098</v>
      </c>
      <c r="N28" s="2">
        <f>Data!J28</f>
        <v>0.12888122359519</v>
      </c>
      <c r="O28" s="2">
        <f>Data!K28</f>
        <v>0.223928081718484</v>
      </c>
    </row>
    <row r="29" spans="1:15">
      <c r="A29" s="1">
        <f>Data!A29</f>
        <v>43026</v>
      </c>
      <c r="B29" t="str">
        <f>Data!B29</f>
        <v>132008.SH</v>
      </c>
      <c r="C29" t="str">
        <f>Data!C29</f>
        <v>17山高EB</v>
      </c>
      <c r="D29" t="str">
        <f>Data!E29</f>
        <v>600350.SH</v>
      </c>
      <c r="E29" t="str">
        <f>Data!F29</f>
        <v>山东高速</v>
      </c>
      <c r="F29" s="6">
        <f>Data!L29</f>
        <v>93.392499999999998</v>
      </c>
      <c r="G29" s="6">
        <f>Data!M29</f>
        <v>2.0162348912661199</v>
      </c>
      <c r="H29" s="5">
        <f>Data!P29</f>
        <v>0.18445064829737301</v>
      </c>
      <c r="I29" s="3">
        <f>Data!Q29</f>
        <v>1.8821494724221799</v>
      </c>
      <c r="J29" t="str">
        <f>ROUND(10*Data!D29,0)&amp;":"&amp;ROUND(Data!G29*I29*10,0)</f>
        <v>954:113</v>
      </c>
      <c r="K29">
        <f>Data!R29</f>
        <v>-8.2123480579155597E-2</v>
      </c>
      <c r="L29" s="6">
        <f>Data!S29</f>
        <v>-0.16558022693590899</v>
      </c>
      <c r="M29" s="6">
        <f>Data!T29</f>
        <v>-0.433197756669361</v>
      </c>
      <c r="N29" s="2">
        <f>Data!J29</f>
        <v>0.18213764378337599</v>
      </c>
      <c r="O29" s="2">
        <f>Data!K29</f>
        <v>0.20340157386815899</v>
      </c>
    </row>
    <row r="30" spans="1:15">
      <c r="A30" s="1">
        <f>Data!A30</f>
        <v>43026</v>
      </c>
      <c r="B30" t="str">
        <f>Data!B30</f>
        <v>132009.SH</v>
      </c>
      <c r="C30" t="str">
        <f>Data!C30</f>
        <v>17中油EB</v>
      </c>
      <c r="D30" t="str">
        <f>Data!E30</f>
        <v>601857.SH</v>
      </c>
      <c r="E30" t="str">
        <f>Data!F30</f>
        <v>中国石油</v>
      </c>
      <c r="F30" s="6">
        <f>Data!L30</f>
        <v>88.509600000000006</v>
      </c>
      <c r="G30" s="6">
        <f>Data!M30</f>
        <v>9.4644642681442708</v>
      </c>
      <c r="H30" s="5">
        <f>Data!P30</f>
        <v>0.54223999677881596</v>
      </c>
      <c r="I30" s="3">
        <f>Data!Q30</f>
        <v>6.0789237307042097</v>
      </c>
      <c r="J30" t="str">
        <f>ROUND(10*Data!D30,0)&amp;":"&amp;ROUND(Data!G30*I30*10,0)</f>
        <v>1018:502</v>
      </c>
      <c r="K30">
        <f>Data!R30</f>
        <v>-0.14599335318068299</v>
      </c>
      <c r="L30" s="6">
        <f>Data!S30</f>
        <v>-1.3817488745651401</v>
      </c>
      <c r="M30" s="6">
        <f>Data!T30</f>
        <v>-2.8135674633770198</v>
      </c>
      <c r="N30" s="2">
        <f>Data!J30</f>
        <v>0.121781857025242</v>
      </c>
      <c r="O30" s="2">
        <f>Data!K30</f>
        <v>0.173681532724798</v>
      </c>
    </row>
    <row r="31" spans="1:15">
      <c r="A31" s="1">
        <f>Data!A31</f>
        <v>43026</v>
      </c>
      <c r="B31" t="str">
        <f>Data!B31</f>
        <v>132010.SH</v>
      </c>
      <c r="C31" t="str">
        <f>Data!C31</f>
        <v>17桐昆EB</v>
      </c>
      <c r="D31" t="str">
        <f>Data!E31</f>
        <v>601233.SH</v>
      </c>
      <c r="E31" t="str">
        <f>Data!F31</f>
        <v>桐昆股份</v>
      </c>
      <c r="F31" s="6">
        <f>Data!L31</f>
        <v>92.4465</v>
      </c>
      <c r="G31" s="6">
        <f>Data!M31</f>
        <v>26.7831576860445</v>
      </c>
      <c r="H31" s="5">
        <f>Data!P31</f>
        <v>0.64219139502977396</v>
      </c>
      <c r="I31" s="3">
        <f>Data!Q31</f>
        <v>3.7511179616225099</v>
      </c>
      <c r="J31" t="str">
        <f>ROUND(10*Data!D31,0)&amp;":"&amp;ROUND(Data!G31*I31*10,0)</f>
        <v>1155:623</v>
      </c>
      <c r="K31">
        <f>Data!R31</f>
        <v>-0.86206951926875297</v>
      </c>
      <c r="L31" s="6">
        <f>Data!S31</f>
        <v>-23.088943870907599</v>
      </c>
      <c r="M31" s="6">
        <f>Data!T31</f>
        <v>-8.2468417183926803</v>
      </c>
      <c r="N31" s="2">
        <f>Data!J31</f>
        <v>0.41568566998047901</v>
      </c>
      <c r="O31" s="2">
        <f>Data!K31</f>
        <v>0.357875750076521</v>
      </c>
    </row>
    <row r="32" spans="1:15">
      <c r="A32" s="1">
        <f>Data!A32</f>
        <v>43026</v>
      </c>
      <c r="B32" t="str">
        <f>Data!B32</f>
        <v>132011.SH</v>
      </c>
      <c r="C32" t="str">
        <f>Data!C32</f>
        <v>17浙报EB</v>
      </c>
      <c r="D32" t="str">
        <f>Data!E32</f>
        <v>600633.SH</v>
      </c>
      <c r="E32" t="str">
        <f>Data!F32</f>
        <v>浙数文化</v>
      </c>
      <c r="F32" s="6">
        <f>Data!L32</f>
        <v>86.498500000000007</v>
      </c>
      <c r="G32" s="6">
        <f>Data!M32</f>
        <v>12.4826148429933</v>
      </c>
      <c r="H32" s="5">
        <f>Data!P32</f>
        <v>0.47694339561958499</v>
      </c>
      <c r="I32" s="3">
        <f>Data!Q32</f>
        <v>1.9077735824783399</v>
      </c>
      <c r="J32" t="str">
        <f>ROUND(10*Data!D32,0)&amp;":"&amp;ROUND(Data!G32*I32*10,0)</f>
        <v>930:333</v>
      </c>
      <c r="K32">
        <f>Data!R32</f>
        <v>-0.58217322725540599</v>
      </c>
      <c r="L32" s="6">
        <f>Data!S32</f>
        <v>-7.2670441677316502</v>
      </c>
      <c r="M32" s="6">
        <f>Data!T32</f>
        <v>-1.3450108634044999</v>
      </c>
      <c r="N32" s="2">
        <f>Data!J32</f>
        <v>0.31828590642718702</v>
      </c>
      <c r="O32" s="2">
        <f>Data!K32</f>
        <v>0.22160984166681699</v>
      </c>
    </row>
    <row r="33" spans="1:15">
      <c r="A33" s="1">
        <f>Data!A33</f>
        <v>43026</v>
      </c>
      <c r="B33" t="str">
        <f>Data!B33</f>
        <v>132012.SH</v>
      </c>
      <c r="C33" t="str">
        <f>Data!C33</f>
        <v>17巨化EB</v>
      </c>
      <c r="D33" t="str">
        <f>Data!E33</f>
        <v>600160.SH</v>
      </c>
      <c r="E33" t="str">
        <f>Data!F33</f>
        <v>巨化股份</v>
      </c>
      <c r="F33" s="6">
        <f>Data!L33</f>
        <v>92.058499999999995</v>
      </c>
      <c r="G33" s="6">
        <f>Data!M33</f>
        <v>19.918473573003698</v>
      </c>
      <c r="H33" s="5">
        <f>Data!P33</f>
        <v>0.57628032448552102</v>
      </c>
      <c r="I33" s="3">
        <f>Data!Q33</f>
        <v>4.2373553270994204</v>
      </c>
      <c r="J33" t="str">
        <f>ROUND(10*Data!D33,0)&amp;":"&amp;ROUND(Data!G33*I33*10,0)</f>
        <v>1037:500</v>
      </c>
      <c r="K33">
        <f>Data!R33</f>
        <v>-0.60361187653289206</v>
      </c>
      <c r="L33" s="6">
        <f>Data!S33</f>
        <v>-12.0230272110716</v>
      </c>
      <c r="M33" s="6">
        <f>Data!T33</f>
        <v>-4.04130266075388</v>
      </c>
      <c r="N33" s="2">
        <f>Data!J33</f>
        <v>0.39847405920427498</v>
      </c>
      <c r="O33" s="2">
        <f>Data!K33</f>
        <v>0.258995735941977</v>
      </c>
    </row>
  </sheetData>
  <phoneticPr fontId="1" type="noConversion"/>
  <conditionalFormatting sqref="H2:H33">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C35" sqref="C35"/>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row r="2" spans="2:7">
      <c r="B2" s="46" t="s">
        <v>245</v>
      </c>
      <c r="C2" s="47"/>
      <c r="E2" s="46" t="s">
        <v>245</v>
      </c>
      <c r="F2" s="47"/>
    </row>
    <row r="3" spans="2:7">
      <c r="B3" s="21" t="s">
        <v>228</v>
      </c>
      <c r="C3" s="17" t="s">
        <v>229</v>
      </c>
      <c r="E3" s="21" t="s">
        <v>225</v>
      </c>
      <c r="F3" s="17">
        <v>41.5</v>
      </c>
    </row>
    <row r="4" spans="2:7">
      <c r="B4" s="21" t="s">
        <v>231</v>
      </c>
      <c r="C4" s="17" t="s">
        <v>232</v>
      </c>
      <c r="E4" s="21" t="s">
        <v>227</v>
      </c>
      <c r="F4" s="17">
        <v>38.479999999999997</v>
      </c>
    </row>
    <row r="5" spans="2:7" ht="14.25" thickBot="1">
      <c r="B5" s="21" t="s">
        <v>234</v>
      </c>
      <c r="C5" s="18">
        <v>1.4999999999999999E-2</v>
      </c>
      <c r="E5" s="21" t="s">
        <v>234</v>
      </c>
      <c r="F5" s="17">
        <v>1.4999999999999999E-2</v>
      </c>
    </row>
    <row r="6" spans="2:7">
      <c r="B6" s="46" t="s">
        <v>246</v>
      </c>
      <c r="C6" s="47"/>
      <c r="E6" s="21" t="s">
        <v>237</v>
      </c>
      <c r="F6" s="19">
        <v>0.35</v>
      </c>
    </row>
    <row r="7" spans="2:7" ht="14.25" thickBot="1">
      <c r="B7" s="21" t="s">
        <v>230</v>
      </c>
      <c r="C7" s="22" t="str">
        <f>[1]!S_Info_Name(C3)</f>
        <v>东方雨虹</v>
      </c>
      <c r="E7" s="23" t="s">
        <v>236</v>
      </c>
      <c r="F7" s="20">
        <v>5.94</v>
      </c>
    </row>
    <row r="8" spans="2:7">
      <c r="B8" s="21" t="s">
        <v>226</v>
      </c>
      <c r="C8" s="22">
        <f>RTD("wdf.rtq", ,C3, "LastPrice","RT_Price")</f>
        <v>40.5</v>
      </c>
      <c r="E8" s="46" t="s">
        <v>248</v>
      </c>
      <c r="F8" s="47"/>
    </row>
    <row r="9" spans="2:7" ht="14.25" thickBot="1">
      <c r="B9" s="23" t="s">
        <v>237</v>
      </c>
      <c r="C9" s="24">
        <f>[1]!s_risk_stdevr100(C3,"")/100</f>
        <v>0.35249309539794921</v>
      </c>
      <c r="E9" s="21" t="s">
        <v>250</v>
      </c>
      <c r="F9" s="27">
        <f>BlackScholes(F3,F4,F5,F7,0,F6,"C",0,0)</f>
        <v>16.0364369314429</v>
      </c>
      <c r="G9" t="s">
        <v>251</v>
      </c>
    </row>
    <row r="10" spans="2:7">
      <c r="B10" s="46" t="s">
        <v>247</v>
      </c>
      <c r="C10" s="47"/>
      <c r="E10" s="21" t="s">
        <v>249</v>
      </c>
      <c r="F10" s="27">
        <f>BlackScholes(F3,F4,F5,F7,0,F6,"C",0,0)*100/F4</f>
        <v>41.674732150319386</v>
      </c>
      <c r="G10" t="s">
        <v>252</v>
      </c>
    </row>
    <row r="11" spans="2:7">
      <c r="B11" s="21" t="s">
        <v>151</v>
      </c>
      <c r="C11" s="22" t="str">
        <f>[1]!S_Info_Name(C4)</f>
        <v>雨虹转债</v>
      </c>
      <c r="E11" s="21" t="s">
        <v>241</v>
      </c>
      <c r="F11" s="29">
        <f>BlackScholes(F3,F4,F5,F7,0,F6,"C",0,1)</f>
        <v>0.73221861513268105</v>
      </c>
    </row>
    <row r="12" spans="2:7" ht="14.25" thickBot="1">
      <c r="B12" s="21" t="s">
        <v>167</v>
      </c>
      <c r="C12" s="22">
        <f>IF(RTD("wdf.rtq", ,C4, "LastPrice","RT_Price")=0,100,RTD("wdf.rtq", ,C4, "LastPrice","RT_Price"))</f>
        <v>100</v>
      </c>
      <c r="E12" s="23" t="s">
        <v>242</v>
      </c>
      <c r="F12" s="31">
        <f>BlackScholes(F3,F4,F5,F7,0,F6,"C",0,2)</f>
        <v>9.3015210176909113E-3</v>
      </c>
    </row>
    <row r="13" spans="2:7">
      <c r="B13" s="21" t="s">
        <v>238</v>
      </c>
      <c r="C13" s="25">
        <f>[1]!cb_anal_straightbondvalue(C4,"")</f>
        <v>80.665700000000001</v>
      </c>
    </row>
    <row r="14" spans="2:7">
      <c r="B14" s="21" t="s">
        <v>233</v>
      </c>
      <c r="C14" s="25">
        <f>[1]!cb_clause_conversion2_swapshareprice(C4,"")</f>
        <v>38.479999999999997</v>
      </c>
    </row>
    <row r="15" spans="2:7">
      <c r="B15" s="21" t="s">
        <v>235</v>
      </c>
      <c r="C15" s="22" t="str">
        <f>[1]!cb_info_maturitydate(C4)</f>
        <v>2023-09-25</v>
      </c>
    </row>
    <row r="16" spans="2:7" ht="14.25" thickBot="1">
      <c r="B16" s="23" t="s">
        <v>236</v>
      </c>
      <c r="C16" s="26">
        <f ca="1">(C15-TODAY())/365</f>
        <v>5.9369863013698634</v>
      </c>
    </row>
    <row r="17" spans="2:3">
      <c r="B17" s="46" t="s">
        <v>253</v>
      </c>
      <c r="C17" s="47"/>
    </row>
    <row r="18" spans="2:3">
      <c r="B18" s="21" t="s">
        <v>166</v>
      </c>
      <c r="C18" s="27">
        <f ca="1">BlackScholes(C8,C14,C5,C16,0,C9,"C",0,0)*100/C14</f>
        <v>39.988958490410553</v>
      </c>
    </row>
    <row r="19" spans="2:3">
      <c r="B19" s="21" t="s">
        <v>239</v>
      </c>
      <c r="C19" s="27">
        <f ca="1">C18+C13</f>
        <v>120.65465849041055</v>
      </c>
    </row>
    <row r="20" spans="2:3">
      <c r="B20" s="21" t="s">
        <v>240</v>
      </c>
      <c r="C20" s="28">
        <f ca="1">C12/C19-1</f>
        <v>-0.1711882388034951</v>
      </c>
    </row>
    <row r="21" spans="2:3">
      <c r="B21" s="21" t="s">
        <v>241</v>
      </c>
      <c r="C21" s="29">
        <f ca="1">BlackScholes(C8,C14,C5,C16,0,C9,"C",0,1)</f>
        <v>0.72330824932274507</v>
      </c>
    </row>
    <row r="22" spans="2:3">
      <c r="B22" s="21" t="s">
        <v>242</v>
      </c>
      <c r="C22" s="29">
        <f ca="1">BlackScholes(C8,C14,C5,C16,0,C9,"C",0,2)</f>
        <v>9.6214302512427057E-3</v>
      </c>
    </row>
    <row r="23" spans="2:3">
      <c r="B23" s="21" t="s">
        <v>243</v>
      </c>
      <c r="C23" s="29">
        <f ca="1">C21*100/C14</f>
        <v>1.8796991926266766</v>
      </c>
    </row>
    <row r="24" spans="2:3" ht="14.25" thickBot="1">
      <c r="B24" s="23" t="s">
        <v>244</v>
      </c>
      <c r="C24" s="30" t="str">
        <f ca="1">ROUND(10*C12,0)&amp;":"&amp;ROUND(C8*C23*10,0)</f>
        <v>1000:761</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3"/>
  <sheetViews>
    <sheetView workbookViewId="0">
      <selection activeCell="A3" sqref="A3"/>
    </sheetView>
  </sheetViews>
  <sheetFormatPr defaultRowHeight="13.5"/>
  <sheetData>
    <row r="1" spans="1:33">
      <c r="A1" t="s">
        <v>256</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219</v>
      </c>
      <c r="AD1" t="s">
        <v>220</v>
      </c>
      <c r="AE1" t="s">
        <v>221</v>
      </c>
      <c r="AF1" t="s">
        <v>222</v>
      </c>
      <c r="AG1" t="s">
        <v>223</v>
      </c>
    </row>
    <row r="2" spans="1:33">
      <c r="A2" s="1">
        <v>43026</v>
      </c>
      <c r="B2" t="s">
        <v>33</v>
      </c>
      <c r="C2" t="s">
        <v>65</v>
      </c>
      <c r="D2">
        <v>110.8536</v>
      </c>
      <c r="E2" t="s">
        <v>97</v>
      </c>
      <c r="F2" t="s">
        <v>129</v>
      </c>
      <c r="G2">
        <v>6.12</v>
      </c>
      <c r="H2">
        <v>7.24</v>
      </c>
      <c r="I2">
        <v>2.1872146118721498</v>
      </c>
      <c r="J2">
        <v>0.284429115774681</v>
      </c>
      <c r="K2">
        <v>0.356310060410167</v>
      </c>
      <c r="L2">
        <v>98.3476</v>
      </c>
      <c r="M2">
        <v>9.7413390741616297</v>
      </c>
      <c r="N2">
        <v>108.088939074162</v>
      </c>
      <c r="O2">
        <v>108.147909766076</v>
      </c>
      <c r="P2">
        <v>0.45572700189173798</v>
      </c>
      <c r="Q2">
        <v>6.2945718493333898</v>
      </c>
      <c r="R2">
        <v>-0.26458874723711101</v>
      </c>
      <c r="S2">
        <v>-2.57744870204434</v>
      </c>
      <c r="T2">
        <v>-5.7177745302713996</v>
      </c>
      <c r="U2">
        <v>2.55776488280774E-2</v>
      </c>
      <c r="V2">
        <v>3.0029168619381201E-2</v>
      </c>
      <c r="W2">
        <v>5.3635758146216302E-2</v>
      </c>
      <c r="X2">
        <v>9.7802853476321606E-3</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c r="A3" s="1">
        <v>43026</v>
      </c>
      <c r="B3" t="s">
        <v>47</v>
      </c>
      <c r="C3" t="s">
        <v>79</v>
      </c>
      <c r="D3">
        <v>104.67659999999999</v>
      </c>
      <c r="E3" t="s">
        <v>111</v>
      </c>
      <c r="F3" t="s">
        <v>143</v>
      </c>
      <c r="G3">
        <v>18.96</v>
      </c>
      <c r="H3">
        <v>42.8</v>
      </c>
      <c r="I3">
        <v>3.6529680365296802</v>
      </c>
      <c r="J3">
        <v>0.25077886554650602</v>
      </c>
      <c r="K3">
        <v>0.62080931621600399</v>
      </c>
      <c r="L3">
        <v>94.0017</v>
      </c>
      <c r="M3">
        <v>0.732753636071661</v>
      </c>
      <c r="N3">
        <v>94.734453636071706</v>
      </c>
      <c r="O3">
        <v>94.698505815122303</v>
      </c>
      <c r="P3">
        <v>8.93542715735995E-2</v>
      </c>
      <c r="Q3">
        <v>0.20877166255513899</v>
      </c>
      <c r="R3">
        <v>-0.22162302998889699</v>
      </c>
      <c r="S3">
        <v>-0.16239508106158301</v>
      </c>
      <c r="T3">
        <v>-2.922253875</v>
      </c>
      <c r="U3">
        <v>0.10494752418293</v>
      </c>
      <c r="V3">
        <v>0.116685908898224</v>
      </c>
      <c r="W3">
        <v>2.5952654338225901E-2</v>
      </c>
      <c r="X3">
        <v>0.101091998337075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c r="A4" s="1">
        <v>43026</v>
      </c>
      <c r="B4" t="s">
        <v>26</v>
      </c>
      <c r="C4" t="s">
        <v>58</v>
      </c>
      <c r="D4">
        <v>119.46550000000001</v>
      </c>
      <c r="E4" t="s">
        <v>90</v>
      </c>
      <c r="F4" t="s">
        <v>122</v>
      </c>
      <c r="G4">
        <v>7.97</v>
      </c>
      <c r="H4">
        <v>7.45</v>
      </c>
      <c r="I4">
        <v>4.2173515981735203</v>
      </c>
      <c r="J4">
        <v>0.28899030694467198</v>
      </c>
      <c r="K4">
        <v>0.26348796572398497</v>
      </c>
      <c r="L4">
        <v>91.255799999999994</v>
      </c>
      <c r="M4">
        <v>30.536284143433399</v>
      </c>
      <c r="N4">
        <v>121.792084143433</v>
      </c>
      <c r="O4">
        <v>121.88960193166599</v>
      </c>
      <c r="P4">
        <v>0.69742811097379798</v>
      </c>
      <c r="Q4">
        <v>9.3614511540107106</v>
      </c>
      <c r="R4">
        <v>-0.244982924802054</v>
      </c>
      <c r="S4">
        <v>-7.4808682020448796</v>
      </c>
      <c r="T4">
        <v>-6.6889609138155102</v>
      </c>
      <c r="U4">
        <v>-1.91029175647686E-2</v>
      </c>
      <c r="V4">
        <v>7.6995307502074999E-3</v>
      </c>
      <c r="W4">
        <v>3.5827648023708698E-2</v>
      </c>
      <c r="X4">
        <v>-1.0279523816745101E-2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c r="A5" s="1">
        <v>43026</v>
      </c>
      <c r="B5" t="s">
        <v>23</v>
      </c>
      <c r="C5" t="s">
        <v>55</v>
      </c>
      <c r="D5">
        <v>127.10680000000001</v>
      </c>
      <c r="E5" t="s">
        <v>87</v>
      </c>
      <c r="F5" t="s">
        <v>119</v>
      </c>
      <c r="G5">
        <v>10.81</v>
      </c>
      <c r="H5">
        <v>8.81</v>
      </c>
      <c r="I5">
        <v>4.2200913242009097</v>
      </c>
      <c r="J5">
        <v>0.44085891792235998</v>
      </c>
      <c r="K5">
        <v>0.188856593930221</v>
      </c>
      <c r="L5">
        <v>92.771699999999996</v>
      </c>
      <c r="M5">
        <v>53.766179529019098</v>
      </c>
      <c r="N5">
        <v>146.53787952901899</v>
      </c>
      <c r="O5">
        <v>146.576114897743</v>
      </c>
      <c r="P5">
        <v>0.77295648796677796</v>
      </c>
      <c r="Q5">
        <v>8.7736264241405006</v>
      </c>
      <c r="R5">
        <v>-0.40394504538411702</v>
      </c>
      <c r="S5">
        <v>-21.718581829980199</v>
      </c>
      <c r="T5">
        <v>-8.1361035490153704</v>
      </c>
      <c r="U5">
        <v>-0.13260106937176699</v>
      </c>
      <c r="V5">
        <v>-2.3472989492548099E-2</v>
      </c>
      <c r="W5">
        <v>5.1960439142116503E-2</v>
      </c>
      <c r="X5">
        <v>-0.124015616875742</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c r="A6" s="1">
        <v>43026</v>
      </c>
      <c r="B6" t="s">
        <v>24</v>
      </c>
      <c r="C6" t="s">
        <v>56</v>
      </c>
      <c r="D6">
        <v>126.68640000000001</v>
      </c>
      <c r="E6" t="s">
        <v>88</v>
      </c>
      <c r="F6" t="s">
        <v>120</v>
      </c>
      <c r="G6">
        <v>21.16</v>
      </c>
      <c r="H6">
        <v>18.649999999999999</v>
      </c>
      <c r="I6">
        <v>4.2474885844748904</v>
      </c>
      <c r="J6">
        <v>0.201543529858044</v>
      </c>
      <c r="K6">
        <v>0.28996355230753901</v>
      </c>
      <c r="L6">
        <v>91.659499999999994</v>
      </c>
      <c r="M6">
        <v>28.588902575095901</v>
      </c>
      <c r="N6">
        <v>120.24840257509599</v>
      </c>
      <c r="O6">
        <v>120.21046841616599</v>
      </c>
      <c r="P6">
        <v>0.74699315065170302</v>
      </c>
      <c r="Q6">
        <v>4.0053252045667698</v>
      </c>
      <c r="R6">
        <v>-0.48798553412185902</v>
      </c>
      <c r="S6">
        <v>-13.950970893066</v>
      </c>
      <c r="T6">
        <v>-8.2464965598795992</v>
      </c>
      <c r="U6">
        <v>5.3539151348672001E-2</v>
      </c>
      <c r="V6">
        <v>6.8725615392032603E-3</v>
      </c>
      <c r="W6">
        <v>5.1535704920402603E-2</v>
      </c>
      <c r="X6">
        <v>4.67527067212496E-2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c r="A7" s="1">
        <v>43026</v>
      </c>
      <c r="B7" t="s">
        <v>37</v>
      </c>
      <c r="C7" t="s">
        <v>69</v>
      </c>
      <c r="D7">
        <v>107.24039999999999</v>
      </c>
      <c r="E7" t="s">
        <v>101</v>
      </c>
      <c r="F7" t="s">
        <v>133</v>
      </c>
      <c r="G7">
        <v>8.09</v>
      </c>
      <c r="H7">
        <v>10.65</v>
      </c>
      <c r="I7">
        <v>3.2968036529680398</v>
      </c>
      <c r="J7">
        <v>0.33169120731693202</v>
      </c>
      <c r="K7">
        <v>0.344318334109254</v>
      </c>
      <c r="L7">
        <v>95.264300000000006</v>
      </c>
      <c r="M7">
        <v>12.000319045045</v>
      </c>
      <c r="N7">
        <v>107.264619045045</v>
      </c>
      <c r="O7">
        <v>107.33581765779699</v>
      </c>
      <c r="P7">
        <v>0.47079810337057798</v>
      </c>
      <c r="Q7">
        <v>4.4206394682683401</v>
      </c>
      <c r="R7">
        <v>-0.33196295454646801</v>
      </c>
      <c r="S7">
        <v>-3.9836613656933801</v>
      </c>
      <c r="T7">
        <v>-3.6326397506925199</v>
      </c>
      <c r="U7">
        <v>-2.2578782510573899E-4</v>
      </c>
      <c r="V7">
        <v>-6.5511051463199896E-2</v>
      </c>
      <c r="W7">
        <v>7.6596688303253002E-2</v>
      </c>
      <c r="X7">
        <v>-3.8469852219183299E-3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c r="A8" s="1">
        <v>43026</v>
      </c>
      <c r="B8" t="s">
        <v>20</v>
      </c>
      <c r="C8" t="s">
        <v>52</v>
      </c>
      <c r="D8">
        <v>132.0301</v>
      </c>
      <c r="E8" t="s">
        <v>84</v>
      </c>
      <c r="F8" t="s">
        <v>116</v>
      </c>
      <c r="G8">
        <v>27.77</v>
      </c>
      <c r="H8">
        <v>21.43</v>
      </c>
      <c r="I8">
        <v>4.2666666666666702</v>
      </c>
      <c r="J8">
        <v>0.220436805939738</v>
      </c>
      <c r="K8">
        <v>0.202055018206555</v>
      </c>
      <c r="L8">
        <v>90.942599999999999</v>
      </c>
      <c r="M8">
        <v>42.736438789264902</v>
      </c>
      <c r="N8">
        <v>133.67903878926501</v>
      </c>
      <c r="O8">
        <v>133.60327464133999</v>
      </c>
      <c r="P8">
        <v>0.82572343354420796</v>
      </c>
      <c r="Q8">
        <v>3.8531191485964</v>
      </c>
      <c r="R8">
        <v>-0.58754337592005601</v>
      </c>
      <c r="S8">
        <v>-25.109511521045601</v>
      </c>
      <c r="T8">
        <v>-9.6298828125</v>
      </c>
      <c r="U8">
        <v>-1.2335058691320899E-2</v>
      </c>
      <c r="V8">
        <v>-4.3556352995900598E-2</v>
      </c>
      <c r="W8">
        <v>2.87933564288099E-2</v>
      </c>
      <c r="X8">
        <v>-2.1277449346272299E-2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c r="A9" s="1">
        <v>43026</v>
      </c>
      <c r="B9" t="s">
        <v>41</v>
      </c>
      <c r="C9" t="s">
        <v>73</v>
      </c>
      <c r="D9">
        <v>105.6155</v>
      </c>
      <c r="E9" t="s">
        <v>105</v>
      </c>
      <c r="F9" t="s">
        <v>137</v>
      </c>
      <c r="G9">
        <v>6.41</v>
      </c>
      <c r="H9">
        <v>9.3000000000000007</v>
      </c>
      <c r="I9">
        <v>4.4173515981735196</v>
      </c>
      <c r="J9">
        <v>0.16788103064398199</v>
      </c>
      <c r="K9">
        <v>0.36538449782711502</v>
      </c>
      <c r="L9">
        <v>92.169899999999998</v>
      </c>
      <c r="M9">
        <v>2.9943629248210599</v>
      </c>
      <c r="N9">
        <v>95.164262924821102</v>
      </c>
      <c r="O9">
        <v>95.167777740751006</v>
      </c>
      <c r="P9">
        <v>0.24493390452764099</v>
      </c>
      <c r="Q9">
        <v>2.6336978981466799</v>
      </c>
      <c r="R9">
        <v>-9.9840540280772702E-2</v>
      </c>
      <c r="S9">
        <v>-0.29895881221085002</v>
      </c>
      <c r="T9">
        <v>-3.0438147612156299</v>
      </c>
      <c r="U9">
        <v>0.10982312849346899</v>
      </c>
      <c r="V9">
        <v>4.7486894736324302E-2</v>
      </c>
      <c r="W9">
        <v>4.4821017833495298E-2</v>
      </c>
      <c r="X9">
        <v>0.10659381361786199</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c r="A10" s="1">
        <v>43026</v>
      </c>
      <c r="B10" t="s">
        <v>16</v>
      </c>
      <c r="C10" t="s">
        <v>48</v>
      </c>
      <c r="D10">
        <v>112.41160000000001</v>
      </c>
      <c r="E10" t="s">
        <v>80</v>
      </c>
      <c r="F10" t="s">
        <v>112</v>
      </c>
      <c r="G10">
        <v>4.13</v>
      </c>
      <c r="H10">
        <v>4.26</v>
      </c>
      <c r="I10">
        <v>5.4146118721461196</v>
      </c>
      <c r="J10">
        <v>0.13364217797431899</v>
      </c>
      <c r="K10">
        <v>0.28277003149067498</v>
      </c>
      <c r="L10">
        <v>85.600300000000004</v>
      </c>
      <c r="M10">
        <v>14.211295555426</v>
      </c>
      <c r="N10">
        <v>99.811595555426095</v>
      </c>
      <c r="O10">
        <v>99.853823343000997</v>
      </c>
      <c r="P10">
        <v>0.62437950135926601</v>
      </c>
      <c r="Q10">
        <v>14.6567958065555</v>
      </c>
      <c r="R10">
        <v>-7.4594744288444398E-2</v>
      </c>
      <c r="S10">
        <v>-1.0600879579645099</v>
      </c>
      <c r="T10">
        <v>-4.9516568561308798</v>
      </c>
      <c r="U10">
        <v>0.12623788222658999</v>
      </c>
      <c r="V10">
        <v>9.3801465660168004E-2</v>
      </c>
      <c r="W10">
        <v>3.5050017747320299E-2</v>
      </c>
      <c r="X10">
        <v>0.127851845404019</v>
      </c>
      <c r="Y10">
        <v>0.13321494833849801</v>
      </c>
      <c r="Z10">
        <v>0.13208369335046699</v>
      </c>
      <c r="AA10">
        <v>9.1085643393975596E-2</v>
      </c>
      <c r="AB10">
        <v>7.7866759994920001E-2</v>
      </c>
      <c r="AC10">
        <v>5.7427387060726101E-2</v>
      </c>
      <c r="AD10">
        <v>4.6829240834708498E-2</v>
      </c>
    </row>
    <row r="11" spans="1:33">
      <c r="A11" s="1">
        <v>43026</v>
      </c>
      <c r="B11" t="s">
        <v>19</v>
      </c>
      <c r="C11" t="s">
        <v>51</v>
      </c>
      <c r="D11">
        <v>112.70820000000001</v>
      </c>
      <c r="E11" t="s">
        <v>83</v>
      </c>
      <c r="F11" t="s">
        <v>115</v>
      </c>
      <c r="G11">
        <v>14.78</v>
      </c>
      <c r="H11">
        <v>16.72</v>
      </c>
      <c r="I11">
        <v>5.4337899543379002</v>
      </c>
      <c r="J11">
        <v>0.265177771029459</v>
      </c>
      <c r="K11">
        <v>0.36219180686075297</v>
      </c>
      <c r="L11">
        <v>85.206500000000005</v>
      </c>
      <c r="M11">
        <v>20.075891437634098</v>
      </c>
      <c r="N11">
        <v>105.282391437634</v>
      </c>
      <c r="O11">
        <v>105.344599629226</v>
      </c>
      <c r="P11">
        <v>0.59538157953388104</v>
      </c>
      <c r="Q11">
        <v>3.5608946144370899</v>
      </c>
      <c r="R11">
        <v>-0.40739622825579203</v>
      </c>
      <c r="S11">
        <v>-8.1788424505648791</v>
      </c>
      <c r="T11">
        <v>-5.0612372268907597</v>
      </c>
      <c r="U11">
        <v>7.0532293776445001E-2</v>
      </c>
      <c r="V11">
        <v>7.0521291137613407E-2</v>
      </c>
      <c r="W11">
        <v>4.0192046033178698E-2</v>
      </c>
      <c r="X11">
        <v>4.72243670239514E-2</v>
      </c>
      <c r="Y11">
        <v>7.5637317905815404E-2</v>
      </c>
      <c r="Z11">
        <v>0.125736381760509</v>
      </c>
      <c r="AA11">
        <v>8.9843198757404402E-2</v>
      </c>
      <c r="AB11">
        <v>6.2598078292151096E-2</v>
      </c>
      <c r="AC11">
        <v>4.2383159961842103E-2</v>
      </c>
      <c r="AD11">
        <v>-1.11995948318255E-3</v>
      </c>
    </row>
    <row r="12" spans="1:33">
      <c r="A12" s="1">
        <v>43026</v>
      </c>
      <c r="B12" t="s">
        <v>18</v>
      </c>
      <c r="C12" t="s">
        <v>50</v>
      </c>
      <c r="D12">
        <v>124.24299999999999</v>
      </c>
      <c r="E12" t="s">
        <v>82</v>
      </c>
      <c r="F12" t="s">
        <v>114</v>
      </c>
      <c r="G12">
        <v>21.3</v>
      </c>
      <c r="H12">
        <v>20.2</v>
      </c>
      <c r="I12">
        <v>5.7187214611872204</v>
      </c>
      <c r="J12">
        <v>0.20359256300734199</v>
      </c>
      <c r="K12">
        <v>0.359105102831348</v>
      </c>
      <c r="L12">
        <v>84.287099999999995</v>
      </c>
      <c r="M12">
        <v>26.5483505094317</v>
      </c>
      <c r="N12">
        <v>110.83545050943199</v>
      </c>
      <c r="O12">
        <v>110.910452467243</v>
      </c>
      <c r="P12">
        <v>0.70143506402253397</v>
      </c>
      <c r="Q12">
        <v>3.47245081199274</v>
      </c>
      <c r="R12">
        <v>-0.45823373408220303</v>
      </c>
      <c r="S12">
        <v>-12.16534978766</v>
      </c>
      <c r="T12">
        <v>-6.9868589108910903</v>
      </c>
      <c r="U12">
        <v>0.120968060570362</v>
      </c>
      <c r="V12">
        <v>0.14672166898387301</v>
      </c>
      <c r="W12">
        <v>2.2189430827625499E-2</v>
      </c>
      <c r="X12">
        <v>0.13019887579964101</v>
      </c>
      <c r="Y12">
        <v>0.134608717884694</v>
      </c>
      <c r="Z12">
        <v>0.16742923392798301</v>
      </c>
      <c r="AA12">
        <v>0.128777733952289</v>
      </c>
    </row>
    <row r="13" spans="1:33">
      <c r="A13" s="1">
        <v>43026</v>
      </c>
      <c r="B13" t="s">
        <v>28</v>
      </c>
      <c r="C13" t="s">
        <v>60</v>
      </c>
      <c r="D13">
        <v>107.49590000000001</v>
      </c>
      <c r="E13" t="s">
        <v>92</v>
      </c>
      <c r="F13" t="s">
        <v>124</v>
      </c>
      <c r="G13">
        <v>16.760000000000002</v>
      </c>
      <c r="H13">
        <v>17.8</v>
      </c>
      <c r="I13">
        <v>3.5022831050228298</v>
      </c>
      <c r="J13">
        <v>0.17255343212949101</v>
      </c>
      <c r="K13">
        <v>0.19586096145095599</v>
      </c>
      <c r="L13">
        <v>94.617500000000007</v>
      </c>
      <c r="M13">
        <v>11.765010381472001</v>
      </c>
      <c r="N13">
        <v>106.382510381472</v>
      </c>
      <c r="O13">
        <v>106.426554026384</v>
      </c>
      <c r="P13">
        <v>0.55476620059333903</v>
      </c>
      <c r="Q13">
        <v>3.1166640482771801</v>
      </c>
      <c r="R13">
        <v>-0.41339579844359697</v>
      </c>
      <c r="S13">
        <v>-4.8636058603458503</v>
      </c>
      <c r="T13">
        <v>-3.6771441981747102</v>
      </c>
      <c r="U13">
        <v>1.0465908489426501E-2</v>
      </c>
      <c r="V13">
        <v>-9.2666528957197395E-4</v>
      </c>
      <c r="W13">
        <v>2.0355456763887499E-2</v>
      </c>
      <c r="X13">
        <v>1.0624782645597399E-2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c r="A14" s="1">
        <v>43026</v>
      </c>
      <c r="B14" t="s">
        <v>36</v>
      </c>
      <c r="C14" t="s">
        <v>68</v>
      </c>
      <c r="D14">
        <v>103.6151</v>
      </c>
      <c r="E14" t="s">
        <v>100</v>
      </c>
      <c r="F14" t="s">
        <v>132</v>
      </c>
      <c r="G14">
        <v>7.16</v>
      </c>
      <c r="H14">
        <v>9.77</v>
      </c>
      <c r="I14">
        <v>4.1707762557077599</v>
      </c>
      <c r="J14">
        <v>0.255682316520423</v>
      </c>
      <c r="K14">
        <v>0.28842749371080101</v>
      </c>
      <c r="L14">
        <v>93.471900000000005</v>
      </c>
      <c r="M14">
        <v>8.7518650705165104</v>
      </c>
      <c r="N14">
        <v>102.223765070517</v>
      </c>
      <c r="O14">
        <v>102.187855584809</v>
      </c>
      <c r="P14">
        <v>0.41514497381945797</v>
      </c>
      <c r="Q14">
        <v>4.2491808988685502</v>
      </c>
      <c r="R14">
        <v>-0.20650790024974999</v>
      </c>
      <c r="S14">
        <v>-1.8073292789815001</v>
      </c>
      <c r="T14">
        <v>-2.4319693453032598</v>
      </c>
      <c r="U14">
        <v>1.36106797526359E-2</v>
      </c>
      <c r="V14">
        <v>3.6695422534817099E-2</v>
      </c>
      <c r="W14">
        <v>3.2430624561567603E-2</v>
      </c>
      <c r="X14">
        <v>1.13494515769353E-2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c r="A15" s="1">
        <v>43026</v>
      </c>
      <c r="B15" t="s">
        <v>38</v>
      </c>
      <c r="C15" t="s">
        <v>70</v>
      </c>
      <c r="D15">
        <v>101.7349</v>
      </c>
      <c r="E15" t="s">
        <v>102</v>
      </c>
      <c r="F15" t="s">
        <v>134</v>
      </c>
      <c r="G15">
        <v>3.71</v>
      </c>
      <c r="H15">
        <v>5.25</v>
      </c>
      <c r="I15">
        <v>4.6420091324200898</v>
      </c>
      <c r="J15">
        <v>0.20362530985815999</v>
      </c>
      <c r="K15">
        <v>0.26073617718674402</v>
      </c>
      <c r="L15">
        <v>92.972499999999997</v>
      </c>
      <c r="M15">
        <v>5.6205111358101902</v>
      </c>
      <c r="N15">
        <v>98.593011135810201</v>
      </c>
      <c r="O15">
        <v>98.593099309643094</v>
      </c>
      <c r="P15">
        <v>0.33968692432083702</v>
      </c>
      <c r="Q15">
        <v>6.4702271299207101</v>
      </c>
      <c r="R15">
        <v>-7.8692522213307706E-2</v>
      </c>
      <c r="S15">
        <v>-0.44229219740488601</v>
      </c>
      <c r="T15">
        <v>-1.8876309266181399</v>
      </c>
      <c r="U15">
        <v>3.1867257404907902E-2</v>
      </c>
      <c r="V15">
        <v>1.1840375385435699E-2</v>
      </c>
      <c r="W15">
        <v>3.6691274589206603E-2</v>
      </c>
      <c r="X15">
        <v>2.67061674032784E-2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c r="A16" s="1">
        <v>43026</v>
      </c>
      <c r="B16" t="s">
        <v>31</v>
      </c>
      <c r="C16" t="s">
        <v>63</v>
      </c>
      <c r="D16">
        <v>108.8596</v>
      </c>
      <c r="E16" t="s">
        <v>95</v>
      </c>
      <c r="F16" t="s">
        <v>127</v>
      </c>
      <c r="G16">
        <v>6.94</v>
      </c>
      <c r="H16">
        <v>8</v>
      </c>
      <c r="I16">
        <v>5.6255707762557101</v>
      </c>
      <c r="J16">
        <v>0.303221084120252</v>
      </c>
      <c r="K16">
        <v>0.27125958286998603</v>
      </c>
      <c r="L16">
        <v>89.003200000000007</v>
      </c>
      <c r="M16">
        <v>22.5864472241527</v>
      </c>
      <c r="N16">
        <v>111.589647224153</v>
      </c>
      <c r="O16">
        <v>111.662006994612</v>
      </c>
      <c r="P16">
        <v>0.60998761019137304</v>
      </c>
      <c r="Q16">
        <v>7.6248451273921596</v>
      </c>
      <c r="R16">
        <v>-0.20660317064741901</v>
      </c>
      <c r="S16">
        <v>-4.6664316101705499</v>
      </c>
      <c r="T16">
        <v>-3.5296685064935001</v>
      </c>
      <c r="U16">
        <v>-2.4465058292269901E-2</v>
      </c>
      <c r="V16">
        <v>-1.97469399868869E-2</v>
      </c>
      <c r="W16">
        <v>1.40857894709191E-2</v>
      </c>
      <c r="X16">
        <v>-3.2640805915426202E-2</v>
      </c>
      <c r="Y16">
        <v>-1.8704850753078098E-2</v>
      </c>
      <c r="Z16">
        <v>-1.3703943676797101E-2</v>
      </c>
      <c r="AA16">
        <v>-1.53713910882614E-2</v>
      </c>
    </row>
    <row r="17" spans="1:33">
      <c r="A17" s="1">
        <v>43026</v>
      </c>
      <c r="B17" t="s">
        <v>27</v>
      </c>
      <c r="C17" t="s">
        <v>59</v>
      </c>
      <c r="D17">
        <v>115.9842</v>
      </c>
      <c r="E17" t="s">
        <v>91</v>
      </c>
      <c r="F17" t="s">
        <v>123</v>
      </c>
      <c r="G17">
        <v>8.81</v>
      </c>
      <c r="H17">
        <v>9.32</v>
      </c>
      <c r="I17">
        <v>4.2666666666666702</v>
      </c>
      <c r="J17">
        <v>0.29773527666509503</v>
      </c>
      <c r="K17">
        <v>0.30361933785410999</v>
      </c>
      <c r="L17">
        <v>92.955399999999997</v>
      </c>
      <c r="M17">
        <v>23.109567956147401</v>
      </c>
      <c r="N17">
        <v>116.064967956147</v>
      </c>
      <c r="O17">
        <v>116.142245873747</v>
      </c>
      <c r="P17">
        <v>0.62553871036403497</v>
      </c>
      <c r="Q17">
        <v>6.7117887378115402</v>
      </c>
      <c r="R17">
        <v>-0.29101429414309998</v>
      </c>
      <c r="S17">
        <v>-6.7252146067102299</v>
      </c>
      <c r="T17">
        <v>-5.3973750000000003</v>
      </c>
      <c r="U17">
        <v>-6.9588574028545103E-4</v>
      </c>
      <c r="V17">
        <v>-4.35289438349728E-2</v>
      </c>
      <c r="W17">
        <v>4.9100392790662299E-2</v>
      </c>
      <c r="X17">
        <v>-4.01293461719933E-3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c r="A18" s="1">
        <v>43026</v>
      </c>
      <c r="B18" t="s">
        <v>39</v>
      </c>
      <c r="C18" t="s">
        <v>71</v>
      </c>
      <c r="D18">
        <v>104.9979</v>
      </c>
      <c r="E18" t="s">
        <v>103</v>
      </c>
      <c r="F18" t="s">
        <v>135</v>
      </c>
      <c r="G18">
        <v>5.73</v>
      </c>
      <c r="H18">
        <v>7.74</v>
      </c>
      <c r="I18">
        <v>4.5105022831050201</v>
      </c>
      <c r="J18">
        <v>0.27911768901622203</v>
      </c>
      <c r="K18">
        <v>0.38825338988894897</v>
      </c>
      <c r="L18">
        <v>87.293700000000001</v>
      </c>
      <c r="M18">
        <v>11.242673346588401</v>
      </c>
      <c r="N18">
        <v>98.536373346588405</v>
      </c>
      <c r="O18">
        <v>98.551477364151495</v>
      </c>
      <c r="P18">
        <v>0.46147774477100001</v>
      </c>
      <c r="Q18">
        <v>5.9622447644832004</v>
      </c>
      <c r="R18">
        <v>-0.17612414435926901</v>
      </c>
      <c r="S18">
        <v>-1.98010622347864</v>
      </c>
      <c r="T18">
        <v>-3.9251060943510798</v>
      </c>
      <c r="U18">
        <v>6.5575040301960805E-2</v>
      </c>
      <c r="V18">
        <v>0.120100883276474</v>
      </c>
      <c r="W18">
        <v>4.0741269858093801E-2</v>
      </c>
      <c r="X18">
        <v>5.8643055126186699E-2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c r="A19" s="1">
        <v>43026</v>
      </c>
      <c r="B19" t="s">
        <v>45</v>
      </c>
      <c r="C19" t="s">
        <v>77</v>
      </c>
      <c r="D19">
        <v>101.5742</v>
      </c>
      <c r="E19" t="s">
        <v>109</v>
      </c>
      <c r="F19" t="s">
        <v>141</v>
      </c>
      <c r="G19">
        <v>6.16</v>
      </c>
      <c r="H19">
        <v>10.029999999999999</v>
      </c>
      <c r="I19">
        <v>4.7817351598173499</v>
      </c>
      <c r="J19">
        <v>0.33229052192895198</v>
      </c>
      <c r="K19">
        <v>0.364892391500868</v>
      </c>
      <c r="L19">
        <v>90.630799999999994</v>
      </c>
      <c r="M19">
        <v>9.3602339538342303</v>
      </c>
      <c r="N19">
        <v>99.991033953834204</v>
      </c>
      <c r="O19">
        <v>100.043160600688</v>
      </c>
      <c r="P19">
        <v>0.41726675191367102</v>
      </c>
      <c r="Q19">
        <v>4.16018695826192</v>
      </c>
      <c r="R19">
        <v>-0.207161252750722</v>
      </c>
      <c r="S19">
        <v>-1.9390777919161399</v>
      </c>
      <c r="T19">
        <v>-2.2885834606569899</v>
      </c>
      <c r="U19">
        <v>1.5833080062925602E-2</v>
      </c>
      <c r="V19">
        <v>1.42457779804365E-2</v>
      </c>
      <c r="W19">
        <v>2.58676689848488E-2</v>
      </c>
      <c r="X19">
        <v>9.1673910892469106E-3</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c r="A20" s="1">
        <v>43026</v>
      </c>
      <c r="B20" t="s">
        <v>22</v>
      </c>
      <c r="C20" t="s">
        <v>54</v>
      </c>
      <c r="D20">
        <v>116.1566</v>
      </c>
      <c r="E20" t="s">
        <v>86</v>
      </c>
      <c r="F20" t="s">
        <v>118</v>
      </c>
      <c r="G20">
        <v>21.45</v>
      </c>
      <c r="H20">
        <v>20.46</v>
      </c>
      <c r="I20">
        <v>5.4995433789954298</v>
      </c>
      <c r="J20">
        <v>0.56423641993627105</v>
      </c>
      <c r="K20">
        <v>0.23587095025678401</v>
      </c>
      <c r="L20">
        <v>88.022199999999998</v>
      </c>
      <c r="M20">
        <v>54.998633115206502</v>
      </c>
      <c r="N20">
        <v>143.02083311520701</v>
      </c>
      <c r="O20">
        <v>142.964458578191</v>
      </c>
      <c r="P20">
        <v>0.77626909457947002</v>
      </c>
      <c r="Q20">
        <v>3.79408159618509</v>
      </c>
      <c r="R20">
        <v>-0.85240161042418505</v>
      </c>
      <c r="S20">
        <v>-46.8809234385309</v>
      </c>
      <c r="T20">
        <v>-5.1157701760212602</v>
      </c>
      <c r="U20">
        <v>-0.187834405170656</v>
      </c>
      <c r="V20">
        <v>-0.167398025545726</v>
      </c>
      <c r="W20">
        <v>4.3590823183523301E-2</v>
      </c>
      <c r="X20">
        <v>-0.20466988777815701</v>
      </c>
      <c r="Y20">
        <v>-0.21759444487021901</v>
      </c>
      <c r="Z20">
        <v>-0.199816698163991</v>
      </c>
      <c r="AA20">
        <v>-0.14598764499892999</v>
      </c>
      <c r="AB20">
        <v>-0.11432852003251399</v>
      </c>
      <c r="AC20">
        <v>-0.12733285378568601</v>
      </c>
    </row>
    <row r="21" spans="1:33">
      <c r="A21" s="1">
        <v>43026</v>
      </c>
      <c r="B21" t="s">
        <v>29</v>
      </c>
      <c r="C21" t="s">
        <v>61</v>
      </c>
      <c r="D21">
        <v>114.8887</v>
      </c>
      <c r="E21" t="s">
        <v>93</v>
      </c>
      <c r="F21" t="s">
        <v>125</v>
      </c>
      <c r="G21">
        <v>12.36</v>
      </c>
      <c r="H21">
        <v>12.9</v>
      </c>
      <c r="I21">
        <v>5.6420091324200898</v>
      </c>
      <c r="J21">
        <v>0.29817119627779298</v>
      </c>
      <c r="K21">
        <v>0.30293474021016398</v>
      </c>
      <c r="L21">
        <v>86.612700000000004</v>
      </c>
      <c r="M21">
        <v>27.980962202357102</v>
      </c>
      <c r="N21">
        <v>114.593662202357</v>
      </c>
      <c r="O21">
        <v>114.629170070524</v>
      </c>
      <c r="P21">
        <v>0.66028365254842403</v>
      </c>
      <c r="Q21">
        <v>5.1184779267319698</v>
      </c>
      <c r="R21">
        <v>-0.352435529373676</v>
      </c>
      <c r="S21">
        <v>-9.8614852261725297</v>
      </c>
      <c r="T21">
        <v>-5.0116898672709604</v>
      </c>
      <c r="U21">
        <v>2.5746432391864399E-3</v>
      </c>
      <c r="V21">
        <v>-8.4818909810526304E-3</v>
      </c>
      <c r="W21">
        <v>2.1597352141994802E-2</v>
      </c>
      <c r="X21">
        <v>-1.3573312043776301E-2</v>
      </c>
      <c r="Y21">
        <v>-3.4469756736107801E-3</v>
      </c>
      <c r="Z21">
        <v>9.8117099410860303E-3</v>
      </c>
      <c r="AA21">
        <v>-2.5139678070061899E-2</v>
      </c>
      <c r="AB21">
        <v>-4.2467177304673899E-2</v>
      </c>
    </row>
    <row r="22" spans="1:33">
      <c r="A22" s="1">
        <v>43026</v>
      </c>
      <c r="B22" t="s">
        <v>21</v>
      </c>
      <c r="C22" t="s">
        <v>53</v>
      </c>
      <c r="D22">
        <v>139.80000000000001</v>
      </c>
      <c r="E22" t="s">
        <v>85</v>
      </c>
      <c r="F22" t="s">
        <v>117</v>
      </c>
      <c r="G22">
        <v>59.6</v>
      </c>
      <c r="H22">
        <v>42.31</v>
      </c>
      <c r="I22">
        <v>0.14611872146118701</v>
      </c>
      <c r="J22">
        <v>0.35526046900374902</v>
      </c>
      <c r="K22">
        <v>0.39010288238525398</v>
      </c>
      <c r="L22">
        <v>102.4175</v>
      </c>
      <c r="M22">
        <v>41.112483970868098</v>
      </c>
      <c r="N22">
        <v>143.52998397086799</v>
      </c>
      <c r="O22">
        <v>143.52695721350401</v>
      </c>
      <c r="P22">
        <v>0.99543441409825795</v>
      </c>
      <c r="Q22">
        <v>2.3527166487786801</v>
      </c>
      <c r="R22">
        <v>-0.99829244581763299</v>
      </c>
      <c r="S22">
        <v>-41.042282176916203</v>
      </c>
      <c r="T22">
        <v>-255.836484375</v>
      </c>
      <c r="U22">
        <v>-2.5987489635790801E-2</v>
      </c>
      <c r="V22">
        <v>5.3300904337979602E-3</v>
      </c>
      <c r="W22">
        <v>2.7317432414657401E-2</v>
      </c>
      <c r="X22">
        <v>-6.9114789421805302E-3</v>
      </c>
      <c r="Y22">
        <v>1.1920721362155299E-2</v>
      </c>
      <c r="Z22">
        <v>-1.55475431791728E-2</v>
      </c>
      <c r="AA22">
        <v>-1.30285291955022E-2</v>
      </c>
      <c r="AB22">
        <v>-3.4033998743630599E-3</v>
      </c>
      <c r="AC22">
        <v>-3.2247200402337001E-2</v>
      </c>
      <c r="AD22">
        <v>-9.3154701821644894E-3</v>
      </c>
      <c r="AE22">
        <v>-4.8814367035250898E-4</v>
      </c>
      <c r="AF22">
        <v>-1.80834911250936E-3</v>
      </c>
      <c r="AG22">
        <v>1.20222737112645E-2</v>
      </c>
    </row>
    <row r="23" spans="1:33">
      <c r="A23" s="1">
        <v>43026</v>
      </c>
      <c r="B23" t="s">
        <v>46</v>
      </c>
      <c r="C23" t="s">
        <v>78</v>
      </c>
      <c r="D23">
        <v>103.65</v>
      </c>
      <c r="E23" t="s">
        <v>110</v>
      </c>
      <c r="F23" t="s">
        <v>142</v>
      </c>
      <c r="G23">
        <v>36.11</v>
      </c>
      <c r="H23">
        <v>56.02</v>
      </c>
      <c r="I23">
        <v>2.6420091324200898</v>
      </c>
      <c r="J23">
        <v>0.16347273389179101</v>
      </c>
      <c r="K23">
        <v>0.50894710462919401</v>
      </c>
      <c r="L23">
        <v>91.361999999999995</v>
      </c>
      <c r="M23">
        <v>0.60414542832573703</v>
      </c>
      <c r="N23">
        <v>91.966145428325703</v>
      </c>
      <c r="O23">
        <v>91.953497412731707</v>
      </c>
      <c r="P23">
        <v>8.5237410839607106E-2</v>
      </c>
      <c r="Q23">
        <v>0.15215532102750301</v>
      </c>
      <c r="R23">
        <v>-0.32424285265792202</v>
      </c>
      <c r="S23">
        <v>-0.19588983710058</v>
      </c>
      <c r="T23">
        <v>-4.6510058762530297</v>
      </c>
      <c r="U23">
        <v>0.127045169907443</v>
      </c>
      <c r="V23">
        <v>0.110885466766212</v>
      </c>
      <c r="W23">
        <v>1.6815059964801701E-2</v>
      </c>
      <c r="X23">
        <v>0.12254296214349999</v>
      </c>
      <c r="Y23">
        <v>0.13047197333649099</v>
      </c>
      <c r="Z23">
        <v>0.12811014658498901</v>
      </c>
      <c r="AA23">
        <v>0.122106794087927</v>
      </c>
      <c r="AB23">
        <v>0.13006389583709399</v>
      </c>
      <c r="AC23">
        <v>0.11111255248416101</v>
      </c>
      <c r="AD23">
        <v>9.9558537784547901E-2</v>
      </c>
      <c r="AE23">
        <v>0.10569657143412001</v>
      </c>
      <c r="AF23">
        <v>0.114844734761814</v>
      </c>
      <c r="AG23">
        <v>9.50945281834744E-2</v>
      </c>
    </row>
    <row r="24" spans="1:33">
      <c r="A24" s="1">
        <v>43026</v>
      </c>
      <c r="B24" t="s">
        <v>40</v>
      </c>
      <c r="C24" t="s">
        <v>72</v>
      </c>
      <c r="D24">
        <v>102.52</v>
      </c>
      <c r="E24" t="s">
        <v>104</v>
      </c>
      <c r="F24" t="s">
        <v>136</v>
      </c>
      <c r="G24">
        <v>11.29</v>
      </c>
      <c r="H24">
        <v>16.75</v>
      </c>
      <c r="I24">
        <v>1.02283105022831</v>
      </c>
      <c r="J24">
        <v>0.26201065949733898</v>
      </c>
      <c r="K24">
        <v>0.53101811437702695</v>
      </c>
      <c r="L24">
        <v>97.463800000000006</v>
      </c>
      <c r="M24">
        <v>0.73483688902381294</v>
      </c>
      <c r="N24">
        <v>98.198636889023803</v>
      </c>
      <c r="O24">
        <v>98.193178243429003</v>
      </c>
      <c r="P24">
        <v>9.7091987514445602E-2</v>
      </c>
      <c r="Q24">
        <v>0.57965365680266001</v>
      </c>
      <c r="R24">
        <v>-0.26576804486217798</v>
      </c>
      <c r="S24">
        <v>-0.195296163288464</v>
      </c>
      <c r="T24">
        <v>-4.9433383928571297</v>
      </c>
      <c r="U24">
        <v>4.4006345178292397E-2</v>
      </c>
      <c r="V24">
        <v>8.7584795420528605E-2</v>
      </c>
      <c r="W24">
        <v>3.7803439574254E-2</v>
      </c>
      <c r="X24">
        <v>4.2721738848506101E-2</v>
      </c>
      <c r="Y24">
        <v>5.1694659833360197E-2</v>
      </c>
      <c r="Z24">
        <v>6.8642226312463694E-2</v>
      </c>
      <c r="AA24">
        <v>6.9274509947361507E-2</v>
      </c>
      <c r="AB24">
        <v>5.64202278022886E-2</v>
      </c>
      <c r="AC24">
        <v>4.6074026708987803E-2</v>
      </c>
      <c r="AD24">
        <v>5.8520006370922202E-2</v>
      </c>
      <c r="AE24">
        <v>9.8222245283364804E-2</v>
      </c>
      <c r="AF24">
        <v>0.119216721471503</v>
      </c>
      <c r="AG24">
        <v>0.11675218909893</v>
      </c>
    </row>
    <row r="25" spans="1:33">
      <c r="A25" s="1">
        <v>43026</v>
      </c>
      <c r="B25" t="s">
        <v>44</v>
      </c>
      <c r="C25" t="s">
        <v>76</v>
      </c>
      <c r="D25">
        <v>92.8</v>
      </c>
      <c r="E25" t="s">
        <v>108</v>
      </c>
      <c r="F25" t="s">
        <v>140</v>
      </c>
      <c r="G25">
        <v>3.75</v>
      </c>
      <c r="H25">
        <v>6.76</v>
      </c>
      <c r="I25">
        <v>4.0529680365296796</v>
      </c>
      <c r="J25">
        <v>0.154835005218356</v>
      </c>
      <c r="K25">
        <v>0.28573574682001701</v>
      </c>
      <c r="L25">
        <v>89.842399999999998</v>
      </c>
      <c r="M25">
        <v>0.41275139343496298</v>
      </c>
      <c r="N25">
        <v>90.255151393435</v>
      </c>
      <c r="O25">
        <v>90.248183213404801</v>
      </c>
      <c r="P25">
        <v>6.1838490204894597E-2</v>
      </c>
      <c r="Q25">
        <v>0.91477056516116195</v>
      </c>
      <c r="R25">
        <v>-2.06483258177051E-2</v>
      </c>
      <c r="S25">
        <v>-8.5226252533568796E-3</v>
      </c>
      <c r="T25">
        <v>-0.72973681838666005</v>
      </c>
      <c r="U25">
        <v>2.81961590809559E-2</v>
      </c>
      <c r="V25">
        <v>4.5698838873743701E-2</v>
      </c>
      <c r="W25">
        <v>1.2299233041539501E-2</v>
      </c>
      <c r="X25">
        <v>2.69333017708984E-2</v>
      </c>
      <c r="Y25">
        <v>3.2268087996484902E-2</v>
      </c>
      <c r="Z25">
        <v>4.3778004845818501E-2</v>
      </c>
      <c r="AA25">
        <v>3.91908602366784E-2</v>
      </c>
      <c r="AB25">
        <v>4.3298993303570801E-2</v>
      </c>
      <c r="AC25">
        <v>3.3890391339799097E-2</v>
      </c>
      <c r="AD25">
        <v>4.15225101551484E-2</v>
      </c>
      <c r="AE25">
        <v>6.4566577364887107E-2</v>
      </c>
      <c r="AF25">
        <v>5.7415856721002002E-2</v>
      </c>
      <c r="AG25">
        <v>4.2834995431012102E-2</v>
      </c>
    </row>
    <row r="26" spans="1:33">
      <c r="A26" s="1">
        <v>43026</v>
      </c>
      <c r="B26" t="s">
        <v>32</v>
      </c>
      <c r="C26" t="s">
        <v>64</v>
      </c>
      <c r="D26">
        <v>125.95</v>
      </c>
      <c r="E26" t="s">
        <v>96</v>
      </c>
      <c r="F26" t="s">
        <v>128</v>
      </c>
      <c r="G26">
        <v>39.57</v>
      </c>
      <c r="H26">
        <v>37.58</v>
      </c>
      <c r="I26">
        <v>3.1433789954337898</v>
      </c>
      <c r="J26">
        <v>0.27955347259889601</v>
      </c>
      <c r="K26">
        <v>0.32660018050060902</v>
      </c>
      <c r="L26">
        <v>99.282700000000006</v>
      </c>
      <c r="M26">
        <v>24.9707535350482</v>
      </c>
      <c r="N26">
        <v>124.253453535048</v>
      </c>
      <c r="O26">
        <v>124.331325503294</v>
      </c>
      <c r="P26">
        <v>0.67258301013488198</v>
      </c>
      <c r="Q26">
        <v>1.78973658896988</v>
      </c>
      <c r="R26">
        <v>-1.38464657151924</v>
      </c>
      <c r="S26">
        <v>-34.575668270556299</v>
      </c>
      <c r="T26">
        <v>-8.4836413422428798</v>
      </c>
      <c r="U26">
        <v>1.3653917993299699E-2</v>
      </c>
      <c r="V26">
        <v>4.5504639107189299E-2</v>
      </c>
      <c r="W26">
        <v>2.3532642321640599E-2</v>
      </c>
      <c r="X26">
        <v>2.6011668105898099E-3</v>
      </c>
      <c r="Y26">
        <v>2.4977574481994801E-2</v>
      </c>
      <c r="Z26">
        <v>3.0169425658020999E-2</v>
      </c>
      <c r="AA26">
        <v>2.80064704348136E-2</v>
      </c>
      <c r="AB26">
        <v>1.9210297244119798E-2</v>
      </c>
      <c r="AC26">
        <v>3.2513837368254403E-2</v>
      </c>
      <c r="AD26">
        <v>3.3362227751618602E-2</v>
      </c>
      <c r="AE26">
        <v>5.9441082552434001E-2</v>
      </c>
      <c r="AF26">
        <v>7.4860244802746195E-2</v>
      </c>
      <c r="AG26">
        <v>7.2305340338014404E-2</v>
      </c>
    </row>
    <row r="27" spans="1:33">
      <c r="A27" s="1">
        <v>43026</v>
      </c>
      <c r="B27" t="s">
        <v>35</v>
      </c>
      <c r="C27" t="s">
        <v>67</v>
      </c>
      <c r="D27">
        <v>101.8</v>
      </c>
      <c r="E27" t="s">
        <v>99</v>
      </c>
      <c r="F27" t="s">
        <v>131</v>
      </c>
      <c r="G27">
        <v>12.34</v>
      </c>
      <c r="H27">
        <v>16.190000000000001</v>
      </c>
      <c r="I27">
        <v>3.6831050228310498</v>
      </c>
      <c r="J27">
        <v>0.30781747757573802</v>
      </c>
      <c r="K27">
        <v>0.18526257854304201</v>
      </c>
      <c r="L27">
        <v>97.178799999999995</v>
      </c>
      <c r="M27">
        <v>11.9116809370515</v>
      </c>
      <c r="N27">
        <v>109.090480937051</v>
      </c>
      <c r="O27">
        <v>109.158232099575</v>
      </c>
      <c r="P27">
        <v>0.471787657154082</v>
      </c>
      <c r="Q27">
        <v>2.9140682961956901</v>
      </c>
      <c r="R27">
        <v>-0.45221667365934498</v>
      </c>
      <c r="S27">
        <v>-5.3866607310448504</v>
      </c>
      <c r="T27">
        <v>-1.2547022067939499</v>
      </c>
      <c r="U27">
        <v>-6.6829670878967906E-2</v>
      </c>
      <c r="V27">
        <v>-0.13788558426147901</v>
      </c>
      <c r="W27">
        <v>6.5655765099146696E-2</v>
      </c>
      <c r="X27">
        <v>-6.7404792333247796E-2</v>
      </c>
      <c r="Y27">
        <v>-7.0258105786472E-2</v>
      </c>
      <c r="Z27">
        <v>-8.5604903438311702E-2</v>
      </c>
      <c r="AA27">
        <v>-0.12764772860677701</v>
      </c>
      <c r="AB27">
        <v>-0.16515116679133501</v>
      </c>
      <c r="AC27">
        <v>-0.219735845191359</v>
      </c>
      <c r="AD27">
        <v>-0.22692635197402</v>
      </c>
      <c r="AE27">
        <v>-0.227860274054241</v>
      </c>
      <c r="AF27">
        <v>-0.21502503963231501</v>
      </c>
      <c r="AG27">
        <v>-0.18730770497707799</v>
      </c>
    </row>
    <row r="28" spans="1:33">
      <c r="A28" s="1">
        <v>43026</v>
      </c>
      <c r="B28" t="s">
        <v>43</v>
      </c>
      <c r="C28" t="s">
        <v>75</v>
      </c>
      <c r="D28">
        <v>93.06</v>
      </c>
      <c r="E28" t="s">
        <v>107</v>
      </c>
      <c r="F28" t="s">
        <v>139</v>
      </c>
      <c r="G28">
        <v>9.2200000000000006</v>
      </c>
      <c r="H28">
        <v>15.75</v>
      </c>
      <c r="I28">
        <v>4.0392694063926902</v>
      </c>
      <c r="J28">
        <v>0.12888122359519</v>
      </c>
      <c r="K28">
        <v>0.223928081718484</v>
      </c>
      <c r="L28">
        <v>91.573800000000006</v>
      </c>
      <c r="M28">
        <v>0.250661423903285</v>
      </c>
      <c r="N28">
        <v>91.824461423903301</v>
      </c>
      <c r="O28">
        <v>91.815754689094703</v>
      </c>
      <c r="P28">
        <v>4.4208058716326201E-2</v>
      </c>
      <c r="Q28">
        <v>0.28068608708778597</v>
      </c>
      <c r="R28">
        <v>-3.3145099631096998E-2</v>
      </c>
      <c r="S28">
        <v>-8.3081978689469992E-3</v>
      </c>
      <c r="T28">
        <v>-0.36793782500565098</v>
      </c>
      <c r="U28">
        <v>1.34554404887051E-2</v>
      </c>
      <c r="V28">
        <v>5.8980549406071801E-2</v>
      </c>
      <c r="W28">
        <v>3.5766699639649201E-2</v>
      </c>
      <c r="X28">
        <v>1.32569668867704E-2</v>
      </c>
      <c r="Y28">
        <v>2.4012563559759999E-2</v>
      </c>
      <c r="Z28">
        <v>3.0496358545474299E-2</v>
      </c>
      <c r="AA28">
        <v>2.5970334716573201E-2</v>
      </c>
      <c r="AB28">
        <v>2.87096233099251E-2</v>
      </c>
      <c r="AC28">
        <v>3.9894816718214501E-2</v>
      </c>
      <c r="AD28">
        <v>6.2616010554276E-2</v>
      </c>
      <c r="AE28">
        <v>9.3069509008616699E-2</v>
      </c>
      <c r="AF28">
        <v>0.103628665102124</v>
      </c>
      <c r="AG28">
        <v>9.3497913727799295E-2</v>
      </c>
    </row>
    <row r="29" spans="1:33">
      <c r="A29" s="1">
        <v>43026</v>
      </c>
      <c r="B29" t="s">
        <v>42</v>
      </c>
      <c r="C29" t="s">
        <v>74</v>
      </c>
      <c r="D29">
        <v>95.35</v>
      </c>
      <c r="E29" t="s">
        <v>106</v>
      </c>
      <c r="F29" t="s">
        <v>138</v>
      </c>
      <c r="G29">
        <v>6</v>
      </c>
      <c r="H29">
        <v>9.8000000000000007</v>
      </c>
      <c r="I29">
        <v>4.5187214611872104</v>
      </c>
      <c r="J29">
        <v>0.18213764378337599</v>
      </c>
      <c r="K29">
        <v>0.20340157386815899</v>
      </c>
      <c r="L29">
        <v>93.392499999999998</v>
      </c>
      <c r="M29">
        <v>2.0162348912661199</v>
      </c>
      <c r="N29">
        <v>95.408734891266107</v>
      </c>
      <c r="O29">
        <v>95.417081658368303</v>
      </c>
      <c r="P29">
        <v>0.18445064829737301</v>
      </c>
      <c r="Q29">
        <v>1.8821494724221799</v>
      </c>
      <c r="R29">
        <v>-8.2123480579155597E-2</v>
      </c>
      <c r="S29">
        <v>-0.16558022693590899</v>
      </c>
      <c r="T29">
        <v>-0.433197756669361</v>
      </c>
      <c r="U29">
        <v>-6.1561335377802195E-4</v>
      </c>
      <c r="V29">
        <v>-6.1410583544614199E-3</v>
      </c>
      <c r="W29">
        <v>9.4507957120514297E-3</v>
      </c>
      <c r="X29">
        <v>-1.6606466882552501E-3</v>
      </c>
      <c r="Y29">
        <v>7.6092645465502298E-5</v>
      </c>
      <c r="Z29">
        <v>1.15602493344569E-3</v>
      </c>
      <c r="AA29">
        <v>-4.8546617391110802E-3</v>
      </c>
      <c r="AB29">
        <v>-1.17416411778885E-2</v>
      </c>
      <c r="AC29">
        <v>-2.4451665028072202E-2</v>
      </c>
    </row>
    <row r="30" spans="1:33">
      <c r="A30" s="1">
        <v>43026</v>
      </c>
      <c r="B30" t="s">
        <v>25</v>
      </c>
      <c r="C30" t="s">
        <v>57</v>
      </c>
      <c r="D30">
        <v>101.84</v>
      </c>
      <c r="E30" t="s">
        <v>89</v>
      </c>
      <c r="F30" t="s">
        <v>121</v>
      </c>
      <c r="G30">
        <v>8.25</v>
      </c>
      <c r="H30">
        <v>8.92</v>
      </c>
      <c r="I30">
        <v>4.7378995433790001</v>
      </c>
      <c r="J30">
        <v>0.121781857025242</v>
      </c>
      <c r="K30">
        <v>0.173681532724798</v>
      </c>
      <c r="L30">
        <v>88.509600000000006</v>
      </c>
      <c r="M30">
        <v>9.4644642681442708</v>
      </c>
      <c r="N30">
        <v>97.974064268144303</v>
      </c>
      <c r="O30">
        <v>97.933117096554696</v>
      </c>
      <c r="P30">
        <v>0.54223999677881596</v>
      </c>
      <c r="Q30">
        <v>6.0789237307042097</v>
      </c>
      <c r="R30">
        <v>-0.14599335318068299</v>
      </c>
      <c r="S30">
        <v>-1.3817488745651401</v>
      </c>
      <c r="T30">
        <v>-2.8135674633770198</v>
      </c>
      <c r="U30">
        <v>3.9458766569845399E-2</v>
      </c>
      <c r="V30">
        <v>5.8329963798047203E-2</v>
      </c>
      <c r="W30">
        <v>1.1894799937863999E-2</v>
      </c>
      <c r="X30">
        <v>5.4040691067967897E-2</v>
      </c>
      <c r="Y30">
        <v>6.2190776164863897E-2</v>
      </c>
      <c r="Z30">
        <v>6.1126650590453101E-2</v>
      </c>
      <c r="AA30">
        <v>3.6112628980476298E-2</v>
      </c>
    </row>
    <row r="31" spans="1:33">
      <c r="A31" s="1">
        <v>43026</v>
      </c>
      <c r="B31" t="s">
        <v>17</v>
      </c>
      <c r="C31" t="s">
        <v>49</v>
      </c>
      <c r="D31">
        <v>115.5</v>
      </c>
      <c r="E31" t="s">
        <v>81</v>
      </c>
      <c r="F31" t="s">
        <v>113</v>
      </c>
      <c r="G31">
        <v>16.61</v>
      </c>
      <c r="H31">
        <v>17.12</v>
      </c>
      <c r="I31">
        <v>2.7954337899543402</v>
      </c>
      <c r="J31">
        <v>0.41568566998047901</v>
      </c>
      <c r="K31">
        <v>0.357875750076521</v>
      </c>
      <c r="L31">
        <v>92.4465</v>
      </c>
      <c r="M31">
        <v>26.7831576860445</v>
      </c>
      <c r="N31">
        <v>119.229657686045</v>
      </c>
      <c r="O31">
        <v>119.22920230554099</v>
      </c>
      <c r="P31">
        <v>0.64219139502977396</v>
      </c>
      <c r="Q31">
        <v>3.7511179616225099</v>
      </c>
      <c r="R31">
        <v>-0.86206951926875297</v>
      </c>
      <c r="S31">
        <v>-23.088943870907599</v>
      </c>
      <c r="T31">
        <v>-8.2468417183926803</v>
      </c>
      <c r="U31">
        <v>-3.1281291571476598E-2</v>
      </c>
      <c r="V31">
        <v>-1.7680208740778799E-2</v>
      </c>
      <c r="W31">
        <v>1.93076599329653E-2</v>
      </c>
      <c r="X31">
        <v>-4.0660851992780099E-2</v>
      </c>
      <c r="Y31">
        <v>-1.34289819379791E-2</v>
      </c>
      <c r="Z31">
        <v>-4.1702968611761898E-3</v>
      </c>
    </row>
    <row r="32" spans="1:33">
      <c r="A32" s="1">
        <v>43026</v>
      </c>
      <c r="B32" t="s">
        <v>34</v>
      </c>
      <c r="C32" t="s">
        <v>66</v>
      </c>
      <c r="D32">
        <v>93</v>
      </c>
      <c r="E32" t="s">
        <v>98</v>
      </c>
      <c r="F32" t="s">
        <v>130</v>
      </c>
      <c r="G32">
        <v>17.48</v>
      </c>
      <c r="H32">
        <v>25</v>
      </c>
      <c r="I32">
        <v>4.8337899543378997</v>
      </c>
      <c r="J32">
        <v>0.31828590642718702</v>
      </c>
      <c r="K32">
        <v>0.22160984166681699</v>
      </c>
      <c r="L32">
        <v>86.498500000000007</v>
      </c>
      <c r="M32">
        <v>12.4826148429933</v>
      </c>
      <c r="N32">
        <v>98.981114842993307</v>
      </c>
      <c r="O32">
        <v>98.990583222041494</v>
      </c>
      <c r="P32">
        <v>0.47694339561958499</v>
      </c>
      <c r="Q32">
        <v>1.9077735824783399</v>
      </c>
      <c r="R32">
        <v>-0.58217322725540599</v>
      </c>
      <c r="S32">
        <v>-7.2670441677316502</v>
      </c>
      <c r="T32">
        <v>-1.3450108634044999</v>
      </c>
      <c r="U32">
        <v>-6.0426828415508602E-2</v>
      </c>
      <c r="V32">
        <v>-5.9344878382733099E-2</v>
      </c>
      <c r="W32">
        <v>1.8037419047271502E-2</v>
      </c>
      <c r="X32">
        <v>-7.0645525085095306E-2</v>
      </c>
      <c r="Y32">
        <v>-5.4586711350159502E-2</v>
      </c>
    </row>
    <row r="33" spans="1:25">
      <c r="A33" s="1">
        <v>43026</v>
      </c>
      <c r="B33" t="s">
        <v>30</v>
      </c>
      <c r="C33" t="s">
        <v>62</v>
      </c>
      <c r="D33">
        <v>103.71</v>
      </c>
      <c r="E33" t="s">
        <v>94</v>
      </c>
      <c r="F33" t="s">
        <v>126</v>
      </c>
      <c r="G33">
        <v>11.8</v>
      </c>
      <c r="H33">
        <v>13.6</v>
      </c>
      <c r="I33">
        <v>2.88310502283105</v>
      </c>
      <c r="J33">
        <v>0.39847405920427498</v>
      </c>
      <c r="K33">
        <v>0.258995735941977</v>
      </c>
      <c r="L33">
        <v>92.058499999999995</v>
      </c>
      <c r="M33">
        <v>19.918473573003698</v>
      </c>
      <c r="N33">
        <v>111.976973573004</v>
      </c>
      <c r="O33">
        <v>112.031790380351</v>
      </c>
      <c r="P33">
        <v>0.57628032448552102</v>
      </c>
      <c r="Q33">
        <v>4.2373553270994204</v>
      </c>
      <c r="R33">
        <v>-0.60361187653289206</v>
      </c>
      <c r="S33">
        <v>-12.0230272110716</v>
      </c>
      <c r="T33">
        <v>-4.04130266075388</v>
      </c>
      <c r="U33">
        <v>-7.3827442457301801E-2</v>
      </c>
      <c r="V33">
        <v>-9.0840372591082699E-2</v>
      </c>
      <c r="W33">
        <v>9.1327364476867807E-3</v>
      </c>
      <c r="X33">
        <v>-9.2713972161063696E-2</v>
      </c>
      <c r="Y33">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2017-10-19T07:14:13Z</dcterms:modified>
</cp:coreProperties>
</file>