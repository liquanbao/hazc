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P23" i="6" l="1"/>
  <c r="I8" i="6"/>
  <c r="L7" i="6"/>
  <c r="L8" i="6"/>
  <c r="L9" i="6"/>
  <c r="A3" i="4" l="1"/>
  <c r="B3" i="4"/>
  <c r="E3" i="4"/>
  <c r="F3" i="4"/>
  <c r="I3" i="4"/>
  <c r="J3" i="4" s="1"/>
  <c r="O3" i="4"/>
  <c r="P3" i="4"/>
  <c r="A4" i="4"/>
  <c r="B4" i="4"/>
  <c r="E4" i="4"/>
  <c r="F4" i="4"/>
  <c r="I4" i="4"/>
  <c r="J4" i="4" s="1"/>
  <c r="O4" i="4"/>
  <c r="P4" i="4"/>
  <c r="A5" i="4"/>
  <c r="B5" i="4"/>
  <c r="E5" i="4"/>
  <c r="F5" i="4"/>
  <c r="I5" i="4"/>
  <c r="J5" i="4" s="1"/>
  <c r="O5" i="4"/>
  <c r="P5" i="4"/>
  <c r="A6" i="4"/>
  <c r="B6" i="4"/>
  <c r="E6" i="4"/>
  <c r="F6" i="4"/>
  <c r="I6" i="4"/>
  <c r="J6" i="4" s="1"/>
  <c r="O6" i="4"/>
  <c r="P6" i="4"/>
  <c r="A7" i="4"/>
  <c r="B7" i="4"/>
  <c r="E7" i="4"/>
  <c r="F7" i="4"/>
  <c r="I7" i="4"/>
  <c r="J7" i="4" s="1"/>
  <c r="O7" i="4"/>
  <c r="P7" i="4"/>
  <c r="A8" i="4"/>
  <c r="B8" i="4"/>
  <c r="E8" i="4"/>
  <c r="F8" i="4"/>
  <c r="I8" i="4"/>
  <c r="J8" i="4" s="1"/>
  <c r="O8" i="4"/>
  <c r="P8" i="4"/>
  <c r="A9" i="4"/>
  <c r="B9" i="4"/>
  <c r="E9" i="4"/>
  <c r="F9" i="4"/>
  <c r="I9" i="4"/>
  <c r="J9" i="4" s="1"/>
  <c r="O9" i="4"/>
  <c r="P9" i="4"/>
  <c r="A10" i="4"/>
  <c r="B10" i="4"/>
  <c r="E10" i="4"/>
  <c r="F10" i="4"/>
  <c r="I10" i="4"/>
  <c r="J10" i="4" s="1"/>
  <c r="O10" i="4"/>
  <c r="P10" i="4"/>
  <c r="A11" i="4"/>
  <c r="B11" i="4"/>
  <c r="E11" i="4"/>
  <c r="F11" i="4"/>
  <c r="I11" i="4"/>
  <c r="J11" i="4" s="1"/>
  <c r="O11" i="4"/>
  <c r="P11" i="4"/>
  <c r="A12" i="4"/>
  <c r="B12" i="4"/>
  <c r="E12" i="4"/>
  <c r="F12" i="4"/>
  <c r="I12" i="4"/>
  <c r="J12" i="4" s="1"/>
  <c r="O12" i="4"/>
  <c r="P12" i="4"/>
  <c r="A13" i="4"/>
  <c r="B13" i="4"/>
  <c r="E13" i="4"/>
  <c r="F13" i="4"/>
  <c r="I13" i="4"/>
  <c r="J13" i="4" s="1"/>
  <c r="O13" i="4"/>
  <c r="P13" i="4"/>
  <c r="A14" i="4"/>
  <c r="B14" i="4"/>
  <c r="E14" i="4"/>
  <c r="F14" i="4"/>
  <c r="I14" i="4"/>
  <c r="J14" i="4" s="1"/>
  <c r="O14" i="4"/>
  <c r="P14" i="4"/>
  <c r="A15" i="4"/>
  <c r="B15" i="4"/>
  <c r="E15" i="4"/>
  <c r="F15" i="4"/>
  <c r="I15" i="4"/>
  <c r="J15" i="4" s="1"/>
  <c r="O15" i="4"/>
  <c r="P15" i="4"/>
  <c r="A16" i="4"/>
  <c r="B16" i="4"/>
  <c r="E16" i="4"/>
  <c r="F16" i="4"/>
  <c r="I16" i="4"/>
  <c r="J16" i="4" s="1"/>
  <c r="O16" i="4"/>
  <c r="P16" i="4"/>
  <c r="A17" i="4"/>
  <c r="B17" i="4"/>
  <c r="E17" i="4"/>
  <c r="F17" i="4"/>
  <c r="I17" i="4"/>
  <c r="J17" i="4" s="1"/>
  <c r="O17" i="4"/>
  <c r="P17" i="4"/>
  <c r="A18" i="4"/>
  <c r="B18" i="4"/>
  <c r="E18" i="4"/>
  <c r="F18" i="4"/>
  <c r="I18" i="4"/>
  <c r="J18" i="4" s="1"/>
  <c r="O18" i="4"/>
  <c r="P18" i="4"/>
  <c r="A19" i="4"/>
  <c r="B19" i="4"/>
  <c r="E19" i="4"/>
  <c r="F19" i="4"/>
  <c r="I19" i="4"/>
  <c r="J19" i="4" s="1"/>
  <c r="O19" i="4"/>
  <c r="P19" i="4"/>
  <c r="A20" i="4"/>
  <c r="B20" i="4"/>
  <c r="E20" i="4"/>
  <c r="F20" i="4"/>
  <c r="I20" i="4"/>
  <c r="J20" i="4" s="1"/>
  <c r="O20" i="4"/>
  <c r="P20" i="4"/>
  <c r="A21" i="4"/>
  <c r="B21" i="4"/>
  <c r="E21" i="4"/>
  <c r="F21" i="4"/>
  <c r="I21" i="4"/>
  <c r="J21" i="4" s="1"/>
  <c r="O21" i="4"/>
  <c r="P21" i="4"/>
  <c r="A22" i="4"/>
  <c r="B22" i="4"/>
  <c r="E22" i="4"/>
  <c r="F22" i="4"/>
  <c r="I22" i="4"/>
  <c r="J22" i="4" s="1"/>
  <c r="O22" i="4"/>
  <c r="P22" i="4"/>
  <c r="A23" i="4"/>
  <c r="B23" i="4"/>
  <c r="E23" i="4"/>
  <c r="F23" i="4"/>
  <c r="I23" i="4"/>
  <c r="J23" i="4" s="1"/>
  <c r="O23" i="4"/>
  <c r="P23" i="4"/>
  <c r="A24" i="4"/>
  <c r="B24" i="4"/>
  <c r="E24" i="4"/>
  <c r="F24" i="4"/>
  <c r="I24" i="4"/>
  <c r="J24" i="4" s="1"/>
  <c r="O24" i="4"/>
  <c r="P24" i="4"/>
  <c r="A25" i="4"/>
  <c r="B25" i="4"/>
  <c r="E25" i="4"/>
  <c r="F25" i="4"/>
  <c r="I25" i="4"/>
  <c r="J25" i="4" s="1"/>
  <c r="O25" i="4"/>
  <c r="P25" i="4"/>
  <c r="A26" i="4"/>
  <c r="B26" i="4"/>
  <c r="E26" i="4"/>
  <c r="F26" i="4"/>
  <c r="I26" i="4"/>
  <c r="J26" i="4" s="1"/>
  <c r="O26" i="4"/>
  <c r="P26" i="4"/>
  <c r="A27" i="4"/>
  <c r="B27" i="4"/>
  <c r="E27" i="4"/>
  <c r="F27" i="4"/>
  <c r="I27" i="4"/>
  <c r="J27" i="4" s="1"/>
  <c r="O27" i="4"/>
  <c r="P27" i="4"/>
  <c r="A28" i="4"/>
  <c r="B28" i="4"/>
  <c r="E28" i="4"/>
  <c r="F28" i="4"/>
  <c r="I28" i="4"/>
  <c r="J28" i="4" s="1"/>
  <c r="O28" i="4"/>
  <c r="P28" i="4"/>
  <c r="A29" i="4"/>
  <c r="B29" i="4"/>
  <c r="E29" i="4"/>
  <c r="F29" i="4"/>
  <c r="I29" i="4"/>
  <c r="J29" i="4" s="1"/>
  <c r="O29" i="4"/>
  <c r="P29" i="4"/>
  <c r="A30" i="4"/>
  <c r="B30" i="4"/>
  <c r="E30" i="4"/>
  <c r="F30" i="4"/>
  <c r="I30" i="4"/>
  <c r="J30" i="4" s="1"/>
  <c r="O30" i="4"/>
  <c r="P30" i="4"/>
  <c r="A31" i="4"/>
  <c r="B31" i="4"/>
  <c r="E31" i="4"/>
  <c r="F31" i="4"/>
  <c r="I31" i="4"/>
  <c r="J31" i="4" s="1"/>
  <c r="O31" i="4"/>
  <c r="P31" i="4"/>
  <c r="A32" i="4"/>
  <c r="B32" i="4"/>
  <c r="E32" i="4"/>
  <c r="F32" i="4"/>
  <c r="I32" i="4"/>
  <c r="J32" i="4" s="1"/>
  <c r="O32" i="4"/>
  <c r="P32" i="4"/>
  <c r="A33" i="4"/>
  <c r="B33" i="4"/>
  <c r="E33" i="4"/>
  <c r="F33" i="4"/>
  <c r="I33" i="4"/>
  <c r="J33" i="4" s="1"/>
  <c r="O33" i="4"/>
  <c r="P33" i="4"/>
  <c r="A34" i="4"/>
  <c r="B34" i="4"/>
  <c r="E34" i="4"/>
  <c r="F34" i="4"/>
  <c r="I34" i="4"/>
  <c r="J34" i="4" s="1"/>
  <c r="O34" i="4"/>
  <c r="P34" i="4"/>
  <c r="A3" i="3"/>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s="1"/>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2" i="3"/>
  <c r="B32" i="3"/>
  <c r="C32" i="3"/>
  <c r="D32" i="3"/>
  <c r="E32" i="3"/>
  <c r="F32" i="3"/>
  <c r="G32" i="3"/>
  <c r="H32" i="3"/>
  <c r="I32" i="3"/>
  <c r="J32" i="3" s="1"/>
  <c r="K32" i="3"/>
  <c r="L32" i="3"/>
  <c r="M32" i="3"/>
  <c r="N32" i="3"/>
  <c r="O32" i="3"/>
  <c r="A33" i="3"/>
  <c r="B33" i="3"/>
  <c r="C33" i="3"/>
  <c r="D33" i="3"/>
  <c r="E33" i="3"/>
  <c r="F33" i="3"/>
  <c r="G33" i="3"/>
  <c r="H33" i="3"/>
  <c r="I33" i="3"/>
  <c r="J33" i="3" s="1"/>
  <c r="K33" i="3"/>
  <c r="L33" i="3"/>
  <c r="M33" i="3"/>
  <c r="N33" i="3"/>
  <c r="O33" i="3"/>
  <c r="A34" i="3"/>
  <c r="B34" i="3"/>
  <c r="C34" i="3"/>
  <c r="D34" i="3"/>
  <c r="E34" i="3"/>
  <c r="F34" i="3"/>
  <c r="G34" i="3"/>
  <c r="H34" i="3"/>
  <c r="I34" i="3"/>
  <c r="J34" i="3" s="1"/>
  <c r="K34" i="3"/>
  <c r="L34" i="3"/>
  <c r="M34" i="3"/>
  <c r="N34" i="3"/>
  <c r="O34" i="3"/>
  <c r="A3" i="1"/>
  <c r="B3" i="1"/>
  <c r="C3" i="1"/>
  <c r="D3" i="1"/>
  <c r="E3" i="1"/>
  <c r="F3" i="1"/>
  <c r="G3" i="1"/>
  <c r="I3" i="1"/>
  <c r="J3" i="1"/>
  <c r="L3" i="1"/>
  <c r="M3" i="1"/>
  <c r="N3" i="1"/>
  <c r="O3" i="1"/>
  <c r="P3" i="1"/>
  <c r="Q3" i="1"/>
  <c r="R3" i="1"/>
  <c r="S3" i="1"/>
  <c r="T3" i="1"/>
  <c r="U3" i="1"/>
  <c r="A4" i="1"/>
  <c r="B4" i="1"/>
  <c r="C4" i="1"/>
  <c r="D4" i="1"/>
  <c r="E4" i="1"/>
  <c r="F4" i="1"/>
  <c r="G4" i="1"/>
  <c r="I4" i="1"/>
  <c r="J4" i="1"/>
  <c r="L4" i="1"/>
  <c r="M4" i="1"/>
  <c r="N4" i="1"/>
  <c r="O4" i="1"/>
  <c r="P4" i="1"/>
  <c r="Q4" i="1"/>
  <c r="R4" i="1"/>
  <c r="S4" i="1"/>
  <c r="T4" i="1"/>
  <c r="U4" i="1"/>
  <c r="A5" i="1"/>
  <c r="B5" i="1"/>
  <c r="C5" i="1"/>
  <c r="D5" i="1"/>
  <c r="E5" i="1"/>
  <c r="F5" i="1"/>
  <c r="G5" i="1"/>
  <c r="I5" i="1"/>
  <c r="J5" i="1"/>
  <c r="L5" i="1"/>
  <c r="M5" i="1"/>
  <c r="N5" i="1"/>
  <c r="O5" i="1"/>
  <c r="P5" i="1"/>
  <c r="Q5" i="1"/>
  <c r="R5" i="1"/>
  <c r="S5" i="1"/>
  <c r="T5" i="1"/>
  <c r="U5" i="1"/>
  <c r="A6" i="1"/>
  <c r="B6" i="1"/>
  <c r="C6" i="1"/>
  <c r="D6" i="1"/>
  <c r="E6" i="1"/>
  <c r="F6" i="1"/>
  <c r="G6" i="1"/>
  <c r="I6" i="1"/>
  <c r="J6" i="1"/>
  <c r="L6" i="1"/>
  <c r="M6" i="1"/>
  <c r="N6" i="1"/>
  <c r="O6" i="1"/>
  <c r="P6" i="1"/>
  <c r="Q6" i="1"/>
  <c r="R6" i="1"/>
  <c r="S6" i="1"/>
  <c r="T6" i="1"/>
  <c r="U6" i="1"/>
  <c r="A7" i="1"/>
  <c r="B7" i="1"/>
  <c r="C7" i="1"/>
  <c r="D7" i="1"/>
  <c r="E7" i="1"/>
  <c r="F7" i="1"/>
  <c r="G7" i="1"/>
  <c r="I7" i="1"/>
  <c r="J7" i="1"/>
  <c r="L7" i="1"/>
  <c r="M7" i="1"/>
  <c r="N7" i="1"/>
  <c r="O7" i="1"/>
  <c r="P7" i="1"/>
  <c r="Q7" i="1"/>
  <c r="R7" i="1"/>
  <c r="S7" i="1"/>
  <c r="T7" i="1"/>
  <c r="U7" i="1"/>
  <c r="A8" i="1"/>
  <c r="B8" i="1"/>
  <c r="C8" i="1"/>
  <c r="D8" i="1"/>
  <c r="E8" i="1"/>
  <c r="F8" i="1"/>
  <c r="G8" i="1"/>
  <c r="I8" i="1"/>
  <c r="J8" i="1"/>
  <c r="L8" i="1"/>
  <c r="M8" i="1"/>
  <c r="N8" i="1"/>
  <c r="O8" i="1"/>
  <c r="P8" i="1"/>
  <c r="Q8" i="1"/>
  <c r="R8" i="1"/>
  <c r="S8" i="1"/>
  <c r="T8" i="1"/>
  <c r="U8" i="1"/>
  <c r="A9" i="1"/>
  <c r="B9" i="1"/>
  <c r="C9" i="1"/>
  <c r="D9" i="1"/>
  <c r="E9" i="1"/>
  <c r="F9" i="1"/>
  <c r="G9" i="1"/>
  <c r="I9" i="1"/>
  <c r="J9" i="1"/>
  <c r="L9" i="1"/>
  <c r="M9" i="1"/>
  <c r="N9" i="1"/>
  <c r="O9" i="1"/>
  <c r="P9" i="1"/>
  <c r="Q9" i="1"/>
  <c r="R9" i="1"/>
  <c r="S9" i="1"/>
  <c r="T9" i="1"/>
  <c r="U9" i="1"/>
  <c r="A10" i="1"/>
  <c r="B10" i="1"/>
  <c r="C10" i="1"/>
  <c r="D10" i="1"/>
  <c r="E10" i="1"/>
  <c r="F10" i="1"/>
  <c r="G10" i="1"/>
  <c r="I10" i="1"/>
  <c r="J10" i="1"/>
  <c r="L10" i="1"/>
  <c r="M10" i="1"/>
  <c r="N10" i="1"/>
  <c r="O10" i="1"/>
  <c r="P10" i="1"/>
  <c r="Q10" i="1"/>
  <c r="R10" i="1"/>
  <c r="S10" i="1"/>
  <c r="T10" i="1"/>
  <c r="U10" i="1"/>
  <c r="A11" i="1"/>
  <c r="B11" i="1"/>
  <c r="C11" i="1"/>
  <c r="D11" i="1"/>
  <c r="E11" i="1"/>
  <c r="F11" i="1"/>
  <c r="G11" i="1"/>
  <c r="I11" i="1"/>
  <c r="J11" i="1"/>
  <c r="L11" i="1"/>
  <c r="M11" i="1"/>
  <c r="N11" i="1"/>
  <c r="O11" i="1"/>
  <c r="P11" i="1"/>
  <c r="Q11" i="1"/>
  <c r="R11" i="1"/>
  <c r="S11" i="1"/>
  <c r="T11" i="1"/>
  <c r="U11" i="1"/>
  <c r="A12" i="1"/>
  <c r="B12" i="1"/>
  <c r="C12" i="1"/>
  <c r="D12" i="1"/>
  <c r="E12" i="1"/>
  <c r="F12" i="1"/>
  <c r="G12" i="1"/>
  <c r="I12" i="1"/>
  <c r="J12" i="1"/>
  <c r="L12" i="1"/>
  <c r="M12" i="1"/>
  <c r="N12" i="1"/>
  <c r="O12" i="1"/>
  <c r="P12" i="1"/>
  <c r="Q12" i="1"/>
  <c r="R12" i="1"/>
  <c r="S12" i="1"/>
  <c r="T12" i="1"/>
  <c r="U12" i="1"/>
  <c r="A13" i="1"/>
  <c r="B13" i="1"/>
  <c r="C13" i="1"/>
  <c r="D13" i="1"/>
  <c r="E13" i="1"/>
  <c r="F13" i="1"/>
  <c r="G13" i="1"/>
  <c r="I13" i="1"/>
  <c r="J13" i="1"/>
  <c r="L13" i="1"/>
  <c r="M13" i="1"/>
  <c r="N13" i="1"/>
  <c r="O13" i="1"/>
  <c r="P13" i="1"/>
  <c r="Q13" i="1"/>
  <c r="R13" i="1"/>
  <c r="S13" i="1"/>
  <c r="T13" i="1"/>
  <c r="U13" i="1"/>
  <c r="A14" i="1"/>
  <c r="B14" i="1"/>
  <c r="C14" i="1"/>
  <c r="D14" i="1"/>
  <c r="E14" i="1"/>
  <c r="F14" i="1"/>
  <c r="G14" i="1"/>
  <c r="I14" i="1"/>
  <c r="J14" i="1"/>
  <c r="L14" i="1"/>
  <c r="M14" i="1"/>
  <c r="N14" i="1"/>
  <c r="O14" i="1"/>
  <c r="P14" i="1"/>
  <c r="Q14" i="1"/>
  <c r="R14" i="1"/>
  <c r="S14" i="1"/>
  <c r="T14" i="1"/>
  <c r="U14" i="1"/>
  <c r="A15" i="1"/>
  <c r="B15" i="1"/>
  <c r="C15" i="1"/>
  <c r="D15" i="1"/>
  <c r="E15" i="1"/>
  <c r="F15" i="1"/>
  <c r="G15" i="1"/>
  <c r="I15" i="1"/>
  <c r="J15" i="1"/>
  <c r="L15" i="1"/>
  <c r="M15" i="1"/>
  <c r="N15" i="1"/>
  <c r="O15" i="1"/>
  <c r="P15" i="1"/>
  <c r="Q15" i="1"/>
  <c r="R15" i="1"/>
  <c r="S15" i="1"/>
  <c r="T15" i="1"/>
  <c r="U15" i="1"/>
  <c r="A16" i="1"/>
  <c r="B16" i="1"/>
  <c r="C16" i="1"/>
  <c r="D16" i="1"/>
  <c r="E16" i="1"/>
  <c r="F16" i="1"/>
  <c r="G16" i="1"/>
  <c r="I16" i="1"/>
  <c r="J16" i="1"/>
  <c r="L16" i="1"/>
  <c r="M16" i="1"/>
  <c r="N16" i="1"/>
  <c r="O16" i="1"/>
  <c r="P16" i="1"/>
  <c r="Q16" i="1"/>
  <c r="R16" i="1"/>
  <c r="S16" i="1"/>
  <c r="T16" i="1"/>
  <c r="U16" i="1"/>
  <c r="A17" i="1"/>
  <c r="B17" i="1"/>
  <c r="C17" i="1"/>
  <c r="D17" i="1"/>
  <c r="E17" i="1"/>
  <c r="F17" i="1"/>
  <c r="G17" i="1"/>
  <c r="I17" i="1"/>
  <c r="J17" i="1"/>
  <c r="L17" i="1"/>
  <c r="M17" i="1"/>
  <c r="N17" i="1"/>
  <c r="O17" i="1"/>
  <c r="P17" i="1"/>
  <c r="Q17" i="1"/>
  <c r="R17" i="1"/>
  <c r="S17" i="1"/>
  <c r="T17" i="1"/>
  <c r="U17" i="1"/>
  <c r="A18" i="1"/>
  <c r="B18" i="1"/>
  <c r="C18" i="1"/>
  <c r="D18" i="1"/>
  <c r="E18" i="1"/>
  <c r="F18" i="1"/>
  <c r="G18" i="1"/>
  <c r="I18" i="1"/>
  <c r="J18" i="1"/>
  <c r="L18" i="1"/>
  <c r="M18" i="1"/>
  <c r="N18" i="1"/>
  <c r="O18" i="1"/>
  <c r="P18" i="1"/>
  <c r="Q18" i="1"/>
  <c r="R18" i="1"/>
  <c r="S18" i="1"/>
  <c r="T18" i="1"/>
  <c r="U18" i="1"/>
  <c r="A19" i="1"/>
  <c r="B19" i="1"/>
  <c r="C19" i="1"/>
  <c r="D19" i="1"/>
  <c r="E19" i="1"/>
  <c r="F19" i="1"/>
  <c r="G19" i="1"/>
  <c r="I19" i="1"/>
  <c r="J19" i="1"/>
  <c r="L19" i="1"/>
  <c r="M19" i="1"/>
  <c r="N19" i="1"/>
  <c r="O19" i="1"/>
  <c r="P19" i="1"/>
  <c r="Q19" i="1"/>
  <c r="R19" i="1"/>
  <c r="S19" i="1"/>
  <c r="T19" i="1"/>
  <c r="U19" i="1"/>
  <c r="A20" i="1"/>
  <c r="B20" i="1"/>
  <c r="C20" i="1"/>
  <c r="D20" i="1"/>
  <c r="E20" i="1"/>
  <c r="F20" i="1"/>
  <c r="G20" i="1"/>
  <c r="I20" i="1"/>
  <c r="J20" i="1"/>
  <c r="L20" i="1"/>
  <c r="M20" i="1"/>
  <c r="N20" i="1"/>
  <c r="O20" i="1"/>
  <c r="P20" i="1"/>
  <c r="Q20" i="1"/>
  <c r="R20" i="1"/>
  <c r="S20" i="1"/>
  <c r="T20" i="1"/>
  <c r="U20" i="1"/>
  <c r="A21" i="1"/>
  <c r="B21" i="1"/>
  <c r="C21" i="1"/>
  <c r="D21" i="1"/>
  <c r="E21" i="1"/>
  <c r="F21" i="1"/>
  <c r="G21" i="1"/>
  <c r="I21" i="1"/>
  <c r="J21" i="1"/>
  <c r="L21" i="1"/>
  <c r="M21" i="1"/>
  <c r="N21" i="1"/>
  <c r="O21" i="1"/>
  <c r="P21" i="1"/>
  <c r="Q21" i="1"/>
  <c r="R21" i="1"/>
  <c r="S21" i="1"/>
  <c r="T21" i="1"/>
  <c r="U21" i="1"/>
  <c r="A22" i="1"/>
  <c r="B22" i="1"/>
  <c r="C22" i="1"/>
  <c r="D22" i="1"/>
  <c r="E22" i="1"/>
  <c r="F22" i="1"/>
  <c r="G22" i="1"/>
  <c r="I22" i="1"/>
  <c r="J22" i="1"/>
  <c r="L22" i="1"/>
  <c r="M22" i="1"/>
  <c r="N22" i="1"/>
  <c r="O22" i="1"/>
  <c r="P22" i="1"/>
  <c r="Q22" i="1"/>
  <c r="R22" i="1"/>
  <c r="S22" i="1"/>
  <c r="T22" i="1"/>
  <c r="U22" i="1"/>
  <c r="A23" i="1"/>
  <c r="B23" i="1"/>
  <c r="C23" i="1"/>
  <c r="D23" i="1"/>
  <c r="E23" i="1"/>
  <c r="F23" i="1"/>
  <c r="G23" i="1"/>
  <c r="I23" i="1"/>
  <c r="J23" i="1"/>
  <c r="L23" i="1"/>
  <c r="M23" i="1"/>
  <c r="N23" i="1"/>
  <c r="O23" i="1"/>
  <c r="P23" i="1"/>
  <c r="Q23" i="1"/>
  <c r="R23" i="1"/>
  <c r="S23" i="1"/>
  <c r="T23" i="1"/>
  <c r="U23" i="1"/>
  <c r="A24" i="1"/>
  <c r="B24" i="1"/>
  <c r="C24" i="1"/>
  <c r="D24" i="1"/>
  <c r="E24" i="1"/>
  <c r="F24" i="1"/>
  <c r="G24" i="1"/>
  <c r="I24" i="1"/>
  <c r="J24" i="1"/>
  <c r="L24" i="1"/>
  <c r="M24" i="1"/>
  <c r="N24" i="1"/>
  <c r="O24" i="1"/>
  <c r="P24" i="1"/>
  <c r="Q24" i="1"/>
  <c r="R24" i="1"/>
  <c r="S24" i="1"/>
  <c r="T24" i="1"/>
  <c r="U24" i="1"/>
  <c r="A25" i="1"/>
  <c r="B25" i="1"/>
  <c r="C25" i="1"/>
  <c r="D25" i="1"/>
  <c r="E25" i="1"/>
  <c r="F25" i="1"/>
  <c r="G25" i="1"/>
  <c r="I25" i="1"/>
  <c r="J25" i="1"/>
  <c r="L25" i="1"/>
  <c r="M25" i="1"/>
  <c r="N25" i="1"/>
  <c r="O25" i="1"/>
  <c r="P25" i="1"/>
  <c r="Q25" i="1"/>
  <c r="R25" i="1"/>
  <c r="S25" i="1"/>
  <c r="T25" i="1"/>
  <c r="U25" i="1"/>
  <c r="A26" i="1"/>
  <c r="B26" i="1"/>
  <c r="C26" i="1"/>
  <c r="D26" i="1"/>
  <c r="E26" i="1"/>
  <c r="F26" i="1"/>
  <c r="G26" i="1"/>
  <c r="I26" i="1"/>
  <c r="J26" i="1"/>
  <c r="L26" i="1"/>
  <c r="M26" i="1"/>
  <c r="N26" i="1"/>
  <c r="O26" i="1"/>
  <c r="P26" i="1"/>
  <c r="Q26" i="1"/>
  <c r="R26" i="1"/>
  <c r="S26" i="1"/>
  <c r="T26" i="1"/>
  <c r="U26" i="1"/>
  <c r="A27" i="1"/>
  <c r="B27" i="1"/>
  <c r="C27" i="1"/>
  <c r="D27" i="1"/>
  <c r="E27" i="1"/>
  <c r="F27" i="1"/>
  <c r="G27" i="1"/>
  <c r="I27" i="1"/>
  <c r="J27" i="1"/>
  <c r="L27" i="1"/>
  <c r="M27" i="1"/>
  <c r="N27" i="1"/>
  <c r="O27" i="1"/>
  <c r="P27" i="1"/>
  <c r="Q27" i="1"/>
  <c r="R27" i="1"/>
  <c r="S27" i="1"/>
  <c r="T27" i="1"/>
  <c r="U27" i="1"/>
  <c r="A28" i="1"/>
  <c r="B28" i="1"/>
  <c r="C28" i="1"/>
  <c r="D28" i="1"/>
  <c r="E28" i="1"/>
  <c r="F28" i="1"/>
  <c r="G28" i="1"/>
  <c r="I28" i="1"/>
  <c r="J28" i="1"/>
  <c r="L28" i="1"/>
  <c r="M28" i="1"/>
  <c r="N28" i="1"/>
  <c r="O28" i="1"/>
  <c r="P28" i="1"/>
  <c r="Q28" i="1"/>
  <c r="R28" i="1"/>
  <c r="S28" i="1"/>
  <c r="T28" i="1"/>
  <c r="U28" i="1"/>
  <c r="A29" i="1"/>
  <c r="B29" i="1"/>
  <c r="C29" i="1"/>
  <c r="D29" i="1"/>
  <c r="E29" i="1"/>
  <c r="F29" i="1"/>
  <c r="G29" i="1"/>
  <c r="I29" i="1"/>
  <c r="J29" i="1"/>
  <c r="L29" i="1"/>
  <c r="M29" i="1"/>
  <c r="N29" i="1"/>
  <c r="O29" i="1"/>
  <c r="P29" i="1"/>
  <c r="Q29" i="1"/>
  <c r="R29" i="1"/>
  <c r="S29" i="1"/>
  <c r="T29" i="1"/>
  <c r="U29" i="1"/>
  <c r="A30" i="1"/>
  <c r="B30" i="1"/>
  <c r="C30" i="1"/>
  <c r="D30" i="1"/>
  <c r="E30" i="1"/>
  <c r="F30" i="1"/>
  <c r="G30" i="1"/>
  <c r="I30" i="1"/>
  <c r="J30" i="1"/>
  <c r="L30" i="1"/>
  <c r="M30" i="1"/>
  <c r="N30" i="1"/>
  <c r="O30" i="1"/>
  <c r="P30" i="1"/>
  <c r="Q30" i="1"/>
  <c r="R30" i="1"/>
  <c r="S30" i="1"/>
  <c r="T30" i="1"/>
  <c r="U30" i="1"/>
  <c r="A31" i="1"/>
  <c r="B31" i="1"/>
  <c r="C31" i="1"/>
  <c r="D31" i="1"/>
  <c r="E31" i="1"/>
  <c r="F31" i="1"/>
  <c r="G31" i="1"/>
  <c r="I31" i="1"/>
  <c r="J31" i="1"/>
  <c r="L31" i="1"/>
  <c r="M31" i="1"/>
  <c r="N31" i="1"/>
  <c r="O31" i="1"/>
  <c r="P31" i="1"/>
  <c r="Q31" i="1"/>
  <c r="R31" i="1"/>
  <c r="S31" i="1"/>
  <c r="T31" i="1"/>
  <c r="U31" i="1"/>
  <c r="A32" i="1"/>
  <c r="B32" i="1"/>
  <c r="C32" i="1"/>
  <c r="D32" i="1"/>
  <c r="E32" i="1"/>
  <c r="F32" i="1"/>
  <c r="G32" i="1"/>
  <c r="I32" i="1"/>
  <c r="J32" i="1"/>
  <c r="L32" i="1"/>
  <c r="M32" i="1"/>
  <c r="N32" i="1"/>
  <c r="O32" i="1"/>
  <c r="P32" i="1"/>
  <c r="Q32" i="1"/>
  <c r="R32" i="1"/>
  <c r="S32" i="1"/>
  <c r="T32" i="1"/>
  <c r="U32" i="1"/>
  <c r="A33" i="1"/>
  <c r="B33" i="1"/>
  <c r="C33" i="1"/>
  <c r="D33" i="1"/>
  <c r="E33" i="1"/>
  <c r="F33" i="1"/>
  <c r="G33" i="1"/>
  <c r="I33" i="1"/>
  <c r="J33" i="1"/>
  <c r="L33" i="1"/>
  <c r="M33" i="1"/>
  <c r="N33" i="1"/>
  <c r="O33" i="1"/>
  <c r="P33" i="1"/>
  <c r="Q33" i="1"/>
  <c r="R33" i="1"/>
  <c r="S33" i="1"/>
  <c r="T33" i="1"/>
  <c r="U33" i="1"/>
  <c r="A34" i="1"/>
  <c r="B34" i="1"/>
  <c r="C34" i="1"/>
  <c r="D34" i="1"/>
  <c r="E34" i="1"/>
  <c r="F34" i="1"/>
  <c r="G34" i="1"/>
  <c r="I34" i="1"/>
  <c r="J34" i="1"/>
  <c r="L34" i="1"/>
  <c r="M34" i="1"/>
  <c r="N34" i="1"/>
  <c r="O34" i="1"/>
  <c r="P34" i="1"/>
  <c r="Q34" i="1"/>
  <c r="R34" i="1"/>
  <c r="S34" i="1"/>
  <c r="T34" i="1"/>
  <c r="U34" i="1"/>
  <c r="I5" i="6"/>
  <c r="C26" i="4"/>
  <c r="C11" i="4"/>
  <c r="C22" i="4"/>
  <c r="C7" i="4"/>
  <c r="C5" i="4"/>
  <c r="C6" i="4"/>
  <c r="G32" i="4"/>
  <c r="G15" i="4"/>
  <c r="C9" i="4"/>
  <c r="C19" i="4"/>
  <c r="C33" i="4"/>
  <c r="G13" i="4"/>
  <c r="G12" i="4"/>
  <c r="G4" i="4"/>
  <c r="G14" i="4"/>
  <c r="C24" i="4"/>
  <c r="C28" i="4"/>
  <c r="C3" i="4"/>
  <c r="G3" i="4"/>
  <c r="C18" i="4"/>
  <c r="C30" i="4"/>
  <c r="G11" i="4"/>
  <c r="G33" i="4"/>
  <c r="C14" i="4"/>
  <c r="G9" i="4"/>
  <c r="G8" i="4"/>
  <c r="C27" i="4"/>
  <c r="G20" i="4"/>
  <c r="C21" i="4"/>
  <c r="G19" i="4"/>
  <c r="C23" i="4"/>
  <c r="C15" i="4"/>
  <c r="C13" i="4"/>
  <c r="C29" i="4"/>
  <c r="G27" i="4"/>
  <c r="G7" i="4"/>
  <c r="G25" i="4"/>
  <c r="G31" i="4"/>
  <c r="G28" i="4"/>
  <c r="C34" i="4"/>
  <c r="G24" i="4"/>
  <c r="G17" i="4"/>
  <c r="G29" i="4"/>
  <c r="G5" i="4"/>
  <c r="G21" i="4"/>
  <c r="C25" i="4"/>
  <c r="G23" i="4"/>
  <c r="C10" i="4"/>
  <c r="C31" i="4"/>
  <c r="G16" i="4"/>
  <c r="C17" i="4"/>
  <c r="C8" i="4"/>
  <c r="G6" i="4"/>
  <c r="G10" i="4"/>
  <c r="C12" i="4"/>
  <c r="C16" i="4"/>
  <c r="G18" i="4"/>
  <c r="G22" i="4"/>
  <c r="G30" i="4"/>
  <c r="G34" i="4"/>
  <c r="C4" i="4"/>
  <c r="C20" i="4"/>
  <c r="G26" i="4"/>
  <c r="C32" i="4"/>
  <c r="H21" i="4"/>
  <c r="K23" i="4"/>
  <c r="H20" i="4"/>
  <c r="K6" i="4"/>
  <c r="D17" i="4"/>
  <c r="H17" i="4"/>
  <c r="K15" i="4"/>
  <c r="H31" i="4"/>
  <c r="L17" i="6"/>
  <c r="D23" i="4"/>
  <c r="K4" i="4"/>
  <c r="H28" i="4"/>
  <c r="D22" i="4"/>
  <c r="K3" i="4"/>
  <c r="H9" i="4"/>
  <c r="K19" i="4"/>
  <c r="K11" i="4"/>
  <c r="K33" i="4"/>
  <c r="K16" i="4"/>
  <c r="H12" i="4"/>
  <c r="H29" i="4"/>
  <c r="K27" i="4"/>
  <c r="D32" i="4"/>
  <c r="D9" i="4"/>
  <c r="D12" i="4"/>
  <c r="K14" i="4"/>
  <c r="D21" i="4"/>
  <c r="D11" i="4"/>
  <c r="H14" i="4"/>
  <c r="H5" i="4"/>
  <c r="D34" i="4"/>
  <c r="K30" i="4"/>
  <c r="K32" i="4"/>
  <c r="K12" i="4"/>
  <c r="K28" i="4"/>
  <c r="H19" i="4"/>
  <c r="K5" i="4"/>
  <c r="H8" i="4"/>
  <c r="D33" i="4"/>
  <c r="D29" i="4"/>
  <c r="H34" i="4"/>
  <c r="K18" i="4"/>
  <c r="H26" i="4"/>
  <c r="K20" i="4"/>
  <c r="H16" i="4"/>
  <c r="K24" i="4"/>
  <c r="H32" i="4"/>
  <c r="L20" i="6"/>
  <c r="H10" i="4"/>
  <c r="K21" i="4"/>
  <c r="D4" i="4"/>
  <c r="D19" i="4"/>
  <c r="H24" i="4"/>
  <c r="K34" i="4"/>
  <c r="D7" i="4"/>
  <c r="D6" i="4"/>
  <c r="D20" i="4"/>
  <c r="D15" i="4"/>
  <c r="D14" i="4"/>
  <c r="K22" i="4"/>
  <c r="K7" i="4"/>
  <c r="H6" i="4"/>
  <c r="I4" i="6"/>
  <c r="K25" i="4"/>
  <c r="D10" i="4"/>
  <c r="D27" i="4"/>
  <c r="H3" i="4"/>
  <c r="K10" i="4"/>
  <c r="D16" i="4"/>
  <c r="D5" i="4"/>
  <c r="H7" i="4"/>
  <c r="H4" i="4"/>
  <c r="K29" i="4"/>
  <c r="K8" i="4"/>
  <c r="D13" i="4"/>
  <c r="K26" i="4"/>
  <c r="D24" i="4"/>
  <c r="K31" i="4"/>
  <c r="L21" i="6"/>
  <c r="D25" i="4"/>
  <c r="H15" i="4"/>
  <c r="H25" i="4"/>
  <c r="D18" i="4"/>
  <c r="H27" i="4"/>
  <c r="H11" i="4"/>
  <c r="K17" i="4"/>
  <c r="D26" i="4"/>
  <c r="D30" i="4"/>
  <c r="H22" i="4"/>
  <c r="D28" i="4"/>
  <c r="H13" i="4"/>
  <c r="D31" i="4"/>
  <c r="D3" i="4"/>
  <c r="K13" i="4"/>
  <c r="H23" i="4"/>
  <c r="K9" i="4"/>
  <c r="D8" i="4"/>
  <c r="H33" i="4"/>
  <c r="H30" i="4"/>
  <c r="H18" i="4"/>
  <c r="L18" i="6" l="1"/>
  <c r="L19" i="6" s="1"/>
  <c r="I9" i="6"/>
  <c r="L22" i="6"/>
  <c r="L23" i="6" s="1"/>
  <c r="H31" i="1"/>
  <c r="K31" i="1" s="1"/>
  <c r="H21" i="1"/>
  <c r="K21" i="1" s="1"/>
  <c r="H5" i="1"/>
  <c r="K5" i="1" s="1"/>
  <c r="H19" i="1"/>
  <c r="K19" i="1" s="1"/>
  <c r="H27" i="1"/>
  <c r="H24" i="1"/>
  <c r="H23" i="1"/>
  <c r="H20" i="1"/>
  <c r="K20" i="1" s="1"/>
  <c r="H15" i="1"/>
  <c r="K15" i="1" s="1"/>
  <c r="H11" i="1"/>
  <c r="K11" i="1" s="1"/>
  <c r="H8" i="1"/>
  <c r="K8" i="1" s="1"/>
  <c r="H7" i="1"/>
  <c r="K7" i="1" s="1"/>
  <c r="H4" i="1"/>
  <c r="K4" i="1" s="1"/>
  <c r="H3" i="1"/>
  <c r="K3" i="1" s="1"/>
  <c r="H33" i="1"/>
  <c r="K33" i="1" s="1"/>
  <c r="H10" i="1"/>
  <c r="K10" i="1" s="1"/>
  <c r="H6" i="1"/>
  <c r="K6" i="1" s="1"/>
  <c r="H26" i="1"/>
  <c r="K26" i="1" s="1"/>
  <c r="H22" i="1"/>
  <c r="K22" i="1" s="1"/>
  <c r="H17" i="1"/>
  <c r="K17" i="1" s="1"/>
  <c r="K27" i="1"/>
  <c r="K24" i="1"/>
  <c r="K23" i="1"/>
  <c r="H34" i="1"/>
  <c r="K34" i="1" s="1"/>
  <c r="H29" i="1"/>
  <c r="K29" i="1" s="1"/>
  <c r="H18" i="1"/>
  <c r="K18" i="1" s="1"/>
  <c r="H13" i="1"/>
  <c r="K13" i="1" s="1"/>
  <c r="H32" i="1"/>
  <c r="K32" i="1" s="1"/>
  <c r="H30" i="1"/>
  <c r="K30" i="1" s="1"/>
  <c r="H25" i="1"/>
  <c r="K25" i="1" s="1"/>
  <c r="H16" i="1"/>
  <c r="K16" i="1" s="1"/>
  <c r="H14" i="1"/>
  <c r="K14" i="1" s="1"/>
  <c r="H9" i="1"/>
  <c r="K9" i="1" s="1"/>
  <c r="H28" i="1"/>
  <c r="K28" i="1" s="1"/>
  <c r="H12" i="1"/>
  <c r="K12" i="1" s="1"/>
  <c r="D5" i="5"/>
  <c r="R27" i="4"/>
  <c r="L31" i="4"/>
  <c r="L32" i="4"/>
  <c r="R15" i="4"/>
  <c r="L8" i="4"/>
  <c r="L19" i="4"/>
  <c r="R19" i="4"/>
  <c r="L10" i="4"/>
  <c r="R10" i="4"/>
  <c r="L12" i="4"/>
  <c r="L23" i="4"/>
  <c r="L21" i="4"/>
  <c r="R21" i="4"/>
  <c r="R33" i="4"/>
  <c r="L4" i="4"/>
  <c r="R14" i="4"/>
  <c r="L3" i="4"/>
  <c r="R5" i="4"/>
  <c r="R31" i="4"/>
  <c r="L30" i="4"/>
  <c r="R7" i="4"/>
  <c r="L6" i="4"/>
  <c r="L29" i="4"/>
  <c r="R26" i="4"/>
  <c r="L25" i="4"/>
  <c r="L9" i="4"/>
  <c r="R32" i="4"/>
  <c r="R34" i="4"/>
  <c r="R24" i="4"/>
  <c r="R9" i="4"/>
  <c r="R8" i="4"/>
  <c r="L14" i="4"/>
  <c r="R29" i="4"/>
  <c r="R23" i="4"/>
  <c r="R16" i="4"/>
  <c r="L33" i="4"/>
  <c r="L18" i="4"/>
  <c r="R25" i="4"/>
  <c r="R13" i="4"/>
  <c r="L24" i="4"/>
  <c r="L17" i="4"/>
  <c r="R12" i="4"/>
  <c r="L22" i="4"/>
  <c r="R22" i="4"/>
  <c r="L13" i="4"/>
  <c r="L20" i="4"/>
  <c r="L27" i="4"/>
  <c r="R6" i="4"/>
  <c r="R28" i="4"/>
  <c r="L26" i="4"/>
  <c r="R11" i="4"/>
  <c r="R4" i="4"/>
  <c r="L16" i="4"/>
  <c r="R17" i="4"/>
  <c r="R20" i="4"/>
  <c r="L5" i="4"/>
  <c r="L34" i="4"/>
  <c r="L28" i="4"/>
  <c r="R3" i="4"/>
  <c r="L15" i="4"/>
  <c r="L7" i="4"/>
  <c r="R30" i="4"/>
  <c r="L11" i="4"/>
  <c r="R18" i="4"/>
  <c r="S9" i="4" l="1"/>
  <c r="T9" i="4" s="1"/>
  <c r="S17" i="4"/>
  <c r="T17" i="4" s="1"/>
  <c r="S22" i="4"/>
  <c r="T22" i="4" s="1"/>
  <c r="S30" i="4"/>
  <c r="T30" i="4" s="1"/>
  <c r="S19" i="4"/>
  <c r="T19" i="4" s="1"/>
  <c r="S7" i="4"/>
  <c r="T7" i="4" s="1"/>
  <c r="S15" i="4"/>
  <c r="T15" i="4" s="1"/>
  <c r="S27" i="4"/>
  <c r="T27" i="4" s="1"/>
  <c r="S31" i="4"/>
  <c r="T31" i="4" s="1"/>
  <c r="S6" i="4"/>
  <c r="T6" i="4" s="1"/>
  <c r="S14" i="4"/>
  <c r="T14" i="4" s="1"/>
  <c r="S16" i="4"/>
  <c r="T16" i="4" s="1"/>
  <c r="S4" i="4"/>
  <c r="T4" i="4" s="1"/>
  <c r="S26" i="4"/>
  <c r="T26" i="4" s="1"/>
  <c r="S25" i="4"/>
  <c r="T25" i="4" s="1"/>
  <c r="S29" i="4"/>
  <c r="T29" i="4" s="1"/>
  <c r="S13" i="4"/>
  <c r="T13" i="4" s="1"/>
  <c r="S20" i="4"/>
  <c r="T20" i="4" s="1"/>
  <c r="S28" i="4"/>
  <c r="T28" i="4" s="1"/>
  <c r="S8" i="4"/>
  <c r="T8" i="4" s="1"/>
  <c r="S34" i="4"/>
  <c r="T34" i="4" s="1"/>
  <c r="S18" i="4"/>
  <c r="T18" i="4" s="1"/>
  <c r="S11" i="4"/>
  <c r="T11" i="4" s="1"/>
  <c r="S5" i="4"/>
  <c r="T5" i="4" s="1"/>
  <c r="S24" i="4"/>
  <c r="T24" i="4" s="1"/>
  <c r="S12" i="4"/>
  <c r="T12" i="4" s="1"/>
  <c r="S3" i="4"/>
  <c r="T3" i="4" s="1"/>
  <c r="S21" i="4"/>
  <c r="T21" i="4" s="1"/>
  <c r="S33" i="4"/>
  <c r="T33" i="4" s="1"/>
  <c r="S23" i="4"/>
  <c r="T23" i="4" s="1"/>
  <c r="S10" i="4"/>
  <c r="T10" i="4" s="1"/>
  <c r="S32" i="4"/>
  <c r="T32" i="4" s="1"/>
  <c r="M4" i="4"/>
  <c r="N4" i="4" s="1"/>
  <c r="Q4" i="4" s="1"/>
  <c r="M8" i="4"/>
  <c r="N8" i="4" s="1"/>
  <c r="Q8" i="4" s="1"/>
  <c r="M12" i="4"/>
  <c r="N12" i="4" s="1"/>
  <c r="Q12" i="4" s="1"/>
  <c r="M16" i="4"/>
  <c r="N16" i="4" s="1"/>
  <c r="Q16" i="4" s="1"/>
  <c r="M20" i="4"/>
  <c r="N20" i="4" s="1"/>
  <c r="Q20" i="4" s="1"/>
  <c r="M24" i="4"/>
  <c r="N24" i="4" s="1"/>
  <c r="Q24" i="4" s="1"/>
  <c r="M28" i="4"/>
  <c r="N28" i="4" s="1"/>
  <c r="Q28" i="4" s="1"/>
  <c r="M34" i="4"/>
  <c r="N34" i="4" s="1"/>
  <c r="Q34" i="4" s="1"/>
  <c r="M33" i="4"/>
  <c r="N33" i="4" s="1"/>
  <c r="Q33" i="4" s="1"/>
  <c r="M5" i="4"/>
  <c r="N5" i="4" s="1"/>
  <c r="Q5" i="4" s="1"/>
  <c r="M9" i="4"/>
  <c r="N9" i="4" s="1"/>
  <c r="Q9" i="4" s="1"/>
  <c r="M13" i="4"/>
  <c r="N13" i="4" s="1"/>
  <c r="Q13" i="4" s="1"/>
  <c r="M17" i="4"/>
  <c r="N17" i="4" s="1"/>
  <c r="Q17" i="4" s="1"/>
  <c r="M21" i="4"/>
  <c r="N21" i="4" s="1"/>
  <c r="Q21" i="4" s="1"/>
  <c r="M25" i="4"/>
  <c r="N25" i="4" s="1"/>
  <c r="Q25" i="4" s="1"/>
  <c r="M29" i="4"/>
  <c r="N29" i="4" s="1"/>
  <c r="Q29" i="4" s="1"/>
  <c r="M6" i="4"/>
  <c r="N6" i="4" s="1"/>
  <c r="Q6" i="4" s="1"/>
  <c r="M10" i="4"/>
  <c r="N10" i="4" s="1"/>
  <c r="Q10" i="4" s="1"/>
  <c r="M14" i="4"/>
  <c r="N14" i="4" s="1"/>
  <c r="Q14" i="4" s="1"/>
  <c r="M18" i="4"/>
  <c r="N18" i="4" s="1"/>
  <c r="Q18" i="4" s="1"/>
  <c r="M22" i="4"/>
  <c r="N22" i="4" s="1"/>
  <c r="Q22" i="4" s="1"/>
  <c r="M26" i="4"/>
  <c r="N26" i="4" s="1"/>
  <c r="Q26" i="4" s="1"/>
  <c r="M30" i="4"/>
  <c r="N30" i="4" s="1"/>
  <c r="Q30" i="4" s="1"/>
  <c r="M31" i="4"/>
  <c r="N31" i="4" s="1"/>
  <c r="Q31" i="4" s="1"/>
  <c r="M7" i="4"/>
  <c r="N7" i="4" s="1"/>
  <c r="Q7" i="4" s="1"/>
  <c r="M11" i="4"/>
  <c r="N11" i="4" s="1"/>
  <c r="Q11" i="4" s="1"/>
  <c r="M15" i="4"/>
  <c r="N15" i="4" s="1"/>
  <c r="Q15" i="4" s="1"/>
  <c r="M19" i="4"/>
  <c r="N19" i="4" s="1"/>
  <c r="Q19" i="4" s="1"/>
  <c r="M23" i="4"/>
  <c r="N23" i="4" s="1"/>
  <c r="Q23" i="4" s="1"/>
  <c r="M27" i="4"/>
  <c r="N27" i="4" s="1"/>
  <c r="Q27" i="4" s="1"/>
  <c r="M32" i="4"/>
  <c r="N32" i="4" s="1"/>
  <c r="Q32" i="4" s="1"/>
  <c r="M3" i="4"/>
  <c r="N3" i="4" s="1"/>
  <c r="Q3" i="4" s="1"/>
  <c r="M1" i="1"/>
  <c r="N1" i="1"/>
  <c r="O1" i="1"/>
  <c r="P1" i="1"/>
  <c r="Q1" i="1"/>
  <c r="R1" i="1"/>
  <c r="S1" i="1"/>
  <c r="T1" i="1"/>
  <c r="U1" i="1"/>
  <c r="L1" i="1"/>
  <c r="Q2" i="1"/>
  <c r="R2" i="1"/>
  <c r="S2" i="1"/>
  <c r="T2" i="1"/>
  <c r="U2" i="1"/>
  <c r="F11" i="6"/>
  <c r="F10" i="6"/>
  <c r="F9" i="6"/>
  <c r="F12" i="6"/>
  <c r="C14" i="6"/>
  <c r="C8" i="6"/>
  <c r="C13" i="6"/>
  <c r="C15" i="6"/>
  <c r="C12" i="6"/>
  <c r="C9" i="6"/>
  <c r="C11" i="6"/>
  <c r="C7" i="6"/>
  <c r="C16" i="6" l="1"/>
  <c r="C4" i="5"/>
  <c r="C22" i="6"/>
  <c r="C21" i="6"/>
  <c r="C18"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C2" i="4"/>
  <c r="G2" i="4"/>
  <c r="D2" i="4"/>
  <c r="K2" i="4"/>
  <c r="H2" i="4"/>
  <c r="G2" i="1" l="1"/>
  <c r="A2" i="1"/>
  <c r="F2" i="1"/>
  <c r="E2" i="1"/>
  <c r="D2" i="1"/>
  <c r="C2" i="1"/>
  <c r="B2" i="1"/>
  <c r="L2" i="4"/>
  <c r="R2" i="4"/>
  <c r="H2" i="1" l="1"/>
  <c r="K2" i="1" s="1"/>
  <c r="M2" i="4"/>
  <c r="N2" i="4" s="1"/>
  <c r="Q2" i="4" s="1"/>
  <c r="S2" i="4"/>
  <c r="T2" i="4" s="1"/>
</calcChain>
</file>

<file path=xl/sharedStrings.xml><?xml version="1.0" encoding="utf-8"?>
<sst xmlns="http://schemas.openxmlformats.org/spreadsheetml/2006/main" count="310" uniqueCount="266">
  <si>
    <t>code</t>
  </si>
  <si>
    <t>name</t>
  </si>
  <si>
    <t>stname</t>
  </si>
  <si>
    <t>tyr</t>
  </si>
  <si>
    <t>HisVol</t>
  </si>
  <si>
    <t>BS</t>
  </si>
  <si>
    <t>Delta</t>
  </si>
  <si>
    <t>Theta</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</si>
  <si>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</si>
  <si>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</si>
  <si>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</si>
  <si>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</si>
  <si>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</si>
  <si>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</si>
  <si>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</si>
  <si>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</si>
  <si>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</si>
  <si>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</si>
  <si>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</si>
  <si>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</si>
  <si>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</si>
  <si>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</si>
  <si>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</si>
  <si>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</si>
  <si>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</si>
  <si>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</si>
  <si>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</si>
  <si>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</si>
  <si>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</si>
  <si>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</si>
  <si>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</si>
  <si>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</si>
  <si>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</si>
  <si>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</si>
  <si>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</si>
  <si>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</si>
  <si>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</si>
  <si>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</si>
  <si>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</si>
  <si>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</si>
  <si>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</si>
  <si>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</si>
  <si>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</si>
  <si>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</si>
  <si>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</si>
  <si>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</si>
  <si>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</si>
  <si>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</si>
  <si>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</si>
  <si>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</si>
  <si>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</si>
  <si>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</si>
  <si>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</si>
  <si>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</si>
  <si>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</si>
  <si>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</si>
  <si>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</si>
  <si>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</si>
  <si>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</si>
  <si>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</si>
  <si>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</si>
  <si>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</si>
  <si>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</si>
  <si>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</si>
  <si>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</si>
  <si>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</si>
  <si>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</si>
  <si>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</si>
  <si>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</si>
  <si>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</si>
  <si>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</si>
  <si>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</si>
  <si>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</si>
  <si>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</si>
  <si>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</si>
  <si>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</si>
  <si>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</si>
  <si>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</si>
  <si>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</si>
  <si>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</si>
  <si>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</si>
  <si>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</si>
  <si>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</si>
  <si>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</si>
  <si>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</si>
  <si>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</si>
  <si>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</si>
  <si>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</si>
  <si>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</si>
  <si>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</si>
  <si>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</si>
  <si>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</si>
  <si>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</si>
  <si>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</si>
  <si>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</si>
  <si>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</si>
  <si>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</si>
  <si>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</si>
  <si>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</si>
  <si>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</si>
  <si>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</si>
  <si>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</si>
  <si>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</si>
  <si>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</si>
  <si>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</si>
  <si>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</si>
  <si>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</si>
  <si>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BT</t>
  </si>
  <si>
    <t>溢价率</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</si>
  <si>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</si>
  <si>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</si>
  <si>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</si>
  <si>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</si>
  <si>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</si>
  <si>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</si>
  <si>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</si>
  <si>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</si>
  <si>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</si>
  <si>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</si>
  <si>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</si>
  <si>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</si>
  <si>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</si>
  <si>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</si>
  <si>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</si>
  <si>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</si>
  <si>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</si>
  <si>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</si>
  <si>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</si>
  <si>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</si>
  <si>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</si>
  <si>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</si>
  <si>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</si>
  <si>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</si>
  <si>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</si>
  <si>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</si>
  <si>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</si>
  <si>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</si>
  <si>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</si>
  <si>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</si>
  <si>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</si>
  <si>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</si>
  <si>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</si>
  <si>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</si>
  <si>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</si>
  <si>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</si>
  <si>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</si>
  <si>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</si>
  <si>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可转债定价工具使用说明</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</si>
  <si>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</si>
  <si>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</si>
  <si>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</si>
  <si>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</si>
  <si>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</si>
  <si>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</si>
  <si>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</si>
  <si>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</si>
  <si>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</si>
  <si>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</si>
  <si>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</si>
  <si>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</si>
  <si>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</si>
  <si>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</si>
  <si>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</si>
  <si>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</si>
  <si>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</si>
  <si>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</si>
  <si>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</si>
  <si>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</si>
  <si>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</si>
  <si>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</si>
  <si>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</si>
  <si>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</si>
  <si>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</si>
  <si>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</si>
  <si>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</si>
  <si>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</si>
  <si>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</si>
  <si>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</si>
  <si>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</si>
  <si>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</si>
  <si>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</si>
  <si>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</si>
  <si>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</si>
  <si>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</si>
  <si>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</si>
  <si>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</si>
  <si>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</si>
  <si>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</si>
  <si>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</si>
  <si>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</si>
  <si>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</si>
  <si>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</si>
  <si>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</si>
  <si>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</si>
  <si>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</si>
  <si>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</si>
  <si>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</si>
  <si>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</si>
  <si>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D:/R/055ConvertableBond/convbond.csv</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</si>
  <si>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</si>
  <si>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</si>
  <si>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</si>
  <si>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</si>
  <si>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128016.SZ</t>
  </si>
  <si>
    <t>v1.3</t>
    <phoneticPr fontId="1" type="noConversion"/>
  </si>
  <si>
    <t>雨虹转债</t>
  </si>
  <si>
    <t>东方雨虹</t>
  </si>
  <si>
    <t>剩余年数</t>
    <phoneticPr fontId="1" type="noConversion"/>
  </si>
  <si>
    <t>自动处理除权数据。支持首日上市的转债。自动增加数据行数和公式。</t>
    <phoneticPr fontId="1" type="noConversion"/>
  </si>
  <si>
    <t>1.需要启用VBA宏和Wind插件，且Wind插件处于已登录状态。
2.[历史溢价率]和[期权价值]为历史数据测算，需要点击[更新数据]获取最新日数据。
3.[实时溢价率]中新增转债时，需要点击[更新数据]刷新公式。</t>
    <phoneticPr fontId="1" type="noConversion"/>
  </si>
  <si>
    <t>优先配售</t>
    <phoneticPr fontId="1" type="noConversion"/>
  </si>
  <si>
    <t>601222.SH</t>
    <phoneticPr fontId="1" type="noConversion"/>
  </si>
  <si>
    <t>每股配售面值</t>
    <phoneticPr fontId="1" type="noConversion"/>
  </si>
  <si>
    <t>预期收益率</t>
    <phoneticPr fontId="1" type="noConversion"/>
  </si>
  <si>
    <t>配售收益</t>
    <phoneticPr fontId="1" type="noConversion"/>
  </si>
  <si>
    <t>配售收益率</t>
    <phoneticPr fontId="1" type="noConversion"/>
  </si>
  <si>
    <t>601222.SH</t>
    <phoneticPr fontId="1" type="noConversion"/>
  </si>
  <si>
    <t>林洋转债</t>
    <phoneticPr fontId="1" type="noConversion"/>
  </si>
  <si>
    <t>转债定价</t>
    <phoneticPr fontId="1" type="noConversion"/>
  </si>
  <si>
    <t>ver1.4</t>
  </si>
  <si>
    <t>close</t>
  </si>
  <si>
    <t>stclose</t>
  </si>
  <si>
    <t>convprice</t>
  </si>
  <si>
    <t>strbvalue</t>
  </si>
  <si>
    <t>optvalue</t>
  </si>
  <si>
    <t>对冲比例</t>
  </si>
  <si>
    <t>ver1.4</t>
    <phoneticPr fontId="1" type="noConversion"/>
  </si>
  <si>
    <t>v1.4</t>
    <phoneticPr fontId="1" type="noConversion"/>
  </si>
  <si>
    <t>转债弹性，在当前价格水平下，正股价格变动1%，转债价格变动Delta%。</t>
    <phoneticPr fontId="1" type="noConversion"/>
  </si>
  <si>
    <t>stcode</t>
  </si>
  <si>
    <t>600185.SH</t>
  </si>
  <si>
    <t>600271.SH</t>
  </si>
  <si>
    <t>600031.SH</t>
  </si>
  <si>
    <t>600755.SH</t>
  </si>
  <si>
    <t>600998.SH</t>
  </si>
  <si>
    <t>601727.SH</t>
  </si>
  <si>
    <t>601238.SH</t>
  </si>
  <si>
    <t>601199.SH</t>
  </si>
  <si>
    <t>601818.SH</t>
  </si>
  <si>
    <t>601311.SH</t>
  </si>
  <si>
    <t>601211.SH</t>
  </si>
  <si>
    <t>002603.SZ</t>
  </si>
  <si>
    <t>300058.SZ</t>
  </si>
  <si>
    <t>000861.SZ</t>
  </si>
  <si>
    <t>000700.SZ</t>
  </si>
  <si>
    <t>002245.SZ</t>
  </si>
  <si>
    <t>002496.SZ</t>
  </si>
  <si>
    <t>002325.SZ</t>
  </si>
  <si>
    <t>002753.SZ</t>
  </si>
  <si>
    <t>002279.SZ</t>
  </si>
  <si>
    <t>002271.SZ</t>
  </si>
  <si>
    <t>601336.SH</t>
  </si>
  <si>
    <t>600535.SH</t>
  </si>
  <si>
    <t>600109.SH</t>
  </si>
  <si>
    <t>600170.SH</t>
  </si>
  <si>
    <t>601601.SH</t>
  </si>
  <si>
    <t>601801.SH</t>
  </si>
  <si>
    <t>601928.SH</t>
  </si>
  <si>
    <t>600350.SH</t>
  </si>
  <si>
    <t>601857.SH</t>
  </si>
  <si>
    <t>601233.SH</t>
  </si>
  <si>
    <t>600633.SH</t>
  </si>
  <si>
    <t>600160.SH</t>
  </si>
  <si>
    <t>溢价率均值</t>
  </si>
  <si>
    <t>溢价率标准差</t>
  </si>
  <si>
    <t>远程数据自动更新。解决多工作簿冲突问题。解决缓存问题。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</si>
</sst>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55">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0" fillId="0" borderId="1" xfId="0" applyBorder="1" applyAlignment="1">
      <alignment horizontal="center" vertical="center"/>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9" fontId="8" fillId="2" borderId="8" xfId="1" applyFont="1" applyFill="1" applyBorder="1" applyAlignment="1">
      <alignment horizontal="center" vertical="center"/>
    </xf>
    <xf numFmtId="0" fontId="0" fillId="0" borderId="7" xfId="0" applyFill="1" applyBorder="1" applyAlignment="1">
      <alignment horizontal="center" vertical="center"/>
    </xf>
    <xf numFmtId="0" fontId="0" fillId="0" borderId="8" xfId="0" applyBorder="1">
      <alignment vertical="center"/>
    </xf>
    <xf numFmtId="0" fontId="0" fillId="0" borderId="9" xfId="0" applyFill="1" applyBorder="1" applyAlignment="1">
      <alignment horizontal="center" vertical="center"/>
    </xf>
    <xf numFmtId="10" fontId="0" fillId="0" borderId="10" xfId="1" applyNumberFormat="1" applyFont="1" applyBorder="1">
      <alignment vertical="center"/>
    </xf>
    <xf numFmtId="17" fontId="0" fillId="0" borderId="0" xfId="0" applyNumberFormat="1">
      <alignment vertical="center"/>
    </xf>
    <xf numFmtId="0" fontId="3" fillId="0" borderId="1" xfId="0" applyFont="1" applyFill="1" applyBorder="1" applyAlignment="1">
      <alignment horizontal="center" vertical="center" wrapText="1"/>
    </xf>
    <xf numFmtId="0" fontId="0" fillId="0" borderId="1" xfId="0" applyFill="1" applyBorder="1" applyAlignment="1">
      <alignment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92.7</v>
        <stp/>
        <stp>132007.SH</stp>
        <stp>LastPrice</stp>
        <stp>RT_Price</stp>
        <tr r="C29" s="4"/>
      </tp>
      <tp>
        <v>118.56100000000001</v>
        <stp/>
        <stp>128016.SZ</stp>
        <stp>LastPrice</stp>
        <stp>RT_Price</stp>
        <tr r="C22" s="4"/>
        <tr r="C12" s="6"/>
        <tr r="C12" s="6"/>
      </tp>
      <tp>
        <v>101.9</v>
        <stp/>
        <stp>132006.SH</stp>
        <stp>LastPrice</stp>
        <stp>RT_Price</stp>
        <tr r="C28" s="4"/>
      </tp>
      <tp>
        <v>6.11</v>
        <stp/>
        <stp>002325.SZ</stp>
        <stp>LastPrice</stp>
        <stp>RT_Price</stp>
        <tr r="G19" s="4"/>
      </tp>
      <tp>
        <v>9.6300000000000008</v>
        <stp/>
        <stp>002245.SZ</stp>
        <stp>LastPrice</stp>
        <stp>RT_Price</stp>
        <tr r="G17" s="4"/>
      </tp>
      <tp>
        <v>6.17</v>
        <stp/>
        <stp>600185.SH</stp>
        <stp>LastPrice</stp>
        <stp>RT_Price</stp>
        <tr r="G2" s="4"/>
      </tp>
      <tp>
        <v>127.56</v>
        <stp/>
        <stp>110034.SH</stp>
        <stp>LastPrice</stp>
        <stp>RT_Price</stp>
        <tr r="C6" s="4"/>
      </tp>
      <tp>
        <v>36.92</v>
        <stp/>
        <stp>600535.SH</stp>
        <stp>LastPrice</stp>
        <stp>RT_Price</stp>
        <tr r="G24" s="4"/>
      </tp>
      <tp>
        <v>11.01</v>
        <stp/>
        <stp>600755.SH</stp>
        <stp>LastPrice</stp>
        <stp>RT_Price</stp>
        <tr r="G5" s="4"/>
      </tp>
      <tp>
        <v>126.5</v>
        <stp/>
        <stp>132005.SH</stp>
        <stp>LastPrice</stp>
        <stp>RT_Price</stp>
        <tr r="C27" s="4"/>
      </tp>
      <tp>
        <v>5.98</v>
        <stp/>
        <stp>002496.SZ</stp>
        <stp>LastPrice</stp>
        <stp>RT_Price</stp>
        <tr r="G18" s="4"/>
      </tp>
      <tp>
        <v>59.68</v>
        <stp/>
        <stp>601336.SH</stp>
        <stp>LastPrice</stp>
        <stp>RT_Price</stp>
        <tr r="G23" s="4"/>
      </tp>
      <tp>
        <v>107.5</v>
        <stp/>
        <stp>127004.SZ</stp>
        <stp>LastPrice</stp>
        <stp>RT_Price</stp>
        <tr r="C16" s="4"/>
      </tp>
      <tp>
        <v>116.616</v>
        <stp/>
        <stp>128014.SZ</stp>
        <stp>LastPrice</stp>
        <stp>RT_Price</stp>
        <tr r="C20" s="4"/>
      </tp>
      <tp>
        <v>92.7</v>
        <stp/>
        <stp>132004.SH</stp>
        <stp>LastPrice</stp>
        <stp>RT_Price</stp>
        <tr r="C26" s="4"/>
      </tp>
      <tp>
        <v>8.07</v>
        <stp/>
        <stp>601727.SH</stp>
        <stp>LastPrice</stp>
        <stp>RT_Price</stp>
        <tr r="G7" s="4"/>
      </tp>
      <tp>
        <v>8.1300000000000008</v>
        <stp/>
        <stp>601857.SH</stp>
        <stp>LastPrice</stp>
        <stp>RT_Price</stp>
        <tr r="G31" s="4"/>
      </tp>
      <tp>
        <v>114.28</v>
        <stp/>
        <stp>128015.SZ</stp>
        <stp>LastPrice</stp>
        <stp>RT_Price</stp>
        <tr r="C21" s="4"/>
      </tp>
      <tp>
        <v>102.10000000000001</v>
        <stp/>
        <stp>132003.SH</stp>
        <stp>LastPrice</stp>
        <stp>RT_Price</stp>
        <tr r="C25" s="4"/>
      </tp>
      <tp>
        <v>110.88</v>
        <stp/>
        <stp>113011.SH</stp>
        <stp>LastPrice</stp>
        <stp>RT_Price</stp>
        <tr r="C10" s="4"/>
      </tp>
      <tp>
        <v>12.120000000000001</v>
        <stp/>
        <stp>600160.SH</stp>
        <stp>LastPrice</stp>
        <stp>RT_Price</stp>
        <tr r="G34" s="4"/>
      </tp>
      <tp>
        <v>3.8200000000000003</v>
        <stp/>
        <stp>600170.SH</stp>
        <stp>LastPrice</stp>
        <stp>RT_Price</stp>
        <tr r="G26" s="4"/>
      </tp>
      <tp>
        <v>104.39</v>
        <stp/>
        <stp>110031.SH</stp>
        <stp>LastPrice</stp>
        <stp>RT_Price</stp>
        <tr r="C3" s="4"/>
      </tp>
      <tp>
        <v>5.95</v>
        <stp/>
        <stp>600350.SH</stp>
        <stp>LastPrice</stp>
        <stp>RT_Price</stp>
        <tr r="G30" s="4"/>
      </tp>
      <tp>
        <v>6.91</v>
        <stp/>
        <stp>000700.SZ</stp>
        <stp>LastPrice</stp>
        <stp>RT_Price</stp>
        <tr r="G16" s="4"/>
      </tp>
      <tp>
        <v>105.471</v>
        <stp/>
        <stp>128012.SZ</stp>
        <stp>LastPrice</stp>
        <stp>RT_Price</stp>
        <tr r="C18" s="4"/>
      </tp>
      <tp>
        <v>103.84</v>
        <stp/>
        <stp>132012.SH</stp>
        <stp>LastPrice</stp>
        <stp>RT_Price</stp>
        <tr r="C34" s="4"/>
      </tp>
      <tp>
        <v>103.65</v>
        <stp/>
        <stp>132002.SH</stp>
        <stp>LastPrice</stp>
        <stp>RT_Price</stp>
        <tr r="C24" s="4"/>
      </tp>
      <tp>
        <v>40</v>
        <stp/>
        <stp>002271.SZ</stp>
        <stp>LastPrice</stp>
        <stp>RT_Price</stp>
        <tr r="G22" s="4"/>
        <tr r="C8" s="6"/>
      </tp>
      <tp>
        <v>105.71000000000001</v>
        <stp/>
        <stp>113010.SH</stp>
        <stp>LastPrice</stp>
        <stp>RT_Price</stp>
        <tr r="C9" s="4"/>
      </tp>
      <tp>
        <v>112</v>
        <stp/>
        <stp>110030.SH</stp>
        <stp>LastPrice</stp>
        <stp>RT_Price</stp>
        <tr r="C2" s="4"/>
      </tp>
      <tp>
        <v>8.15</v>
        <stp/>
        <stp>600031.SH</stp>
        <stp>LastPrice</stp>
        <stp>RT_Price</stp>
        <tr r="G4" s="4"/>
      </tp>
      <tp>
        <v>18.830000000000002</v>
        <stp/>
        <stp>600271.SH</stp>
        <stp>LastPrice</stp>
        <stp>RT_Price</stp>
        <tr r="G3" s="4"/>
      </tp>
      <tp>
        <v>3.7</v>
        <stp/>
        <stp>000861.SZ</stp>
        <stp>LastPrice</stp>
        <stp>RT_Price</stp>
        <tr r="G15" s="4"/>
      </tp>
      <tp>
        <v>14.96</v>
        <stp/>
        <stp>601311.SH</stp>
        <stp>LastPrice</stp>
        <stp>RT_Price</stp>
        <tr r="G11" s="4"/>
      </tp>
      <tp>
        <v>20.900000000000002</v>
        <stp/>
        <stp>601211.SH</stp>
        <stp>LastPrice</stp>
        <stp>RT_Price</stp>
        <tr r="G12" s="4"/>
      </tp>
      <tp>
        <v>39.65</v>
        <stp/>
        <stp>601601.SH</stp>
        <stp>LastPrice</stp>
        <stp>RT_Price</stp>
        <tr r="G27" s="4"/>
      </tp>
      <tp>
        <v>12.39</v>
        <stp/>
        <stp>601801.SH</stp>
        <stp>LastPrice</stp>
        <stp>RT_Price</stp>
        <tr r="G28" s="4"/>
      </tp>
      <tp>
        <v>101.18</v>
        <stp/>
        <stp>127003.SZ</stp>
        <stp>LastPrice</stp>
        <stp>RT_Price</stp>
        <tr r="C15" s="4"/>
      </tp>
      <tp>
        <v>101.087</v>
        <stp/>
        <stp>128013.SZ</stp>
        <stp>LastPrice</stp>
        <stp>RT_Price</stp>
        <tr r="C19" s="4"/>
      </tp>
      <tp>
        <v>92.62</v>
        <stp/>
        <stp>132011.SH</stp>
        <stp>LastPrice</stp>
        <stp>RT_Price</stp>
        <tr r="C33" s="4"/>
      </tp>
      <tp>
        <v>141.17000000000002</v>
        <stp/>
        <stp>132001.SH</stp>
        <stp>LastPrice</stp>
        <stp>RT_Price</stp>
        <tr r="C23" s="4"/>
      </tp>
      <tp>
        <v>121.84</v>
        <stp/>
        <stp>113013.SH</stp>
        <stp>LastPrice</stp>
        <stp>RT_Price</stp>
        <tr r="C12" s="4"/>
      </tp>
      <tp>
        <v>128.93</v>
        <stp/>
        <stp>110033.SH</stp>
        <stp>LastPrice</stp>
        <stp>RT_Price</stp>
        <tr r="C5" s="4"/>
      </tp>
      <tp>
        <v>8.93</v>
        <stp/>
        <stp>601222.SH</stp>
        <stp>LastPrice</stp>
        <stp>RT_Price</stp>
        <tr r="I5" s="6"/>
        <tr r="L8" s="6"/>
      </tp>
      <tp>
        <v>117</v>
        <stp/>
        <stp>128010.SZ</stp>
        <stp>LastPrice</stp>
        <stp>RT_Price</stp>
        <tr r="C17" s="4"/>
      </tp>
      <tp>
        <v>114.9</v>
        <stp/>
        <stp>132010.SH</stp>
        <stp>LastPrice</stp>
        <stp>RT_Price</stp>
        <tr r="C32" s="4"/>
      </tp>
      <tp>
        <v>21.95</v>
        <stp/>
        <stp>002753.SZ</stp>
        <stp>LastPrice</stp>
        <stp>RT_Price</stp>
        <tr r="G20" s="4"/>
      </tp>
      <tp>
        <v>17.11</v>
        <stp/>
        <stp>002603.SZ</stp>
        <stp>LastPrice</stp>
        <stp>RT_Price</stp>
        <tr r="G13" s="4"/>
      </tp>
      <tp>
        <v>110.7</v>
        <stp/>
        <stp>113012.SH</stp>
        <stp>LastPrice</stp>
        <stp>RT_Price</stp>
        <tr r="C11" s="4"/>
      </tp>
      <tp>
        <v>104.43300000000001</v>
        <stp/>
        <stp>123001.SZ</stp>
        <stp>LastPrice</stp>
        <stp>RT_Price</stp>
        <tr r="C14" s="4"/>
      </tp>
      <tp>
        <v>120.36</v>
        <stp/>
        <stp>110032.SH</stp>
        <stp>LastPrice</stp>
        <stp>RT_Price</stp>
        <tr r="C4" s="4"/>
      </tp>
      <tp>
        <v>109</v>
        <stp/>
        <stp>120001.SZ</stp>
        <stp>LastPrice</stp>
        <stp>RT_Price</stp>
        <tr r="C13" s="4"/>
      </tp>
      <tp>
        <v>17.16</v>
        <stp/>
        <stp>600633.SH</stp>
        <stp>LastPrice</stp>
        <stp>RT_Price</stp>
        <tr r="G33" s="4"/>
      </tp>
      <tp>
        <v>16.600000000000001</v>
        <stp/>
        <stp>601233.SH</stp>
        <stp>LastPrice</stp>
        <stp>RT_Price</stp>
        <tr r="G32" s="4"/>
      </tp>
      <tp>
        <v>131.92000000000002</v>
        <stp/>
        <stp>113009.SH</stp>
        <stp>LastPrice</stp>
        <stp>RT_Price</stp>
        <tr r="C8" s="4"/>
      </tp>
      <tp>
        <v>7.8500000000000005</v>
        <stp/>
        <stp>300058.SZ</stp>
        <stp>LastPrice</stp>
        <stp>RT_Price</stp>
        <tr r="G14" s="4"/>
      </tp>
      <tp>
        <v>22.2</v>
        <stp/>
        <stp>600998.SH</stp>
        <stp>LastPrice</stp>
        <stp>RT_Price</stp>
        <tr r="G6" s="4"/>
      </tp>
      <tp>
        <v>28.13</v>
        <stp/>
        <stp>601238.SH</stp>
        <stp>LastPrice</stp>
        <stp>RT_Price</stp>
        <tr r="G8" s="4"/>
      </tp>
      <tp>
        <v>9.31</v>
        <stp/>
        <stp>601928.SH</stp>
        <stp>LastPrice</stp>
        <stp>RT_Price</stp>
        <tr r="G29" s="4"/>
      </tp>
      <tp>
        <v>4.07</v>
        <stp/>
        <stp>601818.SH</stp>
        <stp>LastPrice</stp>
        <stp>RT_Price</stp>
        <tr r="G10" s="4"/>
      </tp>
      <tp>
        <v>12.51</v>
        <stp/>
        <stp>002279.SZ</stp>
        <stp>LastPrice</stp>
        <stp>RT_Price</stp>
        <tr r="G21" s="4"/>
      </tp>
      <tp>
        <v>106.75</v>
        <stp/>
        <stp>113008.SH</stp>
        <stp>LastPrice</stp>
        <stp>RT_Price</stp>
        <tr r="C7" s="4"/>
      </tp>
      <tp>
        <v>11.31</v>
        <stp/>
        <stp>600109.SH</stp>
        <stp>LastPrice</stp>
        <stp>RT_Price</stp>
        <tr r="G25" s="4"/>
      </tp>
      <tp>
        <v>6.3900000000000006</v>
        <stp/>
        <stp>601199.SH</stp>
        <stp>LastPrice</stp>
        <stp>RT_Price</stp>
        <tr r="G9" s="4"/>
      </tp>
      <tp>
        <v>101.51</v>
        <stp/>
        <stp>132009.SH</stp>
        <stp>LastPrice</stp>
        <stp>RT_Price</stp>
        <tr r="C31" s="4"/>
      </tp>
      <tp>
        <v>95.3</v>
        <stp/>
        <stp>132008.SH</stp>
        <stp>LastPrice</stp>
        <stp>RT_Price</stp>
        <tr r="C30"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2"/>
  <sheetViews>
    <sheetView tabSelected="1" topLeftCell="A10" workbookViewId="0">
      <selection activeCell="D10" sqref="D10"/>
    </sheetView>
  </sheetViews>
  <sheetFormatPr defaultRowHeight="13.5"/>
  <cols>
    <col min="1" max="1" width="2.875" customWidth="1"/>
    <col min="2" max="2" width="12.625" customWidth="1"/>
    <col min="3" max="3" width="14.625" bestFit="1" customWidth="1"/>
    <col min="4" max="4" width="74.25" customWidth="1"/>
  </cols>
  <sheetData>
    <row r="2" spans="2:4" ht="42" customHeight="1">
      <c r="B2" s="47" t="s">
        <v>147</v>
      </c>
      <c r="C2" s="47"/>
      <c r="D2" s="47"/>
    </row>
    <row r="3" spans="2:4" ht="30" hidden="1" customHeight="1">
      <c r="B3" s="30" t="s">
        <v>202</v>
      </c>
      <c r="C3" s="30"/>
      <c r="D3" s="34" t="s">
        <v>198</v>
      </c>
    </row>
    <row r="4" spans="2:4" ht="30" customHeight="1">
      <c r="B4" s="29" t="s">
        <v>143</v>
      </c>
      <c r="C4" s="12">
        <f>Data!A2</f>
        <v>43032</v>
      </c>
      <c r="D4" s="35"/>
    </row>
    <row r="5" spans="2:4" ht="30" customHeight="1">
      <c r="B5" s="32" t="s">
        <v>199</v>
      </c>
      <c r="C5" s="31" t="s">
        <v>226</v>
      </c>
      <c r="D5" s="33" t="str">
        <f>IF(C5=Data!A1,"已更新至最新版","点此下载：最新版本 "&amp;Data!A1&amp;"")</f>
        <v>已更新至最新版</v>
      </c>
    </row>
    <row r="6" spans="2:4" ht="53.25" customHeight="1">
      <c r="B6" s="36" t="s">
        <v>139</v>
      </c>
      <c r="C6" s="51" t="s">
        <v>209</v>
      </c>
      <c r="D6" s="52"/>
    </row>
    <row r="7" spans="2:4" ht="30" customHeight="1">
      <c r="B7" s="46" t="s">
        <v>140</v>
      </c>
      <c r="C7" s="10" t="s">
        <v>131</v>
      </c>
      <c r="D7" s="9" t="s">
        <v>164</v>
      </c>
    </row>
    <row r="8" spans="2:4" ht="30" customHeight="1">
      <c r="B8" s="46"/>
      <c r="C8" s="10" t="s">
        <v>141</v>
      </c>
      <c r="D8" s="9" t="s">
        <v>165</v>
      </c>
    </row>
    <row r="9" spans="2:4" ht="30" customHeight="1">
      <c r="B9" s="46"/>
      <c r="C9" s="10" t="s">
        <v>142</v>
      </c>
      <c r="D9" s="9" t="s">
        <v>163</v>
      </c>
    </row>
    <row r="10" spans="2:4" ht="30" customHeight="1">
      <c r="B10" s="46"/>
      <c r="C10" s="13" t="s">
        <v>197</v>
      </c>
      <c r="D10" s="9" t="s">
        <v>196</v>
      </c>
    </row>
    <row r="11" spans="2:4" ht="30" hidden="1" customHeight="1">
      <c r="B11" s="46"/>
      <c r="C11" s="10" t="s">
        <v>148</v>
      </c>
      <c r="D11" s="9" t="s">
        <v>145</v>
      </c>
    </row>
    <row r="12" spans="2:4" ht="30" customHeight="1">
      <c r="B12" s="48" t="s">
        <v>150</v>
      </c>
      <c r="C12" s="10" t="s">
        <v>151</v>
      </c>
      <c r="D12" s="9" t="s">
        <v>152</v>
      </c>
    </row>
    <row r="13" spans="2:4" ht="30" customHeight="1">
      <c r="B13" s="49"/>
      <c r="C13" s="10" t="s">
        <v>153</v>
      </c>
      <c r="D13" s="9" t="s">
        <v>166</v>
      </c>
    </row>
    <row r="14" spans="2:4" ht="30" customHeight="1">
      <c r="B14" s="49"/>
      <c r="C14" s="11" t="s">
        <v>160</v>
      </c>
      <c r="D14" s="9" t="s">
        <v>228</v>
      </c>
    </row>
    <row r="15" spans="2:4" ht="30" customHeight="1">
      <c r="B15" s="49"/>
      <c r="C15" s="10" t="s">
        <v>154</v>
      </c>
      <c r="D15" s="9" t="s">
        <v>157</v>
      </c>
    </row>
    <row r="16" spans="2:4" ht="30" customHeight="1">
      <c r="B16" s="49"/>
      <c r="C16" s="10" t="s">
        <v>155</v>
      </c>
      <c r="D16" s="9" t="s">
        <v>156</v>
      </c>
    </row>
    <row r="17" spans="2:4" ht="30" customHeight="1">
      <c r="B17" s="50"/>
      <c r="C17" s="11" t="s">
        <v>161</v>
      </c>
      <c r="D17" s="9" t="s">
        <v>162</v>
      </c>
    </row>
    <row r="18" spans="2:4" ht="30" customHeight="1">
      <c r="B18" s="46" t="s">
        <v>159</v>
      </c>
      <c r="C18" s="37" t="s">
        <v>144</v>
      </c>
      <c r="D18" s="9" t="s">
        <v>146</v>
      </c>
    </row>
    <row r="19" spans="2:4" ht="30" customHeight="1">
      <c r="B19" s="46"/>
      <c r="C19" s="37" t="s">
        <v>158</v>
      </c>
      <c r="D19" s="9" t="s">
        <v>149</v>
      </c>
    </row>
    <row r="20" spans="2:4" ht="30" customHeight="1">
      <c r="B20" s="46"/>
      <c r="C20" s="37" t="s">
        <v>200</v>
      </c>
      <c r="D20" s="9" t="s">
        <v>201</v>
      </c>
    </row>
    <row r="21" spans="2:4" ht="30" customHeight="1">
      <c r="B21" s="46"/>
      <c r="C21" s="44" t="s">
        <v>204</v>
      </c>
      <c r="D21" s="45" t="s">
        <v>208</v>
      </c>
    </row>
    <row r="22" spans="2:4" ht="30" customHeight="1">
      <c r="B22" s="46"/>
      <c r="C22" s="44" t="s">
        <v>227</v>
      </c>
      <c r="D22" s="45" t="s">
        <v>265</v>
      </c>
    </row>
  </sheetData>
  <mergeCells count="5">
    <mergeCell ref="B7:B11"/>
    <mergeCell ref="B2:D2"/>
    <mergeCell ref="B12:B17"/>
    <mergeCell ref="C6:D6"/>
    <mergeCell ref="B18:B22"/>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4"/>
  <sheetViews>
    <sheetView workbookViewId="0">
      <selection activeCell="K26" sqref="K26"/>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109</v>
      </c>
      <c r="B1" t="s">
        <v>109</v>
      </c>
      <c r="C1" t="s">
        <v>121</v>
      </c>
      <c r="D1" t="s">
        <v>129</v>
      </c>
      <c r="E1" t="s">
        <v>111</v>
      </c>
      <c r="F1" t="s">
        <v>112</v>
      </c>
      <c r="G1" t="s">
        <v>122</v>
      </c>
      <c r="H1" t="s">
        <v>124</v>
      </c>
      <c r="I1" t="s">
        <v>125</v>
      </c>
      <c r="J1" t="s">
        <v>126</v>
      </c>
      <c r="K1" s="2" t="s">
        <v>207</v>
      </c>
      <c r="L1" t="s">
        <v>123</v>
      </c>
      <c r="M1" t="s">
        <v>130</v>
      </c>
      <c r="N1" s="2" t="s">
        <v>131</v>
      </c>
      <c r="O1" s="2" t="s">
        <v>132</v>
      </c>
      <c r="P1" s="2" t="s">
        <v>133</v>
      </c>
      <c r="Q1" s="2" t="s">
        <v>134</v>
      </c>
      <c r="R1" s="5" t="s">
        <v>135</v>
      </c>
      <c r="S1" s="4" t="s">
        <v>137</v>
      </c>
      <c r="T1" s="2" t="s">
        <v>138</v>
      </c>
    </row>
    <row r="2" spans="1:20">
      <c r="A2" t="str">
        <f>Data!B2</f>
        <v>110030.SH</v>
      </c>
      <c r="B2" t="str">
        <f>Data!C2</f>
        <v>格力转债</v>
      </c>
      <c r="C2" s="8">
        <f>RTD("wdf.rtq", ,A2, "LastPrice","RT_Price")</f>
        <v>112</v>
      </c>
      <c r="D2" s="8">
        <f>[1]!cb_anal_straightbondvalue(A2,"")</f>
        <v>98.384799999999998</v>
      </c>
      <c r="E2" t="str">
        <f>Data!E2</f>
        <v>600185.SH</v>
      </c>
      <c r="F2" t="str">
        <f>Data!F2</f>
        <v>格力地产</v>
      </c>
      <c r="G2" s="7">
        <f>RTD("wdf.rtq", ,E2, "LastPrice","RT_Price")</f>
        <v>6.17</v>
      </c>
      <c r="H2" s="7">
        <f>[1]!cb_anal_convprice(A2,"")</f>
        <v>7.24</v>
      </c>
      <c r="I2" s="2">
        <f>Data!J2</f>
        <v>0.271491248438678</v>
      </c>
      <c r="J2" s="2">
        <f>IF(I2=0,0.3,I2)</f>
        <v>0.271491248438678</v>
      </c>
      <c r="K2" s="7">
        <f ca="1">([1]!cb_info_maturitydate(A2)-TODAY())/365</f>
        <v>2.1671232876712327</v>
      </c>
      <c r="L2" s="6">
        <f ca="1">BlackScholes(G2,H2,0.015,K2,0,J2,"C",0,0)*100/H2</f>
        <v>9.3404750915975434</v>
      </c>
      <c r="M2" s="6">
        <f ca="1">L2+D2</f>
        <v>107.72527509159754</v>
      </c>
      <c r="N2" s="2">
        <f ca="1">C2/M2-1</f>
        <v>3.9681726547160956E-2</v>
      </c>
      <c r="O2" s="2">
        <f>IF(Data!V2=0,"",Data!V2)</f>
        <v>3.1112207735670101E-2</v>
      </c>
      <c r="P2" s="2">
        <f>IF(Data!W2=0,"",Data!W2)</f>
        <v>5.4127616022114598E-2</v>
      </c>
      <c r="Q2" s="2">
        <f ca="1">IFERROR(_xlfn.NORM.DIST(N2,O2,P2,TRUE),"")</f>
        <v>0.5628979275668804</v>
      </c>
      <c r="R2" s="5">
        <f ca="1">BlackScholes(G2,H2,0.015,K2,0,J2,"C",0,1)</f>
        <v>0.4526489776737801</v>
      </c>
      <c r="S2" s="3">
        <f ca="1">R2*100/H2</f>
        <v>6.2520577026765203</v>
      </c>
      <c r="T2" t="str">
        <f ca="1">ROUND(10*C2,0)&amp;":"&amp;ROUND(G2*S2*10,0)</f>
        <v>1120:386</v>
      </c>
    </row>
    <row r="3" spans="1:20">
      <c r="A3" t="str">
        <f>Data!B3</f>
        <v>110031.SH</v>
      </c>
      <c r="B3" t="str">
        <f>Data!C3</f>
        <v>航信转债</v>
      </c>
      <c r="C3" s="8">
        <f>RTD("wdf.rtq", ,A3, "LastPrice","RT_Price")</f>
        <v>104.39</v>
      </c>
      <c r="D3" s="8">
        <f>[1]!cb_anal_straightbondvalue(A3,"")</f>
        <v>94.066599999999994</v>
      </c>
      <c r="E3" t="str">
        <f>Data!E3</f>
        <v>600271.SH</v>
      </c>
      <c r="F3" t="str">
        <f>Data!F3</f>
        <v>航天信息</v>
      </c>
      <c r="G3" s="7">
        <f>RTD("wdf.rtq", ,E3, "LastPrice","RT_Price")</f>
        <v>18.830000000000002</v>
      </c>
      <c r="H3" s="7">
        <f>[1]!cb_anal_convprice(A3,"")</f>
        <v>42.8</v>
      </c>
      <c r="I3" s="2">
        <f>Data!J3</f>
        <v>0.245576317618273</v>
      </c>
      <c r="J3" s="2">
        <f t="shared" ref="J3:J34" si="0">IF(I3=0,0.3,I3)</f>
        <v>0.245576317618273</v>
      </c>
      <c r="K3" s="7">
        <f ca="1">([1]!cb_info_maturitydate(A3)-TODAY())/365</f>
        <v>3.6328767123287671</v>
      </c>
      <c r="L3" s="6">
        <f t="shared" ref="L3:L34" ca="1" si="1">BlackScholes(G3,H3,0.015,K3,0,J3,"C",0,0)*100/H3</f>
        <v>0.62908027933333621</v>
      </c>
      <c r="M3" s="6">
        <f t="shared" ref="M3:M34" ca="1" si="2">L3+D3</f>
        <v>94.695680279333331</v>
      </c>
      <c r="N3" s="2">
        <f t="shared" ref="N3:N34" ca="1" si="3">C3/M3-1</f>
        <v>0.10237341019221113</v>
      </c>
      <c r="O3" s="2">
        <f>IF(Data!V3=0,"",Data!V3)</f>
        <v>0.118476304464274</v>
      </c>
      <c r="P3" s="2">
        <f>IF(Data!W3=0,"",Data!W3)</f>
        <v>2.5941376227413E-2</v>
      </c>
      <c r="Q3" s="2">
        <f t="shared" ref="Q3:Q34" ca="1" si="4">IFERROR(_xlfn.NORM.DIST(N3,O3,P3,TRUE),"")</f>
        <v>0.26738479016936656</v>
      </c>
      <c r="R3" s="5">
        <f t="shared" ref="R3:R34" ca="1" si="5">BlackScholes(G3,H3,0.015,K3,0,J3,"C",0,1)</f>
        <v>8.0198704710761431E-2</v>
      </c>
      <c r="S3" s="3">
        <f t="shared" ref="S3:S34" ca="1" si="6">R3*100/H3</f>
        <v>0.18738015119336782</v>
      </c>
      <c r="T3" t="str">
        <f t="shared" ref="T3:T34" ca="1" si="7">ROUND(10*C3,0)&amp;":"&amp;ROUND(G3*S3*10,0)</f>
        <v>1044:35</v>
      </c>
    </row>
    <row r="4" spans="1:20">
      <c r="A4" t="str">
        <f>Data!B4</f>
        <v>110032.SH</v>
      </c>
      <c r="B4" t="str">
        <f>Data!C4</f>
        <v>三一转债</v>
      </c>
      <c r="C4" s="8">
        <f>RTD("wdf.rtq", ,A4, "LastPrice","RT_Price")</f>
        <v>120.36</v>
      </c>
      <c r="D4" s="8">
        <f>[1]!cb_anal_straightbondvalue(A4,"")</f>
        <v>91.335499999999996</v>
      </c>
      <c r="E4" t="str">
        <f>Data!E4</f>
        <v>600031.SH</v>
      </c>
      <c r="F4" t="str">
        <f>Data!F4</f>
        <v>三一重工</v>
      </c>
      <c r="G4" s="7">
        <f>RTD("wdf.rtq", ,E4, "LastPrice","RT_Price")</f>
        <v>8.15</v>
      </c>
      <c r="H4" s="7">
        <f>[1]!cb_anal_convprice(A4,"")</f>
        <v>7.43</v>
      </c>
      <c r="I4" s="2">
        <f>Data!J4</f>
        <v>0.285040136255027</v>
      </c>
      <c r="J4" s="2">
        <f t="shared" si="0"/>
        <v>0.285040136255027</v>
      </c>
      <c r="K4" s="7">
        <f ca="1">([1]!cb_info_maturitydate(A4)-TODAY())/365</f>
        <v>4.1972602739726028</v>
      </c>
      <c r="L4" s="6">
        <f t="shared" ca="1" si="1"/>
        <v>32.076829999978294</v>
      </c>
      <c r="M4" s="6">
        <f t="shared" ca="1" si="2"/>
        <v>123.41232999997828</v>
      </c>
      <c r="N4" s="2">
        <f t="shared" ca="1" si="3"/>
        <v>-2.4732779941670446E-2</v>
      </c>
      <c r="O4" s="2">
        <f>IF(Data!V4=0,"",Data!V4)</f>
        <v>6.3689208459388798E-3</v>
      </c>
      <c r="P4" s="2">
        <f>IF(Data!W4=0,"",Data!W4)</f>
        <v>3.5266744427214697E-2</v>
      </c>
      <c r="Q4" s="2">
        <f t="shared" ca="1" si="4"/>
        <v>0.18891575885280171</v>
      </c>
      <c r="R4" s="5">
        <f t="shared" ca="1" si="5"/>
        <v>0.71163986041325522</v>
      </c>
      <c r="S4" s="3">
        <f t="shared" ca="1" si="6"/>
        <v>9.5779254429778646</v>
      </c>
      <c r="T4" t="str">
        <f t="shared" ca="1" si="7"/>
        <v>1204:781</v>
      </c>
    </row>
    <row r="5" spans="1:20">
      <c r="A5" t="str">
        <f>Data!B5</f>
        <v>110033.SH</v>
      </c>
      <c r="B5" t="str">
        <f>Data!C5</f>
        <v>国贸转债</v>
      </c>
      <c r="C5" s="8">
        <f>RTD("wdf.rtq", ,A5, "LastPrice","RT_Price")</f>
        <v>128.93</v>
      </c>
      <c r="D5" s="8">
        <f>[1]!cb_anal_straightbondvalue(A5,"")</f>
        <v>92.852800000000002</v>
      </c>
      <c r="E5" t="str">
        <f>Data!E5</f>
        <v>600755.SH</v>
      </c>
      <c r="F5" t="str">
        <f>Data!F5</f>
        <v>厦门国贸</v>
      </c>
      <c r="G5" s="7">
        <f>RTD("wdf.rtq", ,E5, "LastPrice","RT_Price")</f>
        <v>11.01</v>
      </c>
      <c r="H5" s="7">
        <f>[1]!cb_anal_convprice(A5,"")</f>
        <v>8.81</v>
      </c>
      <c r="I5" s="2">
        <f>Data!J5</f>
        <v>0.44129076235999398</v>
      </c>
      <c r="J5" s="2">
        <f t="shared" si="0"/>
        <v>0.44129076235999398</v>
      </c>
      <c r="K5" s="7">
        <f ca="1">([1]!cb_info_maturitydate(A5)-TODAY())/365</f>
        <v>4.2</v>
      </c>
      <c r="L5" s="6">
        <f t="shared" ca="1" si="1"/>
        <v>55.467954974185808</v>
      </c>
      <c r="M5" s="6">
        <f t="shared" ca="1" si="2"/>
        <v>148.3207549741858</v>
      </c>
      <c r="N5" s="2">
        <f t="shared" ca="1" si="3"/>
        <v>-0.13073527691765474</v>
      </c>
      <c r="O5" s="2">
        <f>IF(Data!V5=0,"",Data!V5)</f>
        <v>-2.4693021898343701E-2</v>
      </c>
      <c r="P5" s="2">
        <f>IF(Data!W5=0,"",Data!W5)</f>
        <v>5.3606987112579399E-2</v>
      </c>
      <c r="Q5" s="2">
        <f t="shared" ca="1" si="4"/>
        <v>2.3956321331342085E-2</v>
      </c>
      <c r="R5" s="5">
        <f t="shared" ca="1" si="5"/>
        <v>0.77885619583395937</v>
      </c>
      <c r="S5" s="3">
        <f t="shared" ca="1" si="6"/>
        <v>8.8405924612254179</v>
      </c>
      <c r="T5" t="str">
        <f t="shared" ca="1" si="7"/>
        <v>1289:973</v>
      </c>
    </row>
    <row r="6" spans="1:20">
      <c r="A6" t="str">
        <f>Data!B6</f>
        <v>110034.SH</v>
      </c>
      <c r="B6" t="str">
        <f>Data!C6</f>
        <v>九州转债</v>
      </c>
      <c r="C6" s="8">
        <f>RTD("wdf.rtq", ,A6, "LastPrice","RT_Price")</f>
        <v>127.56</v>
      </c>
      <c r="D6" s="8">
        <f>[1]!cb_anal_straightbondvalue(A6,"")</f>
        <v>91.74</v>
      </c>
      <c r="E6" t="str">
        <f>Data!E6</f>
        <v>600998.SH</v>
      </c>
      <c r="F6" t="str">
        <f>Data!F6</f>
        <v>九州通</v>
      </c>
      <c r="G6" s="7">
        <f>RTD("wdf.rtq", ,E6, "LastPrice","RT_Price")</f>
        <v>22.2</v>
      </c>
      <c r="H6" s="7">
        <f>[1]!cb_anal_convprice(A6,"")</f>
        <v>18.649999999999999</v>
      </c>
      <c r="I6" s="2">
        <f>Data!J6</f>
        <v>0.20997084055079801</v>
      </c>
      <c r="J6" s="2">
        <f t="shared" si="0"/>
        <v>0.20997084055079801</v>
      </c>
      <c r="K6" s="7">
        <f ca="1">([1]!cb_info_maturitydate(A6)-TODAY())/365</f>
        <v>4.2273972602739729</v>
      </c>
      <c r="L6" s="6">
        <f t="shared" ca="1" si="1"/>
        <v>33.413054900728135</v>
      </c>
      <c r="M6" s="6">
        <f t="shared" ca="1" si="2"/>
        <v>125.15305490072814</v>
      </c>
      <c r="N6" s="2">
        <f t="shared" ca="1" si="3"/>
        <v>1.9232012364229334E-2</v>
      </c>
      <c r="O6" s="2">
        <f>IF(Data!V6=0,"",Data!V6)</f>
        <v>1.38360535729026E-2</v>
      </c>
      <c r="P6" s="2">
        <f>IF(Data!W6=0,"",Data!W6)</f>
        <v>4.7641166560180699E-2</v>
      </c>
      <c r="Q6" s="2">
        <f t="shared" ca="1" si="4"/>
        <v>0.5450887864101559</v>
      </c>
      <c r="R6" s="5">
        <f t="shared" ca="1" si="5"/>
        <v>0.77826718280230667</v>
      </c>
      <c r="S6" s="3">
        <f t="shared" ca="1" si="6"/>
        <v>4.1730143849989636</v>
      </c>
      <c r="T6" t="str">
        <f t="shared" ca="1" si="7"/>
        <v>1276:926</v>
      </c>
    </row>
    <row r="7" spans="1:20">
      <c r="A7" t="str">
        <f>Data!B7</f>
        <v>113008.SH</v>
      </c>
      <c r="B7" t="str">
        <f>Data!C7</f>
        <v>电气转债</v>
      </c>
      <c r="C7" s="8">
        <f>RTD("wdf.rtq", ,A7, "LastPrice","RT_Price")</f>
        <v>106.75</v>
      </c>
      <c r="D7" s="8">
        <f>[1]!cb_anal_straightbondvalue(A7,"")</f>
        <v>95.314400000000006</v>
      </c>
      <c r="E7" t="str">
        <f>Data!E7</f>
        <v>601727.SH</v>
      </c>
      <c r="F7" t="str">
        <f>Data!F7</f>
        <v>上海电气</v>
      </c>
      <c r="G7" s="7">
        <f>RTD("wdf.rtq", ,E7, "LastPrice","RT_Price")</f>
        <v>8.07</v>
      </c>
      <c r="H7" s="7">
        <f>[1]!cb_anal_convprice(A7,"")</f>
        <v>10.46</v>
      </c>
      <c r="I7" s="2">
        <f>Data!J7</f>
        <v>0.31877828896240001</v>
      </c>
      <c r="J7" s="2">
        <f t="shared" si="0"/>
        <v>0.31877828896240001</v>
      </c>
      <c r="K7" s="7">
        <f ca="1">([1]!cb_info_maturitydate(A7)-TODAY())/365</f>
        <v>3.2767123287671232</v>
      </c>
      <c r="L7" s="6">
        <f t="shared" ca="1" si="1"/>
        <v>11.784127579740622</v>
      </c>
      <c r="M7" s="6">
        <f t="shared" ca="1" si="2"/>
        <v>107.09852757974063</v>
      </c>
      <c r="N7" s="2">
        <f t="shared" ca="1" si="3"/>
        <v>-3.2542705078847378E-3</v>
      </c>
      <c r="O7" s="2">
        <f>IF(Data!V7=0,"",Data!V7)</f>
        <v>9.5674008952773198E-2</v>
      </c>
      <c r="P7" s="2">
        <f>IF(Data!W7=0,"",Data!W7)</f>
        <v>7.7934701000673401E-2</v>
      </c>
      <c r="Q7" s="2">
        <f t="shared" ca="1" si="4"/>
        <v>0.10215386083555701</v>
      </c>
      <c r="R7" s="5">
        <f t="shared" ca="1" si="5"/>
        <v>0.46977162100567932</v>
      </c>
      <c r="S7" s="3">
        <f t="shared" ca="1" si="6"/>
        <v>4.4911244838019053</v>
      </c>
      <c r="T7" t="str">
        <f t="shared" ca="1" si="7"/>
        <v>1068:362</v>
      </c>
    </row>
    <row r="8" spans="1:20">
      <c r="A8" t="str">
        <f>Data!B8</f>
        <v>113009.SH</v>
      </c>
      <c r="B8" t="str">
        <f>Data!C8</f>
        <v>广汽转债</v>
      </c>
      <c r="C8" s="8">
        <f>RTD("wdf.rtq", ,A8, "LastPrice","RT_Price")</f>
        <v>131.92000000000002</v>
      </c>
      <c r="D8" s="8">
        <f>[1]!cb_anal_straightbondvalue(A8,"")</f>
        <v>91.039900000000003</v>
      </c>
      <c r="E8" t="str">
        <f>Data!E8</f>
        <v>601238.SH</v>
      </c>
      <c r="F8" t="str">
        <f>Data!F8</f>
        <v>广汽集团</v>
      </c>
      <c r="G8" s="7">
        <f>RTD("wdf.rtq", ,E8, "LastPrice","RT_Price")</f>
        <v>28.13</v>
      </c>
      <c r="H8" s="7">
        <f>[1]!cb_anal_convprice(A8,"")</f>
        <v>21.43</v>
      </c>
      <c r="I8" s="2">
        <f>Data!J8</f>
        <v>0.21833547878026699</v>
      </c>
      <c r="J8" s="2">
        <f t="shared" si="0"/>
        <v>0.21833547878026699</v>
      </c>
      <c r="K8" s="7">
        <f ca="1">([1]!cb_info_maturitydate(A8)-TODAY())/365</f>
        <v>4.2465753424657535</v>
      </c>
      <c r="L8" s="6">
        <f t="shared" ca="1" si="1"/>
        <v>43.932875022595155</v>
      </c>
      <c r="M8" s="6">
        <f t="shared" ca="1" si="2"/>
        <v>134.97277502259516</v>
      </c>
      <c r="N8" s="2">
        <f t="shared" ca="1" si="3"/>
        <v>-2.2617709549826559E-2</v>
      </c>
      <c r="O8" s="2">
        <f>IF(Data!V8=0,"",Data!V8)</f>
        <v>-3.8429579699984603E-2</v>
      </c>
      <c r="P8" s="2">
        <f>IF(Data!W8=0,"",Data!W8)</f>
        <v>2.5995016096797399E-2</v>
      </c>
      <c r="Q8" s="2">
        <f t="shared" ca="1" si="4"/>
        <v>0.72849428386294512</v>
      </c>
      <c r="R8" s="5">
        <f t="shared" ca="1" si="5"/>
        <v>0.83427044632847669</v>
      </c>
      <c r="S8" s="3">
        <f t="shared" ca="1" si="6"/>
        <v>3.8930025493629339</v>
      </c>
      <c r="T8" t="str">
        <f t="shared" ca="1" si="7"/>
        <v>1319:1095</v>
      </c>
    </row>
    <row r="9" spans="1:20">
      <c r="A9" t="str">
        <f>Data!B9</f>
        <v>113010.SH</v>
      </c>
      <c r="B9" t="str">
        <f>Data!C9</f>
        <v>江南转债</v>
      </c>
      <c r="C9" s="8">
        <f>RTD("wdf.rtq", ,A9, "LastPrice","RT_Price")</f>
        <v>105.71000000000001</v>
      </c>
      <c r="D9" s="8">
        <f>[1]!cb_anal_straightbondvalue(A9,"")</f>
        <v>92.2667</v>
      </c>
      <c r="E9" t="str">
        <f>Data!E9</f>
        <v>601199.SH</v>
      </c>
      <c r="F9" t="str">
        <f>Data!F9</f>
        <v>江南水务</v>
      </c>
      <c r="G9" s="7">
        <f>RTD("wdf.rtq", ,E9, "LastPrice","RT_Price")</f>
        <v>6.3900000000000006</v>
      </c>
      <c r="H9" s="7">
        <f>[1]!cb_anal_convprice(A9,"")</f>
        <v>9.3000000000000007</v>
      </c>
      <c r="I9" s="2">
        <f>Data!J9</f>
        <v>0.15576010476686</v>
      </c>
      <c r="J9" s="2">
        <f t="shared" si="0"/>
        <v>0.15576010476686</v>
      </c>
      <c r="K9" s="7">
        <f ca="1">([1]!cb_info_maturitydate(A9)-TODAY())/365</f>
        <v>4.397260273972603</v>
      </c>
      <c r="L9" s="6">
        <f t="shared" ca="1" si="1"/>
        <v>2.3917786263222021</v>
      </c>
      <c r="M9" s="6">
        <f t="shared" ca="1" si="2"/>
        <v>94.658478626322207</v>
      </c>
      <c r="N9" s="2">
        <f t="shared" ca="1" si="3"/>
        <v>0.11675152119553123</v>
      </c>
      <c r="O9" s="2">
        <f>IF(Data!V9=0,"",Data!V9)</f>
        <v>5.0211870602868802E-2</v>
      </c>
      <c r="P9" s="2">
        <f>IF(Data!W9=0,"",Data!W9)</f>
        <v>4.3654863816732802E-2</v>
      </c>
      <c r="Q9" s="2">
        <f t="shared" ca="1" si="4"/>
        <v>0.93627321565318411</v>
      </c>
      <c r="R9" s="5">
        <f t="shared" ca="1" si="5"/>
        <v>0.21660356349119508</v>
      </c>
      <c r="S9" s="3">
        <f t="shared" ca="1" si="6"/>
        <v>2.3290705751741405</v>
      </c>
      <c r="T9" t="str">
        <f t="shared" ca="1" si="7"/>
        <v>1057:149</v>
      </c>
    </row>
    <row r="10" spans="1:20">
      <c r="A10" t="str">
        <f>Data!B10</f>
        <v>113011.SH</v>
      </c>
      <c r="B10" t="str">
        <f>Data!C10</f>
        <v>光大转债</v>
      </c>
      <c r="C10" s="8">
        <f>RTD("wdf.rtq", ,A10, "LastPrice","RT_Price")</f>
        <v>110.88</v>
      </c>
      <c r="D10" s="8">
        <f>[1]!cb_anal_straightbondvalue(A10,"")</f>
        <v>85.7637</v>
      </c>
      <c r="E10" t="str">
        <f>Data!E10</f>
        <v>601818.SH</v>
      </c>
      <c r="F10" t="str">
        <f>Data!F10</f>
        <v>光大银行</v>
      </c>
      <c r="G10" s="7">
        <f>RTD("wdf.rtq", ,E10, "LastPrice","RT_Price")</f>
        <v>4.07</v>
      </c>
      <c r="H10" s="7">
        <f>[1]!cb_anal_convprice(A10,"")</f>
        <v>4.26</v>
      </c>
      <c r="I10" s="2">
        <f>Data!J10</f>
        <v>0.13501648454956799</v>
      </c>
      <c r="J10" s="2">
        <f t="shared" si="0"/>
        <v>0.13501648454956799</v>
      </c>
      <c r="K10" s="7">
        <f ca="1">([1]!cb_info_maturitydate(A10)-TODAY())/365</f>
        <v>5.3945205479452056</v>
      </c>
      <c r="L10" s="6">
        <f t="shared" ca="1" si="1"/>
        <v>13.427161822697645</v>
      </c>
      <c r="M10" s="6">
        <f t="shared" ca="1" si="2"/>
        <v>99.190861822697642</v>
      </c>
      <c r="N10" s="2">
        <f t="shared" ca="1" si="3"/>
        <v>0.11784490992926888</v>
      </c>
      <c r="O10" s="2">
        <f>IF(Data!V10=0,"",Data!V10)</f>
        <v>8.7468834584599697E-2</v>
      </c>
      <c r="P10" s="2">
        <f>IF(Data!W10=0,"",Data!W10)</f>
        <v>4.1677447272384802E-2</v>
      </c>
      <c r="Q10" s="2">
        <f t="shared" ca="1" si="4"/>
        <v>0.76694938341765684</v>
      </c>
      <c r="R10" s="5">
        <f t="shared" ca="1" si="5"/>
        <v>0.60616437013737079</v>
      </c>
      <c r="S10" s="3">
        <f t="shared" ca="1" si="6"/>
        <v>14.229210566604948</v>
      </c>
      <c r="T10" t="str">
        <f t="shared" ca="1" si="7"/>
        <v>1109:579</v>
      </c>
    </row>
    <row r="11" spans="1:20">
      <c r="A11" t="str">
        <f>Data!B11</f>
        <v>113012.SH</v>
      </c>
      <c r="B11" t="str">
        <f>Data!C11</f>
        <v>骆驼转债</v>
      </c>
      <c r="C11" s="8">
        <f>RTD("wdf.rtq", ,A11, "LastPrice","RT_Price")</f>
        <v>110.7</v>
      </c>
      <c r="D11" s="8">
        <f>[1]!cb_anal_straightbondvalue(A11,"")</f>
        <v>85.369799999999998</v>
      </c>
      <c r="E11" t="str">
        <f>Data!E11</f>
        <v>601311.SH</v>
      </c>
      <c r="F11" t="str">
        <f>Data!F11</f>
        <v>骆驼股份</v>
      </c>
      <c r="G11" s="7">
        <f>RTD("wdf.rtq", ,E11, "LastPrice","RT_Price")</f>
        <v>14.96</v>
      </c>
      <c r="H11" s="7">
        <f>[1]!cb_anal_convprice(A11,"")</f>
        <v>16.72</v>
      </c>
      <c r="I11" s="2">
        <f>Data!J11</f>
        <v>0.26302939620071503</v>
      </c>
      <c r="J11" s="2">
        <f t="shared" si="0"/>
        <v>0.26302939620071503</v>
      </c>
      <c r="K11" s="7">
        <f ca="1">([1]!cb_info_maturitydate(A11)-TODAY())/365</f>
        <v>5.4136986301369863</v>
      </c>
      <c r="L11" s="6">
        <f t="shared" ca="1" si="1"/>
        <v>20.498886067400729</v>
      </c>
      <c r="M11" s="6">
        <f t="shared" ca="1" si="2"/>
        <v>105.86868606740073</v>
      </c>
      <c r="N11" s="2">
        <f t="shared" ca="1" si="3"/>
        <v>4.5634966410402322E-2</v>
      </c>
      <c r="O11" s="2">
        <f>IF(Data!V11=0,"",Data!V11)</f>
        <v>5.6953079544500497E-2</v>
      </c>
      <c r="P11" s="2">
        <f>IF(Data!W11=0,"",Data!W11)</f>
        <v>5.7749606397065202E-2</v>
      </c>
      <c r="Q11" s="2">
        <f t="shared" ca="1" si="4"/>
        <v>0.42231057024430618</v>
      </c>
      <c r="R11" s="5">
        <f t="shared" ca="1" si="5"/>
        <v>0.60139030269077209</v>
      </c>
      <c r="S11" s="3">
        <f t="shared" ca="1" si="6"/>
        <v>3.596831953892178</v>
      </c>
      <c r="T11" t="str">
        <f t="shared" ca="1" si="7"/>
        <v>1107:538</v>
      </c>
    </row>
    <row r="12" spans="1:20">
      <c r="A12" t="str">
        <f>Data!B12</f>
        <v>113013.SH</v>
      </c>
      <c r="B12" t="str">
        <f>Data!C12</f>
        <v>国君转债</v>
      </c>
      <c r="C12" s="8">
        <f>RTD("wdf.rtq", ,A12, "LastPrice","RT_Price")</f>
        <v>121.84</v>
      </c>
      <c r="D12" s="8">
        <f>[1]!cb_anal_straightbondvalue(A12,"")</f>
        <v>84.456800000000001</v>
      </c>
      <c r="E12" t="str">
        <f>Data!E12</f>
        <v>601211.SH</v>
      </c>
      <c r="F12" t="str">
        <f>Data!F12</f>
        <v>国泰君安</v>
      </c>
      <c r="G12" s="7">
        <f>RTD("wdf.rtq", ,E12, "LastPrice","RT_Price")</f>
        <v>20.900000000000002</v>
      </c>
      <c r="H12" s="7">
        <f>[1]!cb_anal_convprice(A12,"")</f>
        <v>20.2</v>
      </c>
      <c r="I12" s="2">
        <f>Data!J12</f>
        <v>0.205094259731958</v>
      </c>
      <c r="J12" s="2">
        <f t="shared" si="0"/>
        <v>0.205094259731958</v>
      </c>
      <c r="K12" s="7">
        <f ca="1">([1]!cb_info_maturitydate(A12)-TODAY())/365</f>
        <v>5.7013698630136984</v>
      </c>
      <c r="L12" s="6">
        <f t="shared" ca="1" si="1"/>
        <v>25.265075486591126</v>
      </c>
      <c r="M12" s="6">
        <f t="shared" ca="1" si="2"/>
        <v>109.72187548659113</v>
      </c>
      <c r="N12" s="2">
        <f t="shared" ca="1" si="3"/>
        <v>0.11044401546790739</v>
      </c>
      <c r="O12" s="2">
        <f>IF(Data!V12=0,"",Data!V12)</f>
        <v>0.117065398642762</v>
      </c>
      <c r="P12" s="2">
        <f>IF(Data!W12=0,"",Data!W12)</f>
        <v>6.9468530651642102E-2</v>
      </c>
      <c r="Q12" s="2">
        <f t="shared" ca="1" si="4"/>
        <v>0.46203237047289764</v>
      </c>
      <c r="R12" s="5">
        <f t="shared" ca="1" si="5"/>
        <v>0.68759856527983665</v>
      </c>
      <c r="S12" s="3">
        <f t="shared" ca="1" si="6"/>
        <v>3.4039532934645376</v>
      </c>
      <c r="T12" t="str">
        <f t="shared" ca="1" si="7"/>
        <v>1218:711</v>
      </c>
    </row>
    <row r="13" spans="1:20">
      <c r="A13" t="str">
        <f>Data!B13</f>
        <v>120001.SZ</v>
      </c>
      <c r="B13" t="str">
        <f>Data!C13</f>
        <v>16以岭EB</v>
      </c>
      <c r="C13" s="8">
        <f>RTD("wdf.rtq", ,A13, "LastPrice","RT_Price")</f>
        <v>109</v>
      </c>
      <c r="D13" s="8">
        <f>[1]!cb_anal_straightbondvalue(A13,"")</f>
        <v>94.671300000000002</v>
      </c>
      <c r="E13" t="str">
        <f>Data!E13</f>
        <v>002603.SZ</v>
      </c>
      <c r="F13" t="str">
        <f>Data!F13</f>
        <v>以岭药业</v>
      </c>
      <c r="G13" s="7">
        <f>RTD("wdf.rtq", ,E13, "LastPrice","RT_Price")</f>
        <v>17.11</v>
      </c>
      <c r="H13" s="7">
        <f>[1]!cb_anal_convprice(A13,"")</f>
        <v>17.8</v>
      </c>
      <c r="I13" s="2">
        <f>Data!J13</f>
        <v>0.166398072614624</v>
      </c>
      <c r="J13" s="2">
        <f t="shared" si="0"/>
        <v>0.166398072614624</v>
      </c>
      <c r="K13" s="7">
        <f ca="1">([1]!cb_info_maturitydate(A13)-TODAY())/365</f>
        <v>3.4821917808219176</v>
      </c>
      <c r="L13" s="6">
        <f t="shared" ca="1" si="1"/>
        <v>12.401037077026958</v>
      </c>
      <c r="M13" s="6">
        <f t="shared" ca="1" si="2"/>
        <v>107.07233707702696</v>
      </c>
      <c r="N13" s="2">
        <f t="shared" ca="1" si="3"/>
        <v>1.8003370203699687E-2</v>
      </c>
      <c r="O13" s="2">
        <f>IF(Data!V13=0,"",Data!V13)</f>
        <v>-3.7231407693392202E-4</v>
      </c>
      <c r="P13" s="2">
        <f>IF(Data!W13=0,"",Data!W13)</f>
        <v>2.0268512581795899E-2</v>
      </c>
      <c r="Q13" s="2">
        <f t="shared" ca="1" si="4"/>
        <v>0.81769409169482254</v>
      </c>
      <c r="R13" s="5">
        <f t="shared" ca="1" si="5"/>
        <v>0.57775251327651622</v>
      </c>
      <c r="S13" s="3">
        <f t="shared" ca="1" si="6"/>
        <v>3.2458006363849226</v>
      </c>
      <c r="T13" t="str">
        <f t="shared" ca="1" si="7"/>
        <v>1090:555</v>
      </c>
    </row>
    <row r="14" spans="1:20">
      <c r="A14" t="str">
        <f>Data!B14</f>
        <v>123001.SZ</v>
      </c>
      <c r="B14" t="str">
        <f>Data!C14</f>
        <v>蓝标转债</v>
      </c>
      <c r="C14" s="8">
        <f>RTD("wdf.rtq", ,A14, "LastPrice","RT_Price")</f>
        <v>104.43300000000001</v>
      </c>
      <c r="D14" s="8">
        <f>[1]!cb_anal_straightbondvalue(A14,"")</f>
        <v>93.554000000000002</v>
      </c>
      <c r="E14" t="str">
        <f>Data!E14</f>
        <v>300058.SZ</v>
      </c>
      <c r="F14" t="str">
        <f>Data!F14</f>
        <v>蓝色光标</v>
      </c>
      <c r="G14" s="7">
        <f>RTD("wdf.rtq", ,E14, "LastPrice","RT_Price")</f>
        <v>7.8500000000000005</v>
      </c>
      <c r="H14" s="7">
        <f>[1]!cb_anal_convprice(A14,"")</f>
        <v>9.77</v>
      </c>
      <c r="I14" s="2">
        <f>Data!J14</f>
        <v>0.29354155994994002</v>
      </c>
      <c r="J14" s="2">
        <f t="shared" si="0"/>
        <v>0.29354155994994002</v>
      </c>
      <c r="K14" s="7">
        <f ca="1">([1]!cb_info_maturitydate(A14)-TODAY())/365</f>
        <v>4.1506849315068495</v>
      </c>
      <c r="L14" s="6">
        <f t="shared" ca="1" si="1"/>
        <v>14.355897334641609</v>
      </c>
      <c r="M14" s="6">
        <f t="shared" ca="1" si="2"/>
        <v>107.90989733464161</v>
      </c>
      <c r="N14" s="2">
        <f t="shared" ca="1" si="3"/>
        <v>-3.2220374780446037E-2</v>
      </c>
      <c r="O14" s="2">
        <f>IF(Data!V14=0,"",Data!V14)</f>
        <v>3.6963615229316502E-2</v>
      </c>
      <c r="P14" s="2">
        <f>IF(Data!W14=0,"",Data!W14)</f>
        <v>3.1987917205557499E-2</v>
      </c>
      <c r="Q14" s="2">
        <f t="shared" ca="1" si="4"/>
        <v>1.5277654169828568E-2</v>
      </c>
      <c r="R14" s="5">
        <f t="shared" ca="1" si="5"/>
        <v>0.51486095756084227</v>
      </c>
      <c r="S14" s="3">
        <f t="shared" ca="1" si="6"/>
        <v>5.2698153281560112</v>
      </c>
      <c r="T14" t="str">
        <f t="shared" ca="1" si="7"/>
        <v>1044:414</v>
      </c>
    </row>
    <row r="15" spans="1:20">
      <c r="A15" t="str">
        <f>Data!B15</f>
        <v>127003.SZ</v>
      </c>
      <c r="B15" t="str">
        <f>Data!C15</f>
        <v>海印转债</v>
      </c>
      <c r="C15" s="8">
        <f>RTD("wdf.rtq", ,A15, "LastPrice","RT_Price")</f>
        <v>101.18</v>
      </c>
      <c r="D15" s="8">
        <f>[1]!cb_anal_straightbondvalue(A15,"")</f>
        <v>93.089200000000005</v>
      </c>
      <c r="E15" t="str">
        <f>Data!E15</f>
        <v>000861.SZ</v>
      </c>
      <c r="F15" t="str">
        <f>Data!F15</f>
        <v>海印股份</v>
      </c>
      <c r="G15" s="7">
        <f>RTD("wdf.rtq", ,E15, "LastPrice","RT_Price")</f>
        <v>3.7</v>
      </c>
      <c r="H15" s="7">
        <f>[1]!cb_anal_convprice(A15,"")</f>
        <v>5.25</v>
      </c>
      <c r="I15" s="2">
        <f>Data!J15</f>
        <v>0.191137763729572</v>
      </c>
      <c r="J15" s="2">
        <f t="shared" si="0"/>
        <v>0.191137763729572</v>
      </c>
      <c r="K15" s="7">
        <f ca="1">([1]!cb_info_maturitydate(A15)-TODAY())/365</f>
        <v>4.6219178082191785</v>
      </c>
      <c r="L15" s="6">
        <f t="shared" ca="1" si="1"/>
        <v>4.843777115412812</v>
      </c>
      <c r="M15" s="6">
        <f t="shared" ca="1" si="2"/>
        <v>97.932977115412811</v>
      </c>
      <c r="N15" s="2">
        <f t="shared" ca="1" si="3"/>
        <v>3.3155561897813213E-2</v>
      </c>
      <c r="O15" s="2">
        <f>IF(Data!V15=0,"",Data!V15)</f>
        <v>1.39164847948727E-2</v>
      </c>
      <c r="P15" s="2">
        <f>IF(Data!W15=0,"",Data!W15)</f>
        <v>3.4868707193716798E-2</v>
      </c>
      <c r="Q15" s="2">
        <f t="shared" ca="1" si="4"/>
        <v>0.70944280833777795</v>
      </c>
      <c r="R15" s="5">
        <f t="shared" ca="1" si="5"/>
        <v>0.31656864762957904</v>
      </c>
      <c r="S15" s="3">
        <f t="shared" ca="1" si="6"/>
        <v>6.0298790024681717</v>
      </c>
      <c r="T15" t="str">
        <f t="shared" ca="1" si="7"/>
        <v>1012:223</v>
      </c>
    </row>
    <row r="16" spans="1:20">
      <c r="A16" t="str">
        <f>Data!B16</f>
        <v>127004.SZ</v>
      </c>
      <c r="B16" t="str">
        <f>Data!C16</f>
        <v>模塑转债</v>
      </c>
      <c r="C16" s="8">
        <f>RTD("wdf.rtq", ,A16, "LastPrice","RT_Price")</f>
        <v>107.5</v>
      </c>
      <c r="D16" s="8">
        <f>[1]!cb_anal_straightbondvalue(A16,"")</f>
        <v>89.18</v>
      </c>
      <c r="E16" t="str">
        <f>Data!E16</f>
        <v>000700.SZ</v>
      </c>
      <c r="F16" t="str">
        <f>Data!F16</f>
        <v>模塑科技</v>
      </c>
      <c r="G16" s="7">
        <f>RTD("wdf.rtq", ,E16, "LastPrice","RT_Price")</f>
        <v>6.91</v>
      </c>
      <c r="H16" s="7">
        <f>[1]!cb_anal_convprice(A16,"")</f>
        <v>8</v>
      </c>
      <c r="I16" s="2">
        <f>Data!J16</f>
        <v>0.29029859763910898</v>
      </c>
      <c r="J16" s="2">
        <f t="shared" si="0"/>
        <v>0.29029859763910898</v>
      </c>
      <c r="K16" s="7">
        <f ca="1">([1]!cb_info_maturitydate(A16)-TODAY())/365</f>
        <v>5.6054794520547944</v>
      </c>
      <c r="L16" s="6">
        <f t="shared" ca="1" si="1"/>
        <v>21.287825169041639</v>
      </c>
      <c r="M16" s="6">
        <f t="shared" ca="1" si="2"/>
        <v>110.46782516904165</v>
      </c>
      <c r="N16" s="2">
        <f t="shared" ca="1" si="3"/>
        <v>-2.686596902310856E-2</v>
      </c>
      <c r="O16" s="2">
        <f>IF(Data!V16=0,"",Data!V16)</f>
        <v>-2.0246914461221999E-2</v>
      </c>
      <c r="P16" s="2">
        <f>IF(Data!W16=0,"",Data!W16)</f>
        <v>3.1524179741697599E-2</v>
      </c>
      <c r="Q16" s="2">
        <f t="shared" ca="1" si="4"/>
        <v>0.41684650268551138</v>
      </c>
      <c r="R16" s="5">
        <f t="shared" ca="1" si="5"/>
        <v>0.59981948828613207</v>
      </c>
      <c r="S16" s="3">
        <f t="shared" ca="1" si="6"/>
        <v>7.4977436035766507</v>
      </c>
      <c r="T16" t="str">
        <f t="shared" ca="1" si="7"/>
        <v>1075:518</v>
      </c>
    </row>
    <row r="17" spans="1:20">
      <c r="A17" t="str">
        <f>Data!B17</f>
        <v>128010.SZ</v>
      </c>
      <c r="B17" t="str">
        <f>Data!C17</f>
        <v>顺昌转债</v>
      </c>
      <c r="C17" s="8">
        <f>RTD("wdf.rtq", ,A17, "LastPrice","RT_Price")</f>
        <v>117</v>
      </c>
      <c r="D17" s="8">
        <f>[1]!cb_anal_straightbondvalue(A17,"")</f>
        <v>93.0548</v>
      </c>
      <c r="E17" t="str">
        <f>Data!E17</f>
        <v>002245.SZ</v>
      </c>
      <c r="F17" t="str">
        <f>Data!F17</f>
        <v>澳洋顺昌</v>
      </c>
      <c r="G17" s="7">
        <f>RTD("wdf.rtq", ,E17, "LastPrice","RT_Price")</f>
        <v>9.6300000000000008</v>
      </c>
      <c r="H17" s="7">
        <f>[1]!cb_anal_convprice(A17,"")</f>
        <v>9.32</v>
      </c>
      <c r="I17" s="2">
        <f>Data!J17</f>
        <v>0.27715014954785899</v>
      </c>
      <c r="J17" s="2">
        <f t="shared" si="0"/>
        <v>0.27715014954785899</v>
      </c>
      <c r="K17" s="7">
        <f ca="1">([1]!cb_info_maturitydate(A17)-TODAY())/365</f>
        <v>4.2465753424657535</v>
      </c>
      <c r="L17" s="6">
        <f t="shared" ca="1" si="1"/>
        <v>27.214045114237845</v>
      </c>
      <c r="M17" s="6">
        <f t="shared" ca="1" si="2"/>
        <v>120.26884511423785</v>
      </c>
      <c r="N17" s="2">
        <f t="shared" ca="1" si="3"/>
        <v>-2.717948369033496E-2</v>
      </c>
      <c r="O17" s="2">
        <f>IF(Data!V17=0,"",Data!V17)</f>
        <v>-3.9190359358577002E-2</v>
      </c>
      <c r="P17" s="2">
        <f>IF(Data!W17=0,"",Data!W17)</f>
        <v>4.9157025470496503E-2</v>
      </c>
      <c r="Q17" s="2">
        <f t="shared" ca="1" si="4"/>
        <v>0.59651504992287996</v>
      </c>
      <c r="R17" s="5">
        <f t="shared" ca="1" si="5"/>
        <v>0.67522475239129454</v>
      </c>
      <c r="S17" s="3">
        <f t="shared" ca="1" si="6"/>
        <v>7.2449007767306277</v>
      </c>
      <c r="T17" t="str">
        <f t="shared" ca="1" si="7"/>
        <v>1170:698</v>
      </c>
    </row>
    <row r="18" spans="1:20">
      <c r="A18" t="str">
        <f>Data!B18</f>
        <v>128012.SZ</v>
      </c>
      <c r="B18" t="str">
        <f>Data!C18</f>
        <v>辉丰转债</v>
      </c>
      <c r="C18" s="8">
        <f>RTD("wdf.rtq", ,A18, "LastPrice","RT_Price")</f>
        <v>105.471</v>
      </c>
      <c r="D18" s="8">
        <f>[1]!cb_anal_straightbondvalue(A18,"")</f>
        <v>87.394099999999995</v>
      </c>
      <c r="E18" t="str">
        <f>Data!E18</f>
        <v>002496.SZ</v>
      </c>
      <c r="F18" t="str">
        <f>Data!F18</f>
        <v>辉丰股份</v>
      </c>
      <c r="G18" s="7">
        <f>RTD("wdf.rtq", ,E18, "LastPrice","RT_Price")</f>
        <v>5.98</v>
      </c>
      <c r="H18" s="7">
        <f>[1]!cb_anal_convprice(A18,"")</f>
        <v>7.74</v>
      </c>
      <c r="I18" s="2">
        <f>Data!J18</f>
        <v>0.28835252690049701</v>
      </c>
      <c r="J18" s="2">
        <f t="shared" si="0"/>
        <v>0.28835252690049701</v>
      </c>
      <c r="K18" s="7">
        <f ca="1">([1]!cb_info_maturitydate(A18)-TODAY())/365</f>
        <v>4.4904109589041097</v>
      </c>
      <c r="L18" s="6">
        <f t="shared" ca="1" si="1"/>
        <v>13.334646949660787</v>
      </c>
      <c r="M18" s="6">
        <f t="shared" ca="1" si="2"/>
        <v>100.72874694966077</v>
      </c>
      <c r="N18" s="2">
        <f t="shared" ca="1" si="3"/>
        <v>4.7079440516709425E-2</v>
      </c>
      <c r="O18" s="2">
        <f>IF(Data!V18=0,"",Data!V18)</f>
        <v>0.120939771179476</v>
      </c>
      <c r="P18" s="2">
        <f>IF(Data!W18=0,"",Data!W18)</f>
        <v>3.8747475947670598E-2</v>
      </c>
      <c r="Q18" s="2">
        <f t="shared" ca="1" si="4"/>
        <v>2.8312311850672053E-2</v>
      </c>
      <c r="R18" s="5">
        <f t="shared" ca="1" si="5"/>
        <v>0.49742601139065395</v>
      </c>
      <c r="S18" s="3">
        <f t="shared" ca="1" si="6"/>
        <v>6.4266926536260192</v>
      </c>
      <c r="T18" t="str">
        <f t="shared" ca="1" si="7"/>
        <v>1055:384</v>
      </c>
    </row>
    <row r="19" spans="1:20">
      <c r="A19" t="str">
        <f>Data!B19</f>
        <v>128013.SZ</v>
      </c>
      <c r="B19" t="str">
        <f>Data!C19</f>
        <v>洪涛转债</v>
      </c>
      <c r="C19" s="8">
        <f>RTD("wdf.rtq", ,A19, "LastPrice","RT_Price")</f>
        <v>101.087</v>
      </c>
      <c r="D19" s="8">
        <f>[1]!cb_anal_straightbondvalue(A19,"")</f>
        <v>90.762699999999995</v>
      </c>
      <c r="E19" t="str">
        <f>Data!E19</f>
        <v>002325.SZ</v>
      </c>
      <c r="F19" t="str">
        <f>Data!F19</f>
        <v>洪涛股份</v>
      </c>
      <c r="G19" s="7">
        <f>RTD("wdf.rtq", ,E19, "LastPrice","RT_Price")</f>
        <v>6.11</v>
      </c>
      <c r="H19" s="7">
        <f>[1]!cb_anal_convprice(A19,"")</f>
        <v>10.029999999999999</v>
      </c>
      <c r="I19" s="2">
        <f>Data!J19</f>
        <v>0.32807070232811802</v>
      </c>
      <c r="J19" s="2">
        <f t="shared" si="0"/>
        <v>0.32807070232811802</v>
      </c>
      <c r="K19" s="7">
        <f ca="1">([1]!cb_info_maturitydate(A19)-TODAY())/365</f>
        <v>4.7616438356164386</v>
      </c>
      <c r="L19" s="6">
        <f t="shared" ca="1" si="1"/>
        <v>8.8942455890908168</v>
      </c>
      <c r="M19" s="6">
        <f t="shared" ca="1" si="2"/>
        <v>99.65694558909081</v>
      </c>
      <c r="N19" s="2">
        <f t="shared" ca="1" si="3"/>
        <v>1.4349771633636488E-2</v>
      </c>
      <c r="O19" s="2">
        <f>IF(Data!V19=0,"",Data!V19)</f>
        <v>1.51383213537741E-2</v>
      </c>
      <c r="P19" s="2">
        <f>IF(Data!W19=0,"",Data!W19)</f>
        <v>2.49514483974306E-2</v>
      </c>
      <c r="Q19" s="2">
        <f t="shared" ca="1" si="4"/>
        <v>0.48739418009822305</v>
      </c>
      <c r="R19" s="5">
        <f t="shared" ca="1" si="5"/>
        <v>0.40724185071020969</v>
      </c>
      <c r="S19" s="3">
        <f t="shared" ca="1" si="6"/>
        <v>4.0602377937209342</v>
      </c>
      <c r="T19" t="str">
        <f t="shared" ca="1" si="7"/>
        <v>1011:248</v>
      </c>
    </row>
    <row r="20" spans="1:20">
      <c r="A20" t="str">
        <f>Data!B20</f>
        <v>128014.SZ</v>
      </c>
      <c r="B20" t="str">
        <f>Data!C20</f>
        <v>永东转债</v>
      </c>
      <c r="C20" s="8">
        <f>RTD("wdf.rtq", ,A20, "LastPrice","RT_Price")</f>
        <v>116.616</v>
      </c>
      <c r="D20" s="8">
        <f>[1]!cb_anal_straightbondvalue(A20,"")</f>
        <v>88.193200000000004</v>
      </c>
      <c r="E20" t="str">
        <f>Data!E20</f>
        <v>002753.SZ</v>
      </c>
      <c r="F20" t="str">
        <f>Data!F20</f>
        <v>永东股份</v>
      </c>
      <c r="G20" s="7">
        <f>RTD("wdf.rtq", ,E20, "LastPrice","RT_Price")</f>
        <v>21.95</v>
      </c>
      <c r="H20" s="7">
        <f>[1]!cb_anal_convprice(A20,"")</f>
        <v>20.46</v>
      </c>
      <c r="I20" s="2">
        <f>Data!J20</f>
        <v>0.54923856464582899</v>
      </c>
      <c r="J20" s="2">
        <f t="shared" si="0"/>
        <v>0.54923856464582899</v>
      </c>
      <c r="K20" s="7">
        <f ca="1">([1]!cb_info_maturitydate(A20)-TODAY())/365</f>
        <v>5.4794520547945202</v>
      </c>
      <c r="L20" s="6">
        <f t="shared" ca="1" si="1"/>
        <v>55.699041104801651</v>
      </c>
      <c r="M20" s="6">
        <f t="shared" ca="1" si="2"/>
        <v>143.89224110480166</v>
      </c>
      <c r="N20" s="2">
        <f t="shared" ca="1" si="3"/>
        <v>-0.1895601937628828</v>
      </c>
      <c r="O20" s="2">
        <f>IF(Data!V20=0,"",Data!V20)</f>
        <v>-0.16390735247069699</v>
      </c>
      <c r="P20" s="2">
        <f>IF(Data!W20=0,"",Data!W20)</f>
        <v>4.1633441417757697E-2</v>
      </c>
      <c r="Q20" s="2">
        <f t="shared" ca="1" si="4"/>
        <v>0.26889462099228623</v>
      </c>
      <c r="R20" s="5">
        <f t="shared" ca="1" si="5"/>
        <v>0.77680293929758282</v>
      </c>
      <c r="S20" s="3">
        <f t="shared" ca="1" si="6"/>
        <v>3.7966908079060739</v>
      </c>
      <c r="T20" t="str">
        <f t="shared" ca="1" si="7"/>
        <v>1166:833</v>
      </c>
    </row>
    <row r="21" spans="1:20">
      <c r="A21" t="str">
        <f>Data!B21</f>
        <v>128015.SZ</v>
      </c>
      <c r="B21" t="str">
        <f>Data!C21</f>
        <v>久其转债</v>
      </c>
      <c r="C21" s="8">
        <f>RTD("wdf.rtq", ,A21, "LastPrice","RT_Price")</f>
        <v>114.28</v>
      </c>
      <c r="D21" s="8">
        <f>[1]!cb_anal_straightbondvalue(A21,"")</f>
        <v>86.785799999999995</v>
      </c>
      <c r="E21" t="str">
        <f>Data!E21</f>
        <v>002279.SZ</v>
      </c>
      <c r="F21" t="str">
        <f>Data!F21</f>
        <v>久其软件</v>
      </c>
      <c r="G21" s="7">
        <f>RTD("wdf.rtq", ,E21, "LastPrice","RT_Price")</f>
        <v>12.51</v>
      </c>
      <c r="H21" s="7">
        <f>[1]!cb_anal_convprice(A21,"")</f>
        <v>12.9</v>
      </c>
      <c r="I21" s="2">
        <f>Data!J21</f>
        <v>0.29366414575765698</v>
      </c>
      <c r="J21" s="2">
        <f t="shared" si="0"/>
        <v>0.29366414575765698</v>
      </c>
      <c r="K21" s="7">
        <f ca="1">([1]!cb_info_maturitydate(A21)-TODAY())/365</f>
        <v>5.6219178082191785</v>
      </c>
      <c r="L21" s="6">
        <f t="shared" ca="1" si="1"/>
        <v>28.319645696275188</v>
      </c>
      <c r="M21" s="6">
        <f t="shared" ca="1" si="2"/>
        <v>115.10544569627518</v>
      </c>
      <c r="N21" s="2">
        <f t="shared" ca="1" si="3"/>
        <v>-7.1712132408857654E-3</v>
      </c>
      <c r="O21" s="2">
        <f>IF(Data!V21=0,"",Data!V21)</f>
        <v>-3.04335241929461E-2</v>
      </c>
      <c r="P21" s="2">
        <f>IF(Data!W21=0,"",Data!W21)</f>
        <v>5.8235220424335703E-2</v>
      </c>
      <c r="Q21" s="2">
        <f t="shared" ca="1" si="4"/>
        <v>0.65522076568905485</v>
      </c>
      <c r="R21" s="5">
        <f t="shared" ca="1" si="5"/>
        <v>0.6646432853217219</v>
      </c>
      <c r="S21" s="3">
        <f t="shared" ca="1" si="6"/>
        <v>5.1522735296257514</v>
      </c>
      <c r="T21" t="str">
        <f t="shared" ca="1" si="7"/>
        <v>1143:645</v>
      </c>
    </row>
    <row r="22" spans="1:20">
      <c r="A22" t="str">
        <f>Data!B22</f>
        <v>128016.SZ</v>
      </c>
      <c r="B22" t="str">
        <f>Data!C22</f>
        <v>雨虹转债</v>
      </c>
      <c r="C22" s="8">
        <f>RTD("wdf.rtq", ,A22, "LastPrice","RT_Price")</f>
        <v>118.56100000000001</v>
      </c>
      <c r="D22" s="8">
        <f>[1]!cb_anal_straightbondvalue(A22,"")</f>
        <v>83.994399999999999</v>
      </c>
      <c r="E22" t="str">
        <f>Data!E22</f>
        <v>002271.SZ</v>
      </c>
      <c r="F22" t="str">
        <f>Data!F22</f>
        <v>东方雨虹</v>
      </c>
      <c r="G22" s="7">
        <f>RTD("wdf.rtq", ,E22, "LastPrice","RT_Price")</f>
        <v>40</v>
      </c>
      <c r="H22" s="7">
        <f>[1]!cb_anal_convprice(A22,"")</f>
        <v>38.479999999999997</v>
      </c>
      <c r="I22" s="2">
        <f>Data!J22</f>
        <v>0.32556289234385499</v>
      </c>
      <c r="J22" s="2">
        <f t="shared" si="0"/>
        <v>0.32556289234385499</v>
      </c>
      <c r="K22" s="7">
        <f ca="1">([1]!cb_info_maturitydate(A22)-TODAY())/365</f>
        <v>5.9205479452054792</v>
      </c>
      <c r="L22" s="6">
        <f t="shared" ca="1" si="1"/>
        <v>36.688051745468357</v>
      </c>
      <c r="M22" s="6">
        <f t="shared" ca="1" si="2"/>
        <v>120.68245174546836</v>
      </c>
      <c r="N22" s="2">
        <f t="shared" ca="1" si="3"/>
        <v>-1.7578792233544527E-2</v>
      </c>
      <c r="O22" s="2">
        <f>IF(Data!V22=0,"",Data!V22)</f>
        <v>-0.133595979884883</v>
      </c>
      <c r="P22" s="2">
        <f>IF(Data!W22=0,"",Data!W22)</f>
        <v>6.6299241449562202E-2</v>
      </c>
      <c r="Q22" s="2">
        <f t="shared" ca="1" si="4"/>
        <v>0.95993240342556851</v>
      </c>
      <c r="R22" s="5">
        <f t="shared" ca="1" si="5"/>
        <v>0.71126902535105785</v>
      </c>
      <c r="S22" s="3">
        <f t="shared" ca="1" si="6"/>
        <v>1.8484122280432898</v>
      </c>
      <c r="T22" t="str">
        <f t="shared" ca="1" si="7"/>
        <v>1186:739</v>
      </c>
    </row>
    <row r="23" spans="1:20">
      <c r="A23" t="str">
        <f>Data!B23</f>
        <v>132001.SH</v>
      </c>
      <c r="B23" t="str">
        <f>Data!C23</f>
        <v>14宝钢EB</v>
      </c>
      <c r="C23" s="8">
        <f>RTD("wdf.rtq", ,A23, "LastPrice","RT_Price")</f>
        <v>141.17000000000002</v>
      </c>
      <c r="D23" s="8">
        <f>[1]!cb_anal_straightbondvalue(A23,"")</f>
        <v>102.48690000000001</v>
      </c>
      <c r="E23" t="str">
        <f>Data!E23</f>
        <v>601336.SH</v>
      </c>
      <c r="F23" t="str">
        <f>Data!F23</f>
        <v>新华保险</v>
      </c>
      <c r="G23" s="7">
        <f>RTD("wdf.rtq", ,E23, "LastPrice","RT_Price")</f>
        <v>59.68</v>
      </c>
      <c r="H23" s="7">
        <f>[1]!cb_anal_convprice(A23,"")</f>
        <v>42.31</v>
      </c>
      <c r="I23" s="2">
        <f>Data!J23</f>
        <v>0.35520036544678302</v>
      </c>
      <c r="J23" s="2">
        <f t="shared" si="0"/>
        <v>0.35520036544678302</v>
      </c>
      <c r="K23" s="7">
        <f ca="1">([1]!cb_info_maturitydate(A23)-TODAY())/365</f>
        <v>0.12602739726027398</v>
      </c>
      <c r="L23" s="6">
        <f t="shared" ca="1" si="1"/>
        <v>41.256740642111083</v>
      </c>
      <c r="M23" s="6">
        <f t="shared" ca="1" si="2"/>
        <v>143.74364064211107</v>
      </c>
      <c r="N23" s="2">
        <f t="shared" ca="1" si="3"/>
        <v>-1.7904379147588467E-2</v>
      </c>
      <c r="O23" s="2">
        <f>IF(Data!V23=0,"",Data!V23)</f>
        <v>4.1920758622282697E-3</v>
      </c>
      <c r="P23" s="2">
        <f>IF(Data!W23=0,"",Data!W23)</f>
        <v>2.6770032787616398E-2</v>
      </c>
      <c r="Q23" s="2">
        <f t="shared" ca="1" si="4"/>
        <v>0.20456728587603396</v>
      </c>
      <c r="R23" s="5">
        <f t="shared" ca="1" si="5"/>
        <v>0.99749104336033179</v>
      </c>
      <c r="S23" s="3">
        <f t="shared" ca="1" si="6"/>
        <v>2.3575775073512921</v>
      </c>
      <c r="T23" t="str">
        <f t="shared" ca="1" si="7"/>
        <v>1412:1407</v>
      </c>
    </row>
    <row r="24" spans="1:20">
      <c r="A24" t="str">
        <f>Data!B24</f>
        <v>132002.SH</v>
      </c>
      <c r="B24" t="str">
        <f>Data!C24</f>
        <v>15天集EB</v>
      </c>
      <c r="C24" s="8">
        <f>RTD("wdf.rtq", ,A24, "LastPrice","RT_Price")</f>
        <v>103.65</v>
      </c>
      <c r="D24" s="8">
        <f>[1]!cb_anal_straightbondvalue(A24,"")</f>
        <v>91.396900000000002</v>
      </c>
      <c r="E24" t="str">
        <f>Data!E24</f>
        <v>600535.SH</v>
      </c>
      <c r="F24" t="str">
        <f>Data!F24</f>
        <v>天士力</v>
      </c>
      <c r="G24" s="7">
        <f>RTD("wdf.rtq", ,E24, "LastPrice","RT_Price")</f>
        <v>36.92</v>
      </c>
      <c r="H24" s="7">
        <f>[1]!cb_anal_convprice(A24,"")</f>
        <v>56.02</v>
      </c>
      <c r="I24" s="2">
        <f>Data!J24</f>
        <v>0.16252786525961099</v>
      </c>
      <c r="J24" s="2">
        <f t="shared" si="0"/>
        <v>0.16252786525961099</v>
      </c>
      <c r="K24" s="7">
        <f ca="1">([1]!cb_info_maturitydate(A24)-TODAY())/365</f>
        <v>2.6219178082191781</v>
      </c>
      <c r="L24" s="6">
        <f t="shared" ca="1" si="1"/>
        <v>0.706592054460633</v>
      </c>
      <c r="M24" s="6">
        <f t="shared" ca="1" si="2"/>
        <v>92.103492054460631</v>
      </c>
      <c r="N24" s="2">
        <f t="shared" ca="1" si="3"/>
        <v>0.12536449691518703</v>
      </c>
      <c r="O24" s="2">
        <f>IF(Data!V24=0,"",Data!V24)</f>
        <v>0.1119194558816</v>
      </c>
      <c r="P24" s="2">
        <f>IF(Data!W24=0,"",Data!W24)</f>
        <v>1.6368747499265101E-2</v>
      </c>
      <c r="Q24" s="2">
        <f t="shared" ca="1" si="4"/>
        <v>0.79428645179181767</v>
      </c>
      <c r="R24" s="5">
        <f t="shared" ca="1" si="5"/>
        <v>9.6231661147901368E-2</v>
      </c>
      <c r="S24" s="3">
        <f t="shared" ca="1" si="6"/>
        <v>0.17178090172777821</v>
      </c>
      <c r="T24" t="str">
        <f t="shared" ca="1" si="7"/>
        <v>1037:63</v>
      </c>
    </row>
    <row r="25" spans="1:20">
      <c r="A25" t="str">
        <f>Data!B25</f>
        <v>132003.SH</v>
      </c>
      <c r="B25" t="str">
        <f>Data!C25</f>
        <v>15清控EB</v>
      </c>
      <c r="C25" s="8">
        <f>RTD("wdf.rtq", ,A25, "LastPrice","RT_Price")</f>
        <v>102.10000000000001</v>
      </c>
      <c r="D25" s="8">
        <f>[1]!cb_anal_straightbondvalue(A25,"")</f>
        <v>97.525700000000001</v>
      </c>
      <c r="E25" t="str">
        <f>Data!E25</f>
        <v>600109.SH</v>
      </c>
      <c r="F25" t="str">
        <f>Data!F25</f>
        <v>国金证券</v>
      </c>
      <c r="G25" s="7">
        <f>RTD("wdf.rtq", ,E25, "LastPrice","RT_Price")</f>
        <v>11.31</v>
      </c>
      <c r="H25" s="7">
        <f>[1]!cb_anal_convprice(A25,"")</f>
        <v>16.75</v>
      </c>
      <c r="I25" s="2">
        <f>Data!J25</f>
        <v>0.26438756486952902</v>
      </c>
      <c r="J25" s="2">
        <f t="shared" si="0"/>
        <v>0.26438756486952902</v>
      </c>
      <c r="K25" s="7">
        <f ca="1">([1]!cb_info_maturitydate(A25)-TODAY())/365</f>
        <v>1.0027397260273974</v>
      </c>
      <c r="L25" s="6">
        <f t="shared" ca="1" si="1"/>
        <v>0.74198052345335441</v>
      </c>
      <c r="M25" s="6">
        <f t="shared" ca="1" si="2"/>
        <v>98.26768052345335</v>
      </c>
      <c r="N25" s="2">
        <f t="shared" ca="1" si="3"/>
        <v>3.8998778195767025E-2</v>
      </c>
      <c r="O25" s="2">
        <f>IF(Data!V25=0,"",Data!V25)</f>
        <v>8.6639366783177602E-2</v>
      </c>
      <c r="P25" s="2">
        <f>IF(Data!W25=0,"",Data!W25)</f>
        <v>3.8204942758553802E-2</v>
      </c>
      <c r="Q25" s="2">
        <f t="shared" ca="1" si="4"/>
        <v>0.10620342775904547</v>
      </c>
      <c r="R25" s="5">
        <f t="shared" ca="1" si="5"/>
        <v>9.7807999983082691E-2</v>
      </c>
      <c r="S25" s="3">
        <f t="shared" ca="1" si="6"/>
        <v>0.5839283581079564</v>
      </c>
      <c r="T25" t="str">
        <f t="shared" ca="1" si="7"/>
        <v>1021:66</v>
      </c>
    </row>
    <row r="26" spans="1:20">
      <c r="A26" t="str">
        <f>Data!B26</f>
        <v>132004.SH</v>
      </c>
      <c r="B26" t="str">
        <f>Data!C26</f>
        <v>15国盛EB</v>
      </c>
      <c r="C26" s="8">
        <f>RTD("wdf.rtq", ,A26, "LastPrice","RT_Price")</f>
        <v>92.7</v>
      </c>
      <c r="D26" s="8">
        <f>[1]!cb_anal_straightbondvalue(A26,"")</f>
        <v>89.9255</v>
      </c>
      <c r="E26" t="str">
        <f>Data!E26</f>
        <v>600170.SH</v>
      </c>
      <c r="F26" t="str">
        <f>Data!F26</f>
        <v>上海建工</v>
      </c>
      <c r="G26" s="7">
        <f>RTD("wdf.rtq", ,E26, "LastPrice","RT_Price")</f>
        <v>3.8200000000000003</v>
      </c>
      <c r="H26" s="7">
        <f>[1]!cb_anal_convprice(A26,"")</f>
        <v>6.76</v>
      </c>
      <c r="I26" s="2">
        <f>Data!J26</f>
        <v>0.152416082844712</v>
      </c>
      <c r="J26" s="2">
        <f t="shared" si="0"/>
        <v>0.152416082844712</v>
      </c>
      <c r="K26" s="7">
        <f ca="1">([1]!cb_info_maturitydate(A26)-TODAY())/365</f>
        <v>4.0328767123287674</v>
      </c>
      <c r="L26" s="6">
        <f t="shared" ca="1" si="1"/>
        <v>0.43825379902759776</v>
      </c>
      <c r="M26" s="6">
        <f t="shared" ca="1" si="2"/>
        <v>90.363753799027592</v>
      </c>
      <c r="N26" s="2">
        <f t="shared" ca="1" si="3"/>
        <v>2.5853797598629047E-2</v>
      </c>
      <c r="O26" s="2">
        <f>IF(Data!V26=0,"",Data!V26)</f>
        <v>4.56062484762337E-2</v>
      </c>
      <c r="P26" s="2">
        <f>IF(Data!W26=0,"",Data!W26)</f>
        <v>1.24206063151815E-2</v>
      </c>
      <c r="Q26" s="2">
        <f t="shared" ca="1" si="4"/>
        <v>5.5883956170562667E-2</v>
      </c>
      <c r="R26" s="5">
        <f t="shared" ca="1" si="5"/>
        <v>6.5001543516274796E-2</v>
      </c>
      <c r="S26" s="3">
        <f t="shared" ca="1" si="6"/>
        <v>0.96156129461944961</v>
      </c>
      <c r="T26" t="str">
        <f t="shared" ca="1" si="7"/>
        <v>927:37</v>
      </c>
    </row>
    <row r="27" spans="1:20">
      <c r="A27" t="str">
        <f>Data!B27</f>
        <v>132005.SH</v>
      </c>
      <c r="B27" t="str">
        <f>Data!C27</f>
        <v>15国资EB</v>
      </c>
      <c r="C27" s="8">
        <f>RTD("wdf.rtq", ,A27, "LastPrice","RT_Price")</f>
        <v>126.5</v>
      </c>
      <c r="D27" s="8">
        <f>[1]!cb_anal_straightbondvalue(A27,"")</f>
        <v>99.330500000000001</v>
      </c>
      <c r="E27" t="str">
        <f>Data!E27</f>
        <v>601601.SH</v>
      </c>
      <c r="F27" t="str">
        <f>Data!F27</f>
        <v>中国太保</v>
      </c>
      <c r="G27" s="7">
        <f>RTD("wdf.rtq", ,E27, "LastPrice","RT_Price")</f>
        <v>39.65</v>
      </c>
      <c r="H27" s="7">
        <f>[1]!cb_anal_convprice(A27,"")</f>
        <v>37.58</v>
      </c>
      <c r="I27" s="2">
        <f>Data!J27</f>
        <v>0.282062132881855</v>
      </c>
      <c r="J27" s="2">
        <f t="shared" si="0"/>
        <v>0.282062132881855</v>
      </c>
      <c r="K27" s="7">
        <f ca="1">([1]!cb_info_maturitydate(A27)-TODAY())/365</f>
        <v>3.1232876712328768</v>
      </c>
      <c r="L27" s="6">
        <f t="shared" ca="1" si="1"/>
        <v>25.208490353483068</v>
      </c>
      <c r="M27" s="6">
        <f t="shared" ca="1" si="2"/>
        <v>124.53899035348307</v>
      </c>
      <c r="N27" s="2">
        <f t="shared" ca="1" si="3"/>
        <v>1.5746150189197117E-2</v>
      </c>
      <c r="O27" s="2">
        <f>IF(Data!V27=0,"",Data!V27)</f>
        <v>4.4579595293159899E-2</v>
      </c>
      <c r="P27" s="2">
        <f>IF(Data!W27=0,"",Data!W27)</f>
        <v>2.3955132572690802E-2</v>
      </c>
      <c r="Q27" s="2">
        <f t="shared" ca="1" si="4"/>
        <v>0.11436365502308268</v>
      </c>
      <c r="R27" s="5">
        <f t="shared" ca="1" si="5"/>
        <v>0.67392939470511959</v>
      </c>
      <c r="S27" s="3">
        <f t="shared" ca="1" si="6"/>
        <v>1.7933193046969655</v>
      </c>
      <c r="T27" t="str">
        <f t="shared" ca="1" si="7"/>
        <v>1265:711</v>
      </c>
    </row>
    <row r="28" spans="1:20">
      <c r="A28" t="str">
        <f>Data!B28</f>
        <v>132006.SH</v>
      </c>
      <c r="B28" t="str">
        <f>Data!C28</f>
        <v>16皖新EB</v>
      </c>
      <c r="C28" s="8">
        <f>RTD("wdf.rtq", ,A28, "LastPrice","RT_Price")</f>
        <v>101.9</v>
      </c>
      <c r="D28" s="8">
        <f>[1]!cb_anal_straightbondvalue(A28,"")</f>
        <v>97.2393</v>
      </c>
      <c r="E28" t="str">
        <f>Data!E28</f>
        <v>601801.SH</v>
      </c>
      <c r="F28" t="str">
        <f>Data!F28</f>
        <v>皖新传媒</v>
      </c>
      <c r="G28" s="7">
        <f>RTD("wdf.rtq", ,E28, "LastPrice","RT_Price")</f>
        <v>12.39</v>
      </c>
      <c r="H28" s="7">
        <f>[1]!cb_anal_convprice(A28,"")</f>
        <v>16.190000000000001</v>
      </c>
      <c r="I28" s="2">
        <f>Data!J28</f>
        <v>0.274239910285833</v>
      </c>
      <c r="J28" s="2">
        <f t="shared" si="0"/>
        <v>0.274239910285833</v>
      </c>
      <c r="K28" s="7">
        <f ca="1">([1]!cb_info_maturitydate(A28)-TODAY())/365</f>
        <v>3.6630136986301371</v>
      </c>
      <c r="L28" s="6">
        <f t="shared" ca="1" si="1"/>
        <v>10.050279686645466</v>
      </c>
      <c r="M28" s="6">
        <f t="shared" ca="1" si="2"/>
        <v>107.28957968664547</v>
      </c>
      <c r="N28" s="2">
        <f t="shared" ca="1" si="3"/>
        <v>-5.0233952844129903E-2</v>
      </c>
      <c r="O28" s="2">
        <f>IF(Data!V28=0,"",Data!V28)</f>
        <v>-0.136187532196131</v>
      </c>
      <c r="P28" s="2">
        <f>IF(Data!W28=0,"",Data!W28)</f>
        <v>6.8363748909972794E-2</v>
      </c>
      <c r="Q28" s="2">
        <f t="shared" ca="1" si="4"/>
        <v>0.89567705871959435</v>
      </c>
      <c r="R28" s="5">
        <f t="shared" ca="1" si="5"/>
        <v>0.4433259102716734</v>
      </c>
      <c r="S28" s="3">
        <f t="shared" ca="1" si="6"/>
        <v>2.7382699831480752</v>
      </c>
      <c r="T28" t="str">
        <f t="shared" ca="1" si="7"/>
        <v>1019:339</v>
      </c>
    </row>
    <row r="29" spans="1:20">
      <c r="A29" t="str">
        <f>Data!B29</f>
        <v>132007.SH</v>
      </c>
      <c r="B29" t="str">
        <f>Data!C29</f>
        <v>16凤凰EB</v>
      </c>
      <c r="C29" s="8">
        <f>RTD("wdf.rtq", ,A29, "LastPrice","RT_Price")</f>
        <v>92.7</v>
      </c>
      <c r="D29" s="8">
        <f>[1]!cb_anal_straightbondvalue(A29,"")</f>
        <v>91.640799999999999</v>
      </c>
      <c r="E29" t="str">
        <f>Data!E29</f>
        <v>601928.SH</v>
      </c>
      <c r="F29" t="str">
        <f>Data!F29</f>
        <v>凤凰传媒</v>
      </c>
      <c r="G29" s="7">
        <f>RTD("wdf.rtq", ,E29, "LastPrice","RT_Price")</f>
        <v>9.31</v>
      </c>
      <c r="H29" s="7">
        <f>[1]!cb_anal_convprice(A29,"")</f>
        <v>15.75</v>
      </c>
      <c r="I29" s="2">
        <f>Data!J29</f>
        <v>0.12822129824857301</v>
      </c>
      <c r="J29" s="2">
        <f t="shared" si="0"/>
        <v>0.12822129824857301</v>
      </c>
      <c r="K29" s="7">
        <f ca="1">([1]!cb_info_maturitydate(A29)-TODAY())/365</f>
        <v>4.0191780821917806</v>
      </c>
      <c r="L29" s="6">
        <f t="shared" ca="1" si="1"/>
        <v>0.26476422990236037</v>
      </c>
      <c r="M29" s="6">
        <f t="shared" ca="1" si="2"/>
        <v>91.905564229902353</v>
      </c>
      <c r="N29" s="2">
        <f t="shared" ca="1" si="3"/>
        <v>8.644044316080457E-3</v>
      </c>
      <c r="O29" s="2">
        <f>IF(Data!V29=0,"",Data!V29)</f>
        <v>5.2045970424683501E-2</v>
      </c>
      <c r="P29" s="2">
        <f>IF(Data!W29=0,"",Data!W29)</f>
        <v>3.9357279397541002E-2</v>
      </c>
      <c r="Q29" s="2">
        <f t="shared" ca="1" si="4"/>
        <v>0.13506408637474387</v>
      </c>
      <c r="R29" s="5">
        <f t="shared" ca="1" si="5"/>
        <v>4.6263560977418045E-2</v>
      </c>
      <c r="S29" s="3">
        <f t="shared" ca="1" si="6"/>
        <v>0.29373689509471773</v>
      </c>
      <c r="T29" t="str">
        <f t="shared" ca="1" si="7"/>
        <v>927:27</v>
      </c>
    </row>
    <row r="30" spans="1:20">
      <c r="A30" t="str">
        <f>Data!B30</f>
        <v>132008.SH</v>
      </c>
      <c r="B30" t="str">
        <f>Data!C30</f>
        <v>17山高EB</v>
      </c>
      <c r="C30" s="8">
        <f>RTD("wdf.rtq", ,A30, "LastPrice","RT_Price")</f>
        <v>95.3</v>
      </c>
      <c r="D30" s="8">
        <f>[1]!cb_anal_straightbondvalue(A30,"")</f>
        <v>93.498800000000003</v>
      </c>
      <c r="E30" t="str">
        <f>Data!E30</f>
        <v>600350.SH</v>
      </c>
      <c r="F30" t="str">
        <f>Data!F30</f>
        <v>山东高速</v>
      </c>
      <c r="G30" s="7">
        <f>RTD("wdf.rtq", ,E30, "LastPrice","RT_Price")</f>
        <v>5.95</v>
      </c>
      <c r="H30" s="7">
        <f>[1]!cb_anal_convprice(A30,"")</f>
        <v>9.8000000000000007</v>
      </c>
      <c r="I30" s="2">
        <f>Data!J30</f>
        <v>0.17438726507056901</v>
      </c>
      <c r="J30" s="2">
        <f t="shared" si="0"/>
        <v>0.17438726507056901</v>
      </c>
      <c r="K30" s="7">
        <f ca="1">([1]!cb_info_maturitydate(A30)-TODAY())/365</f>
        <v>4.4986301369863018</v>
      </c>
      <c r="L30" s="6">
        <f t="shared" ca="1" si="1"/>
        <v>1.6542757843786511</v>
      </c>
      <c r="M30" s="6">
        <f t="shared" ca="1" si="2"/>
        <v>95.153075784378657</v>
      </c>
      <c r="N30" s="2">
        <f t="shared" ca="1" si="3"/>
        <v>1.5440826732104895E-3</v>
      </c>
      <c r="O30" s="2">
        <f>IF(Data!V30=0,"",Data!V30)</f>
        <v>-2.8501652898331601E-3</v>
      </c>
      <c r="P30" s="2">
        <f>IF(Data!W30=0,"",Data!W30)</f>
        <v>1.29912532960618E-2</v>
      </c>
      <c r="Q30" s="2">
        <f t="shared" ca="1" si="4"/>
        <v>0.63241133975092079</v>
      </c>
      <c r="R30" s="5">
        <f t="shared" ca="1" si="5"/>
        <v>0.16312266939871234</v>
      </c>
      <c r="S30" s="3">
        <f t="shared" ca="1" si="6"/>
        <v>1.6645170346807379</v>
      </c>
      <c r="T30" t="str">
        <f t="shared" ca="1" si="7"/>
        <v>953:99</v>
      </c>
    </row>
    <row r="31" spans="1:20">
      <c r="A31" t="str">
        <f>Data!B31</f>
        <v>132009.SH</v>
      </c>
      <c r="B31" t="str">
        <f>Data!C31</f>
        <v>17中油EB</v>
      </c>
      <c r="C31" s="8">
        <f>RTD("wdf.rtq", ,A31, "LastPrice","RT_Price")</f>
        <v>101.51</v>
      </c>
      <c r="D31" s="8">
        <f>[1]!cb_anal_straightbondvalue(A31,"")</f>
        <v>88.630399999999995</v>
      </c>
      <c r="E31" t="str">
        <f>Data!E31</f>
        <v>601857.SH</v>
      </c>
      <c r="F31" t="str">
        <f>Data!F31</f>
        <v>中国石油</v>
      </c>
      <c r="G31" s="7">
        <f>RTD("wdf.rtq", ,E31, "LastPrice","RT_Price")</f>
        <v>8.1300000000000008</v>
      </c>
      <c r="H31" s="7">
        <f>[1]!cb_anal_convprice(A31,"")</f>
        <v>8.92</v>
      </c>
      <c r="I31" s="2">
        <f>Data!J31</f>
        <v>0.122897659343153</v>
      </c>
      <c r="J31" s="2">
        <f t="shared" si="0"/>
        <v>0.122897659343153</v>
      </c>
      <c r="K31" s="7">
        <f ca="1">([1]!cb_info_maturitydate(A31)-TODAY())/365</f>
        <v>4.7178082191780826</v>
      </c>
      <c r="L31" s="6">
        <f t="shared" ca="1" si="1"/>
        <v>8.8056627734923971</v>
      </c>
      <c r="M31" s="6">
        <f t="shared" ca="1" si="2"/>
        <v>97.436062773492395</v>
      </c>
      <c r="N31" s="2">
        <f t="shared" ca="1" si="3"/>
        <v>4.1811390059738107E-2</v>
      </c>
      <c r="O31" s="2">
        <f>IF(Data!V31=0,"",Data!V31)</f>
        <v>5.3869967940800199E-2</v>
      </c>
      <c r="P31" s="2">
        <f>IF(Data!W31=0,"",Data!W31)</f>
        <v>1.5074426943787E-2</v>
      </c>
      <c r="Q31" s="2">
        <f t="shared" ca="1" si="4"/>
        <v>0.21187391838170228</v>
      </c>
      <c r="R31" s="5">
        <f t="shared" ca="1" si="5"/>
        <v>0.52040687460652912</v>
      </c>
      <c r="S31" s="3">
        <f t="shared" ca="1" si="6"/>
        <v>5.8341577870687118</v>
      </c>
      <c r="T31" t="str">
        <f t="shared" ca="1" si="7"/>
        <v>1015:474</v>
      </c>
    </row>
    <row r="32" spans="1:20">
      <c r="A32" t="str">
        <f>Data!B32</f>
        <v>132010.SH</v>
      </c>
      <c r="B32" t="str">
        <f>Data!C32</f>
        <v>17桐昆EB</v>
      </c>
      <c r="C32" s="8">
        <f>RTD("wdf.rtq", ,A32, "LastPrice","RT_Price")</f>
        <v>114.9</v>
      </c>
      <c r="D32" s="8">
        <f>[1]!cb_anal_straightbondvalue(A32,"")</f>
        <v>92.485299999999995</v>
      </c>
      <c r="E32" t="str">
        <f>Data!E32</f>
        <v>601233.SH</v>
      </c>
      <c r="F32" t="str">
        <f>Data!F32</f>
        <v>桐昆股份</v>
      </c>
      <c r="G32" s="7">
        <f>RTD("wdf.rtq", ,E32, "LastPrice","RT_Price")</f>
        <v>16.600000000000001</v>
      </c>
      <c r="H32" s="7">
        <f>[1]!cb_anal_convprice(A32,"")</f>
        <v>17.12</v>
      </c>
      <c r="I32" s="2">
        <f>Data!J32</f>
        <v>0.41585232779023201</v>
      </c>
      <c r="J32" s="2">
        <f t="shared" si="0"/>
        <v>0.41585232779023201</v>
      </c>
      <c r="K32" s="7">
        <f ca="1">([1]!cb_info_maturitydate(A32)-TODAY())/365</f>
        <v>2.7753424657534245</v>
      </c>
      <c r="L32" s="6">
        <f t="shared" ca="1" si="1"/>
        <v>26.654385312421361</v>
      </c>
      <c r="M32" s="6">
        <f t="shared" ca="1" si="2"/>
        <v>119.13968531242136</v>
      </c>
      <c r="N32" s="2">
        <f t="shared" ca="1" si="3"/>
        <v>-3.5585836082272504E-2</v>
      </c>
      <c r="O32" s="2">
        <f>IF(Data!V32=0,"",Data!V32)</f>
        <v>-4.2039198124636398E-2</v>
      </c>
      <c r="P32" s="2">
        <f>IF(Data!W32=0,"",Data!W32)</f>
        <v>4.3260931113215099E-2</v>
      </c>
      <c r="Q32" s="2">
        <f t="shared" ca="1" si="4"/>
        <v>0.55929143015402905</v>
      </c>
      <c r="R32" s="5">
        <f t="shared" ca="1" si="5"/>
        <v>0.64130902705858794</v>
      </c>
      <c r="S32" s="3">
        <f t="shared" ca="1" si="6"/>
        <v>3.7459639430992286</v>
      </c>
      <c r="T32" t="str">
        <f t="shared" ca="1" si="7"/>
        <v>1149:622</v>
      </c>
    </row>
    <row r="33" spans="1:20">
      <c r="A33" t="str">
        <f>Data!B33</f>
        <v>132011.SH</v>
      </c>
      <c r="B33" t="str">
        <f>Data!C33</f>
        <v>17浙报EB</v>
      </c>
      <c r="C33" s="8">
        <f>RTD("wdf.rtq", ,A33, "LastPrice","RT_Price")</f>
        <v>92.62</v>
      </c>
      <c r="D33" s="8">
        <f>[1]!cb_anal_straightbondvalue(A33,"")</f>
        <v>86.625500000000002</v>
      </c>
      <c r="E33" t="str">
        <f>Data!E33</f>
        <v>600633.SH</v>
      </c>
      <c r="F33" t="str">
        <f>Data!F33</f>
        <v>浙数文化</v>
      </c>
      <c r="G33" s="7">
        <f>RTD("wdf.rtq", ,E33, "LastPrice","RT_Price")</f>
        <v>17.16</v>
      </c>
      <c r="H33" s="7">
        <f>[1]!cb_anal_convprice(A33,"")</f>
        <v>25</v>
      </c>
      <c r="I33" s="2">
        <f>Data!J33</f>
        <v>0.30074899165774999</v>
      </c>
      <c r="J33" s="2">
        <f t="shared" si="0"/>
        <v>0.30074899165774999</v>
      </c>
      <c r="K33" s="7">
        <f ca="1">([1]!cb_info_maturitydate(A33)-TODAY())/365</f>
        <v>4.8136986301369866</v>
      </c>
      <c r="L33" s="6">
        <f t="shared" ca="1" si="1"/>
        <v>10.785689506704252</v>
      </c>
      <c r="M33" s="6">
        <f t="shared" ca="1" si="2"/>
        <v>97.411189506704261</v>
      </c>
      <c r="N33" s="2">
        <f t="shared" ca="1" si="3"/>
        <v>-4.9185206863473385E-2</v>
      </c>
      <c r="O33" s="2">
        <f>IF(Data!V33=0,"",Data!V33)</f>
        <v>-5.0172120487592398E-2</v>
      </c>
      <c r="P33" s="2">
        <f>IF(Data!W33=0,"",Data!W33)</f>
        <v>1.8032162400743401E-2</v>
      </c>
      <c r="Q33" s="2">
        <f t="shared" ca="1" si="4"/>
        <v>0.52182351116991865</v>
      </c>
      <c r="R33" s="5">
        <f t="shared" ca="1" si="5"/>
        <v>0.44791774310481197</v>
      </c>
      <c r="S33" s="3">
        <f t="shared" ca="1" si="6"/>
        <v>1.7916709724192479</v>
      </c>
      <c r="T33" t="str">
        <f t="shared" ca="1" si="7"/>
        <v>926:307</v>
      </c>
    </row>
    <row r="34" spans="1:20">
      <c r="A34" t="str">
        <f>Data!B34</f>
        <v>132012.SH</v>
      </c>
      <c r="B34" t="str">
        <f>Data!C34</f>
        <v>17巨化EB</v>
      </c>
      <c r="C34" s="8">
        <f>RTD("wdf.rtq", ,A34, "LastPrice","RT_Price")</f>
        <v>103.84</v>
      </c>
      <c r="D34" s="8">
        <f>[1]!cb_anal_straightbondvalue(A34,"")</f>
        <v>92.099100000000007</v>
      </c>
      <c r="E34" t="str">
        <f>Data!E34</f>
        <v>600160.SH</v>
      </c>
      <c r="F34" t="str">
        <f>Data!F34</f>
        <v>巨化股份</v>
      </c>
      <c r="G34" s="7">
        <f>RTD("wdf.rtq", ,E34, "LastPrice","RT_Price")</f>
        <v>12.120000000000001</v>
      </c>
      <c r="H34" s="7">
        <f>[1]!cb_anal_convprice(A34,"")</f>
        <v>13.49</v>
      </c>
      <c r="I34" s="2">
        <f>Data!J34</f>
        <v>0.38512108699300601</v>
      </c>
      <c r="J34" s="2">
        <f t="shared" si="0"/>
        <v>0.38512108699300601</v>
      </c>
      <c r="K34" s="7">
        <f ca="1">([1]!cb_info_maturitydate(A34)-TODAY())/365</f>
        <v>2.8630136986301369</v>
      </c>
      <c r="L34" s="6">
        <f t="shared" ca="1" si="1"/>
        <v>20.844751073017189</v>
      </c>
      <c r="M34" s="6">
        <f t="shared" ca="1" si="2"/>
        <v>112.9438510730172</v>
      </c>
      <c r="N34" s="2">
        <f t="shared" ca="1" si="3"/>
        <v>-8.0605105869213212E-2</v>
      </c>
      <c r="O34" s="2">
        <f>IF(Data!V34=0,"",Data!V34)</f>
        <v>-9.8269310535246998E-2</v>
      </c>
      <c r="P34" s="2">
        <f>IF(Data!W34=0,"",Data!W34)</f>
        <v>1.51469832002359E-2</v>
      </c>
      <c r="Q34" s="2">
        <f t="shared" ca="1" si="4"/>
        <v>0.87823043975715065</v>
      </c>
      <c r="R34" s="5">
        <f t="shared" ca="1" si="5"/>
        <v>0.58993692074380211</v>
      </c>
      <c r="S34" s="3">
        <f t="shared" ca="1" si="6"/>
        <v>4.3731424814218096</v>
      </c>
      <c r="T34" t="str">
        <f t="shared" ca="1" si="7"/>
        <v>1038:530</v>
      </c>
    </row>
  </sheetData>
  <phoneticPr fontId="1" type="noConversion"/>
  <conditionalFormatting sqref="Q2:Q34">
    <cfRule type="colorScale" priority="4">
      <colorScale>
        <cfvo type="min"/>
        <cfvo type="percentile" val="50"/>
        <cfvo type="max"/>
        <color rgb="FF5A8AC6"/>
        <color rgb="FFFCFCFF"/>
        <color rgb="FFF8696B"/>
      </colorScale>
    </cfRule>
  </conditionalFormatting>
  <conditionalFormatting sqref="R2:R34">
    <cfRule type="cellIs" dxfId="1" priority="3"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4"/>
  <sheetViews>
    <sheetView workbookViewId="0">
      <selection activeCell="N23" sqref="N23"/>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c r="A1" t="s">
        <v>115</v>
      </c>
      <c r="B1" t="s">
        <v>110</v>
      </c>
      <c r="C1" t="s">
        <v>109</v>
      </c>
      <c r="D1" t="s">
        <v>111</v>
      </c>
      <c r="E1" t="s">
        <v>112</v>
      </c>
      <c r="F1" t="s">
        <v>113</v>
      </c>
      <c r="G1" t="s">
        <v>114</v>
      </c>
      <c r="H1" s="2" t="s">
        <v>116</v>
      </c>
      <c r="I1" s="2" t="s">
        <v>117</v>
      </c>
      <c r="J1" s="2" t="s">
        <v>118</v>
      </c>
      <c r="K1" s="2" t="s">
        <v>119</v>
      </c>
      <c r="L1" s="2" t="str">
        <f>RIGHT(Data!X1,7)</f>
        <v>43009</v>
      </c>
      <c r="M1" s="2" t="str">
        <f>RIGHT(Data!Y1,7)</f>
        <v>42979</v>
      </c>
      <c r="N1" s="2" t="str">
        <f>RIGHT(Data!Z1,7)</f>
        <v>42948</v>
      </c>
      <c r="O1" s="2" t="str">
        <f>RIGHT(Data!AA1,7)</f>
        <v>42917</v>
      </c>
      <c r="P1" s="2" t="str">
        <f>RIGHT(Data!AB1,7)</f>
        <v>42887</v>
      </c>
      <c r="Q1" s="2" t="str">
        <f>RIGHT(Data!AC1,7)</f>
        <v>42856</v>
      </c>
      <c r="R1" s="2" t="str">
        <f>RIGHT(Data!AD1,7)</f>
        <v>42826</v>
      </c>
      <c r="S1" s="2" t="str">
        <f>RIGHT(Data!AE1,7)</f>
        <v>42795</v>
      </c>
      <c r="T1" s="2" t="str">
        <f>RIGHT(Data!AF1,7)</f>
        <v>42767</v>
      </c>
      <c r="U1" s="2" t="str">
        <f>RIGHT(Data!AG1,7)</f>
        <v>42736</v>
      </c>
    </row>
    <row r="2" spans="1:21">
      <c r="A2" s="1">
        <f>Data!A2</f>
        <v>43032</v>
      </c>
      <c r="B2" t="str">
        <f>Data!B2</f>
        <v>110030.SH</v>
      </c>
      <c r="C2" t="str">
        <f>Data!C2</f>
        <v>格力转债</v>
      </c>
      <c r="D2" t="str">
        <f>Data!E2</f>
        <v>600185.SH</v>
      </c>
      <c r="E2" t="str">
        <f>Data!F2</f>
        <v>格力地产</v>
      </c>
      <c r="F2" s="6">
        <f>Data!D2</f>
        <v>111.14709999999999</v>
      </c>
      <c r="G2" s="6">
        <f>Data!N2</f>
        <v>107.775606565638</v>
      </c>
      <c r="H2" s="2">
        <f t="shared" ref="H2" si="0">F2/G2-1</f>
        <v>3.128252803948417E-2</v>
      </c>
      <c r="I2" s="2">
        <f>IF(Data!V2=0,"",Data!V2)</f>
        <v>3.1112207735670101E-2</v>
      </c>
      <c r="J2" s="2">
        <f>IF(Data!W2=0,"",Data!W2)</f>
        <v>5.4127616022114598E-2</v>
      </c>
      <c r="K2" s="2">
        <f>IFERROR(_xlfn.NORM.DIST(H2,I2,J2,TRUE),"")</f>
        <v>0.50125532700802955</v>
      </c>
      <c r="L2" s="2">
        <f>IF(Data!X2=0,"",Data!X2)</f>
        <v>1.6309205534202599E-2</v>
      </c>
      <c r="M2" s="2">
        <f>IF(Data!Y2=0,"",Data!Y2)</f>
        <v>-1.0999949164302599E-2</v>
      </c>
      <c r="N2" s="2">
        <f>IF(Data!Z2=0,"",Data!Z2)</f>
        <v>-4.4162782677874702E-3</v>
      </c>
      <c r="O2" s="2">
        <f>IF(Data!AA2=0,"",Data!AA2)</f>
        <v>-2.0310357986584902E-2</v>
      </c>
      <c r="P2" s="2">
        <f>IF(Data!AB2=0,"",Data!AB2)</f>
        <v>-3.0486706628787101E-2</v>
      </c>
      <c r="Q2" s="2">
        <f>IF(Data!AC2=0,"",Data!AC2)</f>
        <v>-3.1702029454917402E-2</v>
      </c>
      <c r="R2" s="2">
        <f>IF(Data!AD2=0,"",Data!AD2)</f>
        <v>-1.1882925665768901E-3</v>
      </c>
      <c r="S2" s="2">
        <f>IF(Data!AE2=0,"",Data!AE2)</f>
        <v>9.68683107430931E-2</v>
      </c>
      <c r="T2" s="2">
        <f>IF(Data!AF2=0,"",Data!AF2)</f>
        <v>0.103218500953941</v>
      </c>
      <c r="U2" s="2">
        <f>IF(Data!AG2=0,"",Data!AG2)</f>
        <v>8.80207860386822E-2</v>
      </c>
    </row>
    <row r="3" spans="1:21">
      <c r="A3" s="1">
        <f>Data!A3</f>
        <v>43032</v>
      </c>
      <c r="B3" t="str">
        <f>Data!B3</f>
        <v>110031.SH</v>
      </c>
      <c r="C3" t="str">
        <f>Data!C3</f>
        <v>航信转债</v>
      </c>
      <c r="D3" t="str">
        <f>Data!E3</f>
        <v>600271.SH</v>
      </c>
      <c r="E3" t="str">
        <f>Data!F3</f>
        <v>航天信息</v>
      </c>
      <c r="F3" s="6">
        <f>Data!D3</f>
        <v>103.9401</v>
      </c>
      <c r="G3" s="6">
        <f>Data!N3</f>
        <v>94.654201980823302</v>
      </c>
      <c r="H3" s="2">
        <f t="shared" ref="H3:H34" si="1">F3/G3-1</f>
        <v>9.8103389229967863E-2</v>
      </c>
      <c r="I3" s="2">
        <f>IF(Data!V3=0,"",Data!V3)</f>
        <v>0.118476304464274</v>
      </c>
      <c r="J3" s="2">
        <f>IF(Data!W3=0,"",Data!W3)</f>
        <v>2.5941376227413E-2</v>
      </c>
      <c r="K3" s="2">
        <f t="shared" ref="K3:K34" si="2">IFERROR(_xlfn.NORM.DIST(H3,I3,J3,TRUE),"")</f>
        <v>0.21612582733680699</v>
      </c>
      <c r="L3" s="2">
        <f>IF(Data!X3=0,"",Data!X3)</f>
        <v>0.100730061738156</v>
      </c>
      <c r="M3" s="2">
        <f>IF(Data!Y3=0,"",Data!Y3)</f>
        <v>0.112719456072537</v>
      </c>
      <c r="N3" s="2">
        <f>IF(Data!Z3=0,"",Data!Z3)</f>
        <v>0.10833893047504101</v>
      </c>
      <c r="O3" s="2">
        <f>IF(Data!AA3=0,"",Data!AA3)</f>
        <v>9.4417217174105603E-2</v>
      </c>
      <c r="P3" s="2">
        <f>IF(Data!AB3=0,"",Data!AB3)</f>
        <v>8.9282236244259003E-2</v>
      </c>
      <c r="Q3" s="2">
        <f>IF(Data!AC3=0,"",Data!AC3)</f>
        <v>8.5762347337054207E-2</v>
      </c>
      <c r="R3" s="2">
        <f>IF(Data!AD3=0,"",Data!AD3)</f>
        <v>0.105492961776445</v>
      </c>
      <c r="S3" s="2">
        <f>IF(Data!AE3=0,"",Data!AE3)</f>
        <v>0.126250402104604</v>
      </c>
      <c r="T3" s="2">
        <f>IF(Data!AF3=0,"",Data!AF3)</f>
        <v>0.143169977453661</v>
      </c>
      <c r="U3" s="2">
        <f>IF(Data!AG3=0,"",Data!AG3)</f>
        <v>0.136848047182203</v>
      </c>
    </row>
    <row r="4" spans="1:21">
      <c r="A4" s="1">
        <f>Data!A4</f>
        <v>43032</v>
      </c>
      <c r="B4" t="str">
        <f>Data!B4</f>
        <v>110032.SH</v>
      </c>
      <c r="C4" t="str">
        <f>Data!C4</f>
        <v>三一转债</v>
      </c>
      <c r="D4" t="str">
        <f>Data!E4</f>
        <v>600031.SH</v>
      </c>
      <c r="E4" t="str">
        <f>Data!F4</f>
        <v>三一重工</v>
      </c>
      <c r="F4" s="6">
        <f>Data!D4</f>
        <v>118.2573</v>
      </c>
      <c r="G4" s="6">
        <f>Data!N4</f>
        <v>120.850649023787</v>
      </c>
      <c r="H4" s="2">
        <f t="shared" si="1"/>
        <v>-2.1459123676502156E-2</v>
      </c>
      <c r="I4" s="2">
        <f>IF(Data!V4=0,"",Data!V4)</f>
        <v>6.3689208459388798E-3</v>
      </c>
      <c r="J4" s="2">
        <f>IF(Data!W4=0,"",Data!W4)</f>
        <v>3.5266744427214697E-2</v>
      </c>
      <c r="K4" s="2">
        <f t="shared" si="2"/>
        <v>0.2150345987060728</v>
      </c>
      <c r="L4" s="2">
        <f>IF(Data!X4=0,"",Data!X4)</f>
        <v>-1.2996423742279301E-2</v>
      </c>
      <c r="M4" s="2">
        <f>IF(Data!Y4=0,"",Data!Y4)</f>
        <v>5.50735642616367E-3</v>
      </c>
      <c r="N4" s="2">
        <f>IF(Data!Z4=0,"",Data!Z4)</f>
        <v>2.2473262797790099E-3</v>
      </c>
      <c r="O4" s="2">
        <f>IF(Data!AA4=0,"",Data!AA4)</f>
        <v>3.1683511849336398E-3</v>
      </c>
      <c r="P4" s="2">
        <f>IF(Data!AB4=0,"",Data!AB4)</f>
        <v>-9.6802411561605402E-3</v>
      </c>
      <c r="Q4" s="2">
        <f>IF(Data!AC4=0,"",Data!AC4)</f>
        <v>-2.7939873360230402E-2</v>
      </c>
      <c r="R4" s="2">
        <f>IF(Data!AD4=0,"",Data!AD4)</f>
        <v>-3.2919365974693797E-2</v>
      </c>
      <c r="S4" s="2">
        <f>IF(Data!AE4=0,"",Data!AE4)</f>
        <v>-2.6486184621253201E-2</v>
      </c>
      <c r="T4" s="2">
        <f>IF(Data!AF4=0,"",Data!AF4)</f>
        <v>-9.9573817791473607E-3</v>
      </c>
      <c r="U4" s="2">
        <f>IF(Data!AG4=0,"",Data!AG4)</f>
        <v>1.7310622106220599E-2</v>
      </c>
    </row>
    <row r="5" spans="1:21">
      <c r="A5" s="1">
        <f>Data!A5</f>
        <v>43032</v>
      </c>
      <c r="B5" t="str">
        <f>Data!B5</f>
        <v>110033.SH</v>
      </c>
      <c r="C5" t="str">
        <f>Data!C5</f>
        <v>国贸转债</v>
      </c>
      <c r="D5" t="str">
        <f>Data!E5</f>
        <v>600755.SH</v>
      </c>
      <c r="E5" t="str">
        <f>Data!F5</f>
        <v>厦门国贸</v>
      </c>
      <c r="F5" s="6">
        <f>Data!D5</f>
        <v>127.65860000000001</v>
      </c>
      <c r="G5" s="6">
        <f>Data!N5</f>
        <v>147.25043782496999</v>
      </c>
      <c r="H5" s="2">
        <f t="shared" si="1"/>
        <v>-0.13305113461365681</v>
      </c>
      <c r="I5" s="2">
        <f>IF(Data!V5=0,"",Data!V5)</f>
        <v>-2.4693021898343701E-2</v>
      </c>
      <c r="J5" s="2">
        <f>IF(Data!W5=0,"",Data!W5)</f>
        <v>5.3606987112579399E-2</v>
      </c>
      <c r="K5" s="2">
        <f t="shared" si="2"/>
        <v>2.1622130994998746E-2</v>
      </c>
      <c r="L5" s="2">
        <f>IF(Data!X5=0,"",Data!X5)</f>
        <v>-0.127063368080929</v>
      </c>
      <c r="M5" s="2">
        <f>IF(Data!Y5=0,"",Data!Y5)</f>
        <v>-0.116538159419242</v>
      </c>
      <c r="N5" s="2">
        <f>IF(Data!Z5=0,"",Data!Z5)</f>
        <v>-0.107712213184261</v>
      </c>
      <c r="O5" s="2">
        <f>IF(Data!AA5=0,"",Data!AA5)</f>
        <v>-1.6612917401587299E-2</v>
      </c>
      <c r="P5" s="2">
        <f>IF(Data!AB5=0,"",Data!AB5)</f>
        <v>2.0811501808082399E-2</v>
      </c>
      <c r="Q5" s="2">
        <f>IF(Data!AC5=0,"",Data!AC5)</f>
        <v>1.2922738510459601E-3</v>
      </c>
      <c r="R5" s="2">
        <f>IF(Data!AD5=0,"",Data!AD5)</f>
        <v>7.2467886169931004E-3</v>
      </c>
      <c r="S5" s="2">
        <f>IF(Data!AE5=0,"",Data!AE5)</f>
        <v>1.6617069336948401E-2</v>
      </c>
      <c r="T5" s="2">
        <f>IF(Data!AF5=0,"",Data!AF5)</f>
        <v>4.1497909265860002E-3</v>
      </c>
      <c r="U5" s="2">
        <f>IF(Data!AG5=0,"",Data!AG5)</f>
        <v>-1.57267830442383E-3</v>
      </c>
    </row>
    <row r="6" spans="1:21">
      <c r="A6" s="1">
        <f>Data!A6</f>
        <v>43032</v>
      </c>
      <c r="B6" t="str">
        <f>Data!B6</f>
        <v>110034.SH</v>
      </c>
      <c r="C6" t="str">
        <f>Data!C6</f>
        <v>九州转债</v>
      </c>
      <c r="D6" t="str">
        <f>Data!E6</f>
        <v>600998.SH</v>
      </c>
      <c r="E6" t="str">
        <f>Data!F6</f>
        <v>九州通</v>
      </c>
      <c r="F6" s="6">
        <f>Data!D6</f>
        <v>127.18989999999999</v>
      </c>
      <c r="G6" s="6">
        <f>Data!N6</f>
        <v>124.600276745039</v>
      </c>
      <c r="H6" s="2">
        <f t="shared" si="1"/>
        <v>2.0783447056542004E-2</v>
      </c>
      <c r="I6" s="2">
        <f>IF(Data!V6=0,"",Data!V6)</f>
        <v>1.38360535729026E-2</v>
      </c>
      <c r="J6" s="2">
        <f>IF(Data!W6=0,"",Data!W6)</f>
        <v>4.7641166560180699E-2</v>
      </c>
      <c r="K6" s="2">
        <f t="shared" si="2"/>
        <v>0.55797122744679983</v>
      </c>
      <c r="L6" s="2">
        <f>IF(Data!X6=0,"",Data!X6)</f>
        <v>3.9548488292901897E-2</v>
      </c>
      <c r="M6" s="2">
        <f>IF(Data!Y6=0,"",Data!Y6)</f>
        <v>5.8060109896432198E-2</v>
      </c>
      <c r="N6" s="2">
        <f>IF(Data!Z6=0,"",Data!Z6)</f>
        <v>7.5709902239126894E-2</v>
      </c>
      <c r="O6" s="2">
        <f>IF(Data!AA6=0,"",Data!AA6)</f>
        <v>6.2768589055535506E-2</v>
      </c>
      <c r="P6" s="2">
        <f>IF(Data!AB6=0,"",Data!AB6)</f>
        <v>5.0143257078988701E-2</v>
      </c>
      <c r="Q6" s="2">
        <f>IF(Data!AC6=0,"",Data!AC6)</f>
        <v>4.3746096566321703E-2</v>
      </c>
      <c r="R6" s="2">
        <f>IF(Data!AD6=0,"",Data!AD6)</f>
        <v>1.7152545872002E-2</v>
      </c>
      <c r="S6" s="2">
        <f>IF(Data!AE6=0,"",Data!AE6)</f>
        <v>2.7710333633420101E-3</v>
      </c>
      <c r="T6" s="2">
        <f>IF(Data!AF6=0,"",Data!AF6)</f>
        <v>-2.7410293363982499E-2</v>
      </c>
      <c r="U6" s="2">
        <f>IF(Data!AG6=0,"",Data!AG6)</f>
        <v>-4.4745861252098E-2</v>
      </c>
    </row>
    <row r="7" spans="1:21">
      <c r="A7" s="1">
        <f>Data!A7</f>
        <v>43032</v>
      </c>
      <c r="B7" t="str">
        <f>Data!B7</f>
        <v>113008.SH</v>
      </c>
      <c r="C7" t="str">
        <f>Data!C7</f>
        <v>电气转债</v>
      </c>
      <c r="D7" t="str">
        <f>Data!E7</f>
        <v>601727.SH</v>
      </c>
      <c r="E7" t="str">
        <f>Data!F7</f>
        <v>上海电气</v>
      </c>
      <c r="F7" s="6">
        <f>Data!D7</f>
        <v>106.09399999999999</v>
      </c>
      <c r="G7" s="6">
        <f>Data!N7</f>
        <v>106.818433275796</v>
      </c>
      <c r="H7" s="2">
        <f t="shared" si="1"/>
        <v>-6.7819125742611952E-3</v>
      </c>
      <c r="I7" s="2">
        <f>IF(Data!V7=0,"",Data!V7)</f>
        <v>9.5674008952773198E-2</v>
      </c>
      <c r="J7" s="2">
        <f>IF(Data!W7=0,"",Data!W7)</f>
        <v>7.7934701000673401E-2</v>
      </c>
      <c r="K7" s="2">
        <f t="shared" si="2"/>
        <v>9.431579185978127E-2</v>
      </c>
      <c r="L7" s="2">
        <f>IF(Data!X7=0,"",Data!X7)</f>
        <v>2.1933494146094399E-3</v>
      </c>
      <c r="M7" s="2">
        <f>IF(Data!Y7=0,"",Data!Y7)</f>
        <v>1.53530979598616E-2</v>
      </c>
      <c r="N7" s="2">
        <f>IF(Data!Z7=0,"",Data!Z7)</f>
        <v>2.9908850391689199E-2</v>
      </c>
      <c r="O7" s="2">
        <f>IF(Data!AA7=0,"",Data!AA7)</f>
        <v>2.5170476883485199E-2</v>
      </c>
      <c r="P7" s="2">
        <f>IF(Data!AB7=0,"",Data!AB7)</f>
        <v>3.2709084848829603E-2</v>
      </c>
      <c r="Q7" s="2">
        <f>IF(Data!AC7=0,"",Data!AC7)</f>
        <v>7.2390257272450007E-2</v>
      </c>
      <c r="R7" s="2">
        <f>IF(Data!AD7=0,"",Data!AD7)</f>
        <v>0.212094534929579</v>
      </c>
      <c r="S7" s="2">
        <f>IF(Data!AE7=0,"",Data!AE7)</f>
        <v>0.210663563858528</v>
      </c>
      <c r="T7" s="2">
        <f>IF(Data!AF7=0,"",Data!AF7)</f>
        <v>0.20064683312591899</v>
      </c>
      <c r="U7" s="2">
        <f>IF(Data!AG7=0,"",Data!AG7)</f>
        <v>0.15362702770679501</v>
      </c>
    </row>
    <row r="8" spans="1:21">
      <c r="A8" s="1">
        <f>Data!A8</f>
        <v>43032</v>
      </c>
      <c r="B8" t="str">
        <f>Data!B8</f>
        <v>113009.SH</v>
      </c>
      <c r="C8" t="str">
        <f>Data!C8</f>
        <v>广汽转债</v>
      </c>
      <c r="D8" t="str">
        <f>Data!E8</f>
        <v>601238.SH</v>
      </c>
      <c r="E8" t="str">
        <f>Data!F8</f>
        <v>广汽集团</v>
      </c>
      <c r="F8" s="6">
        <f>Data!D8</f>
        <v>131.22190000000001</v>
      </c>
      <c r="G8" s="6">
        <f>Data!N8</f>
        <v>133.565722465005</v>
      </c>
      <c r="H8" s="2">
        <f t="shared" si="1"/>
        <v>-1.7548083608195819E-2</v>
      </c>
      <c r="I8" s="2">
        <f>IF(Data!V8=0,"",Data!V8)</f>
        <v>-3.8429579699984603E-2</v>
      </c>
      <c r="J8" s="2">
        <f>IF(Data!W8=0,"",Data!W8)</f>
        <v>2.5995016096797399E-2</v>
      </c>
      <c r="K8" s="2">
        <f t="shared" si="2"/>
        <v>0.7890959828385401</v>
      </c>
      <c r="L8" s="2">
        <f>IF(Data!X8=0,"",Data!X8)</f>
        <v>-2.0708987841726902E-2</v>
      </c>
      <c r="M8" s="2">
        <f>IF(Data!Y8=0,"",Data!Y8)</f>
        <v>-9.3957998552530297E-3</v>
      </c>
      <c r="N8" s="2">
        <f>IF(Data!Z8=0,"",Data!Z8)</f>
        <v>-5.6706654738526499E-3</v>
      </c>
      <c r="O8" s="2">
        <f>IF(Data!AA8=0,"",Data!AA8)</f>
        <v>-1.5477623873460401E-2</v>
      </c>
      <c r="P8" s="2">
        <f>IF(Data!AB8=0,"",Data!AB8)</f>
        <v>-2.19940816515178E-2</v>
      </c>
      <c r="Q8" s="2">
        <f>IF(Data!AC8=0,"",Data!AC8)</f>
        <v>-3.6231181814781903E-2</v>
      </c>
      <c r="R8" s="2">
        <f>IF(Data!AD8=0,"",Data!AD8)</f>
        <v>-6.2838339964362E-2</v>
      </c>
      <c r="S8" s="2">
        <f>IF(Data!AE8=0,"",Data!AE8)</f>
        <v>-5.4356894160095502E-2</v>
      </c>
      <c r="T8" s="2">
        <f>IF(Data!AF8=0,"",Data!AF8)</f>
        <v>-4.4154991769910799E-2</v>
      </c>
      <c r="U8" s="2">
        <f>IF(Data!AG8=0,"",Data!AG8)</f>
        <v>-3.60644239913731E-2</v>
      </c>
    </row>
    <row r="9" spans="1:21">
      <c r="A9" s="1">
        <f>Data!A9</f>
        <v>43032</v>
      </c>
      <c r="B9" t="str">
        <f>Data!B9</f>
        <v>113010.SH</v>
      </c>
      <c r="C9" t="str">
        <f>Data!C9</f>
        <v>江南转债</v>
      </c>
      <c r="D9" t="str">
        <f>Data!E9</f>
        <v>601199.SH</v>
      </c>
      <c r="E9" t="str">
        <f>Data!F9</f>
        <v>江南水务</v>
      </c>
      <c r="F9" s="6">
        <f>Data!D9</f>
        <v>105.51730000000001</v>
      </c>
      <c r="G9" s="6">
        <f>Data!N9</f>
        <v>94.600399138580002</v>
      </c>
      <c r="H9" s="2">
        <f t="shared" si="1"/>
        <v>0.11540015645629409</v>
      </c>
      <c r="I9" s="2">
        <f>IF(Data!V9=0,"",Data!V9)</f>
        <v>5.0211870602868802E-2</v>
      </c>
      <c r="J9" s="2">
        <f>IF(Data!W9=0,"",Data!W9)</f>
        <v>4.3654863816732802E-2</v>
      </c>
      <c r="K9" s="2">
        <f t="shared" si="2"/>
        <v>0.93231610017413902</v>
      </c>
      <c r="L9" s="2">
        <f>IF(Data!X9=0,"",Data!X9)</f>
        <v>0.109520159547741</v>
      </c>
      <c r="M9" s="2">
        <f>IF(Data!Y9=0,"",Data!Y9)</f>
        <v>0.11607206383839</v>
      </c>
      <c r="N9" s="2">
        <f>IF(Data!Z9=0,"",Data!Z9)</f>
        <v>0.10290041452498</v>
      </c>
      <c r="O9" s="2">
        <f>IF(Data!AA9=0,"",Data!AA9)</f>
        <v>7.9009880425110895E-2</v>
      </c>
      <c r="P9" s="2">
        <f>IF(Data!AB9=0,"",Data!AB9)</f>
        <v>7.3352075201303005E-2</v>
      </c>
      <c r="Q9" s="2">
        <f>IF(Data!AC9=0,"",Data!AC9)</f>
        <v>5.8829711100671297E-2</v>
      </c>
      <c r="R9" s="2">
        <f>IF(Data!AD9=0,"",Data!AD9)</f>
        <v>4.1145475147901997E-2</v>
      </c>
      <c r="S9" s="2">
        <f>IF(Data!AE9=0,"",Data!AE9)</f>
        <v>3.4739477805029798E-2</v>
      </c>
      <c r="T9" s="2">
        <f>IF(Data!AF9=0,"",Data!AF9)</f>
        <v>2.4947808265162599E-2</v>
      </c>
      <c r="U9" s="2">
        <f>IF(Data!AG9=0,"",Data!AG9)</f>
        <v>6.2527769189997797E-3</v>
      </c>
    </row>
    <row r="10" spans="1:21">
      <c r="A10" s="1">
        <f>Data!A10</f>
        <v>43032</v>
      </c>
      <c r="B10" t="str">
        <f>Data!B10</f>
        <v>113011.SH</v>
      </c>
      <c r="C10" t="str">
        <f>Data!C10</f>
        <v>光大转债</v>
      </c>
      <c r="D10" t="str">
        <f>Data!E10</f>
        <v>601818.SH</v>
      </c>
      <c r="E10" t="str">
        <f>Data!F10</f>
        <v>光大银行</v>
      </c>
      <c r="F10" s="6">
        <f>Data!D10</f>
        <v>111.3184</v>
      </c>
      <c r="G10" s="6">
        <f>Data!N10</f>
        <v>99.179861822697603</v>
      </c>
      <c r="H10" s="2">
        <f t="shared" si="1"/>
        <v>0.12238914185021033</v>
      </c>
      <c r="I10" s="2">
        <f>IF(Data!V10=0,"",Data!V10)</f>
        <v>8.7468834584599697E-2</v>
      </c>
      <c r="J10" s="2">
        <f>IF(Data!W10=0,"",Data!W10)</f>
        <v>4.1677447272384802E-2</v>
      </c>
      <c r="K10" s="2">
        <f t="shared" si="2"/>
        <v>0.79894830558689711</v>
      </c>
      <c r="L10" s="2">
        <f>IF(Data!X10=0,"",Data!X10)</f>
        <v>0.124387856069132</v>
      </c>
      <c r="M10" s="2">
        <f>IF(Data!Y10=0,"",Data!Y10)</f>
        <v>0.13319359986909399</v>
      </c>
      <c r="N10" s="2">
        <f>IF(Data!Z10=0,"",Data!Z10)</f>
        <v>0.13208369335046699</v>
      </c>
      <c r="O10" s="2">
        <f>IF(Data!AA10=0,"",Data!AA10)</f>
        <v>9.1085643393975596E-2</v>
      </c>
      <c r="P10" s="2">
        <f>IF(Data!AB10=0,"",Data!AB10)</f>
        <v>7.7866759994919904E-2</v>
      </c>
      <c r="Q10" s="2">
        <f>IF(Data!AC10=0,"",Data!AC10)</f>
        <v>5.7427387060726101E-2</v>
      </c>
      <c r="R10" s="2">
        <f>IF(Data!AD10=0,"",Data!AD10)</f>
        <v>4.6829240834708498E-2</v>
      </c>
      <c r="S10" s="2">
        <f>IF(Data!AE10=0,"",Data!AE10)</f>
        <v>3.6490361677844403E-5</v>
      </c>
      <c r="T10" s="2" t="str">
        <f>IF(Data!AF10=0,"",Data!AF10)</f>
        <v/>
      </c>
      <c r="U10" s="2" t="str">
        <f>IF(Data!AG10=0,"",Data!AG10)</f>
        <v/>
      </c>
    </row>
    <row r="11" spans="1:21">
      <c r="A11" s="1">
        <f>Data!A11</f>
        <v>43032</v>
      </c>
      <c r="B11" t="str">
        <f>Data!B11</f>
        <v>113012.SH</v>
      </c>
      <c r="C11" t="str">
        <f>Data!C11</f>
        <v>骆驼转债</v>
      </c>
      <c r="D11" t="str">
        <f>Data!E11</f>
        <v>601311.SH</v>
      </c>
      <c r="E11" t="str">
        <f>Data!F11</f>
        <v>骆驼股份</v>
      </c>
      <c r="F11" s="6">
        <f>Data!D11</f>
        <v>110.80329999999999</v>
      </c>
      <c r="G11" s="6">
        <f>Data!N11</f>
        <v>105.285436800808</v>
      </c>
      <c r="H11" s="2">
        <f t="shared" si="1"/>
        <v>5.2408608130974255E-2</v>
      </c>
      <c r="I11" s="2">
        <f>IF(Data!V11=0,"",Data!V11)</f>
        <v>5.6953079544500497E-2</v>
      </c>
      <c r="J11" s="2">
        <f>IF(Data!W11=0,"",Data!W11)</f>
        <v>5.7749606397065202E-2</v>
      </c>
      <c r="K11" s="2">
        <f t="shared" si="2"/>
        <v>0.46863853316245407</v>
      </c>
      <c r="L11" s="2">
        <f>IF(Data!X11=0,"",Data!X11)</f>
        <v>5.0018203863159201E-2</v>
      </c>
      <c r="M11" s="2">
        <f>IF(Data!Y11=0,"",Data!Y11)</f>
        <v>7.5619773226345999E-2</v>
      </c>
      <c r="N11" s="2">
        <f>IF(Data!Z11=0,"",Data!Z11)</f>
        <v>0.125736381760509</v>
      </c>
      <c r="O11" s="2">
        <f>IF(Data!AA11=0,"",Data!AA11)</f>
        <v>8.9843198757404402E-2</v>
      </c>
      <c r="P11" s="2">
        <f>IF(Data!AB11=0,"",Data!AB11)</f>
        <v>6.2598078292150999E-2</v>
      </c>
      <c r="Q11" s="2">
        <f>IF(Data!AC11=0,"",Data!AC11)</f>
        <v>4.2383159961842103E-2</v>
      </c>
      <c r="R11" s="2">
        <f>IF(Data!AD11=0,"",Data!AD11)</f>
        <v>-2.9815091551465299E-2</v>
      </c>
      <c r="S11" s="2">
        <f>IF(Data!AE11=0,"",Data!AE11)</f>
        <v>-8.5122756230430099E-2</v>
      </c>
      <c r="T11" s="2" t="str">
        <f>IF(Data!AF11=0,"",Data!AF11)</f>
        <v/>
      </c>
      <c r="U11" s="2" t="str">
        <f>IF(Data!AG11=0,"",Data!AG11)</f>
        <v/>
      </c>
    </row>
    <row r="12" spans="1:21">
      <c r="A12" s="1">
        <f>Data!A12</f>
        <v>43032</v>
      </c>
      <c r="B12" t="str">
        <f>Data!B12</f>
        <v>113013.SH</v>
      </c>
      <c r="C12" t="str">
        <f>Data!C12</f>
        <v>国君转债</v>
      </c>
      <c r="D12" t="str">
        <f>Data!E12</f>
        <v>601211.SH</v>
      </c>
      <c r="E12" t="str">
        <f>Data!F12</f>
        <v>国泰君安</v>
      </c>
      <c r="F12" s="6">
        <f>Data!D12</f>
        <v>122.0697</v>
      </c>
      <c r="G12" s="6">
        <f>Data!N12</f>
        <v>109.738726725647</v>
      </c>
      <c r="H12" s="2">
        <f t="shared" si="1"/>
        <v>0.11236665161225279</v>
      </c>
      <c r="I12" s="2">
        <f>IF(Data!V12=0,"",Data!V12)</f>
        <v>0.117065398642762</v>
      </c>
      <c r="J12" s="2">
        <f>IF(Data!W12=0,"",Data!W12)</f>
        <v>6.9468530651642102E-2</v>
      </c>
      <c r="K12" s="2">
        <f t="shared" si="2"/>
        <v>0.47303670452786423</v>
      </c>
      <c r="L12" s="2">
        <f>IF(Data!X12=0,"",Data!X12)</f>
        <v>0.12585512742204499</v>
      </c>
      <c r="M12" s="2">
        <f>IF(Data!Y12=0,"",Data!Y12)</f>
        <v>0.13458969850091099</v>
      </c>
      <c r="N12" s="2">
        <f>IF(Data!Z12=0,"",Data!Z12)</f>
        <v>0.16742923392798301</v>
      </c>
      <c r="O12" s="2">
        <f>IF(Data!AA12=0,"",Data!AA12)</f>
        <v>2.10739131173131E-2</v>
      </c>
      <c r="P12" s="2" t="str">
        <f>IF(Data!AB12=0,"",Data!AB12)</f>
        <v/>
      </c>
      <c r="Q12" s="2" t="str">
        <f>IF(Data!AC12=0,"",Data!AC12)</f>
        <v/>
      </c>
      <c r="R12" s="2" t="str">
        <f>IF(Data!AD12=0,"",Data!AD12)</f>
        <v/>
      </c>
      <c r="S12" s="2" t="str">
        <f>IF(Data!AE12=0,"",Data!AE12)</f>
        <v/>
      </c>
      <c r="T12" s="2" t="str">
        <f>IF(Data!AF12=0,"",Data!AF12)</f>
        <v/>
      </c>
      <c r="U12" s="2" t="str">
        <f>IF(Data!AG12=0,"",Data!AG12)</f>
        <v/>
      </c>
    </row>
    <row r="13" spans="1:21">
      <c r="A13" s="1">
        <f>Data!A13</f>
        <v>43032</v>
      </c>
      <c r="B13" t="str">
        <f>Data!B13</f>
        <v>120001.SZ</v>
      </c>
      <c r="C13" t="str">
        <f>Data!C13</f>
        <v>16以岭EB</v>
      </c>
      <c r="D13" t="str">
        <f>Data!E13</f>
        <v>002603.SZ</v>
      </c>
      <c r="E13" t="str">
        <f>Data!F13</f>
        <v>以岭药业</v>
      </c>
      <c r="F13" s="6">
        <f>Data!D13</f>
        <v>108.4795</v>
      </c>
      <c r="G13" s="6">
        <f>Data!N13</f>
        <v>107.092815767785</v>
      </c>
      <c r="H13" s="2">
        <f t="shared" si="1"/>
        <v>1.29484337700283E-2</v>
      </c>
      <c r="I13" s="2">
        <f>IF(Data!V13=0,"",Data!V13)</f>
        <v>-3.7231407693392202E-4</v>
      </c>
      <c r="J13" s="2">
        <f>IF(Data!W13=0,"",Data!W13)</f>
        <v>2.0268512581795899E-2</v>
      </c>
      <c r="K13" s="2">
        <f t="shared" si="2"/>
        <v>0.74447829980566105</v>
      </c>
      <c r="L13" s="2">
        <f>IF(Data!X13=0,"",Data!X13)</f>
        <v>1.1718593337388601E-2</v>
      </c>
      <c r="M13" s="2">
        <f>IF(Data!Y13=0,"",Data!Y13)</f>
        <v>1.5304979346096301E-2</v>
      </c>
      <c r="N13" s="2">
        <f>IF(Data!Z13=0,"",Data!Z13)</f>
        <v>2.62247667015428E-2</v>
      </c>
      <c r="O13" s="2">
        <f>IF(Data!AA13=0,"",Data!AA13)</f>
        <v>4.0189472676019997E-3</v>
      </c>
      <c r="P13" s="2">
        <f>IF(Data!AB13=0,"",Data!AB13)</f>
        <v>-2.0847868175832901E-3</v>
      </c>
      <c r="Q13" s="2">
        <f>IF(Data!AC13=0,"",Data!AC13)</f>
        <v>-2.4308191082693002E-2</v>
      </c>
      <c r="R13" s="2">
        <f>IF(Data!AD13=0,"",Data!AD13)</f>
        <v>-2.5744449604433201E-2</v>
      </c>
      <c r="S13" s="2">
        <f>IF(Data!AE13=0,"",Data!AE13)</f>
        <v>-2.22889691319226E-2</v>
      </c>
      <c r="T13" s="2">
        <f>IF(Data!AF13=0,"",Data!AF13)</f>
        <v>-1.5297363922210699E-3</v>
      </c>
      <c r="U13" s="2">
        <f>IF(Data!AG13=0,"",Data!AG13)</f>
        <v>5.9820521918880901E-4</v>
      </c>
    </row>
    <row r="14" spans="1:21">
      <c r="A14" s="1">
        <f>Data!A14</f>
        <v>43032</v>
      </c>
      <c r="B14" t="str">
        <f>Data!B14</f>
        <v>123001.SZ</v>
      </c>
      <c r="C14" t="str">
        <f>Data!C14</f>
        <v>蓝标转债</v>
      </c>
      <c r="D14" t="str">
        <f>Data!E14</f>
        <v>300058.SZ</v>
      </c>
      <c r="E14" t="str">
        <f>Data!F14</f>
        <v>蓝色光标</v>
      </c>
      <c r="F14" s="6">
        <f>Data!D14</f>
        <v>104.43259999999999</v>
      </c>
      <c r="G14" s="6">
        <f>Data!N14</f>
        <v>108.055982400562</v>
      </c>
      <c r="H14" s="2">
        <f t="shared" si="1"/>
        <v>-3.3532455307566211E-2</v>
      </c>
      <c r="I14" s="2">
        <f>IF(Data!V14=0,"",Data!V14)</f>
        <v>3.6963615229316502E-2</v>
      </c>
      <c r="J14" s="2">
        <f>IF(Data!W14=0,"",Data!W14)</f>
        <v>3.1987917205557499E-2</v>
      </c>
      <c r="K14" s="2">
        <f t="shared" si="2"/>
        <v>1.3767998145584173E-2</v>
      </c>
      <c r="L14" s="2">
        <f>IF(Data!X14=0,"",Data!X14)</f>
        <v>1.0726053048286501E-3</v>
      </c>
      <c r="M14" s="2">
        <f>IF(Data!Y14=0,"",Data!Y14)</f>
        <v>2.4132806280082301E-2</v>
      </c>
      <c r="N14" s="2">
        <f>IF(Data!Z14=0,"",Data!Z14)</f>
        <v>2.9963335357763101E-2</v>
      </c>
      <c r="O14" s="2">
        <f>IF(Data!AA14=0,"",Data!AA14)</f>
        <v>2.24472908830292E-2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c r="A15" s="1">
        <f>Data!A15</f>
        <v>43032</v>
      </c>
      <c r="B15" t="str">
        <f>Data!B15</f>
        <v>127003.SZ</v>
      </c>
      <c r="C15" t="str">
        <f>Data!C15</f>
        <v>海印转债</v>
      </c>
      <c r="D15" t="str">
        <f>Data!E15</f>
        <v>000861.SZ</v>
      </c>
      <c r="E15" t="str">
        <f>Data!F15</f>
        <v>海印股份</v>
      </c>
      <c r="F15" s="6">
        <f>Data!D15</f>
        <v>100.9324</v>
      </c>
      <c r="G15" s="6">
        <f>Data!N15</f>
        <v>98.042466908835806</v>
      </c>
      <c r="H15" s="2">
        <f t="shared" si="1"/>
        <v>2.9476340021629355E-2</v>
      </c>
      <c r="I15" s="2">
        <f>IF(Data!V15=0,"",Data!V15)</f>
        <v>1.39164847948727E-2</v>
      </c>
      <c r="J15" s="2">
        <f>IF(Data!W15=0,"",Data!W15)</f>
        <v>3.4868707193716798E-2</v>
      </c>
      <c r="K15" s="2">
        <f t="shared" si="2"/>
        <v>0.67228850281665253</v>
      </c>
      <c r="L15" s="2">
        <f>IF(Data!X15=0,"",Data!X15)</f>
        <v>2.8712294245935199E-2</v>
      </c>
      <c r="M15" s="2">
        <f>IF(Data!Y15=0,"",Data!Y15)</f>
        <v>3.9162021798345298E-2</v>
      </c>
      <c r="N15" s="2">
        <f>IF(Data!Z15=0,"",Data!Z15)</f>
        <v>5.7687370743966702E-2</v>
      </c>
      <c r="O15" s="2">
        <f>IF(Data!AA15=0,"",Data!AA15)</f>
        <v>4.6817892717250502E-2</v>
      </c>
      <c r="P15" s="2">
        <f>IF(Data!AB15=0,"",Data!AB15)</f>
        <v>4.1137414608309303E-2</v>
      </c>
      <c r="Q15" s="2">
        <f>IF(Data!AC15=0,"",Data!AC15)</f>
        <v>3.2156188231471303E-2</v>
      </c>
      <c r="R15" s="2">
        <f>IF(Data!AD15=0,"",Data!AD15)</f>
        <v>2.6890253653285401E-2</v>
      </c>
      <c r="S15" s="2">
        <f>IF(Data!AE15=0,"",Data!AE15)</f>
        <v>1.7570560186098601E-2</v>
      </c>
      <c r="T15" s="2">
        <f>IF(Data!AF15=0,"",Data!AF15)</f>
        <v>-1.6015635275527702E-2</v>
      </c>
      <c r="U15" s="2">
        <f>IF(Data!AG15=0,"",Data!AG15)</f>
        <v>-3.8415136859875201E-2</v>
      </c>
    </row>
    <row r="16" spans="1:21">
      <c r="A16" s="1">
        <f>Data!A16</f>
        <v>43032</v>
      </c>
      <c r="B16" t="str">
        <f>Data!B16</f>
        <v>127004.SZ</v>
      </c>
      <c r="C16" t="str">
        <f>Data!C16</f>
        <v>模塑转债</v>
      </c>
      <c r="D16" t="str">
        <f>Data!E16</f>
        <v>000700.SZ</v>
      </c>
      <c r="E16" t="str">
        <f>Data!F16</f>
        <v>模塑科技</v>
      </c>
      <c r="F16" s="6">
        <f>Data!D16</f>
        <v>107.3014</v>
      </c>
      <c r="G16" s="6">
        <f>Data!N16</f>
        <v>110.082713391166</v>
      </c>
      <c r="H16" s="2">
        <f t="shared" si="1"/>
        <v>-2.5265668927353935E-2</v>
      </c>
      <c r="I16" s="2">
        <f>IF(Data!V16=0,"",Data!V16)</f>
        <v>-2.0246914461221999E-2</v>
      </c>
      <c r="J16" s="2">
        <f>IF(Data!W16=0,"",Data!W16)</f>
        <v>3.1524179741697599E-2</v>
      </c>
      <c r="K16" s="2">
        <f t="shared" si="2"/>
        <v>0.43675433923599172</v>
      </c>
      <c r="L16" s="2">
        <f>IF(Data!X16=0,"",Data!X16)</f>
        <v>-2.3698518546589799E-2</v>
      </c>
      <c r="M16" s="2">
        <f>IF(Data!Y16=0,"",Data!Y16)</f>
        <v>-1.7054697708723001E-3</v>
      </c>
      <c r="N16" s="2">
        <f>IF(Data!Z16=0,"",Data!Z16)</f>
        <v>1.91065485501024E-3</v>
      </c>
      <c r="O16" s="2">
        <f>IF(Data!AA16=0,"",Data!AA16)</f>
        <v>-2.17852215074117E-2</v>
      </c>
      <c r="P16" s="2">
        <f>IF(Data!AB16=0,"",Data!AB16)</f>
        <v>-5.95455209267595E-2</v>
      </c>
      <c r="Q16" s="2" t="str">
        <f>IF(Data!AC16=0,"",Data!AC16)</f>
        <v/>
      </c>
      <c r="R16" s="2" t="str">
        <f>IF(Data!AD16=0,"",Data!AD16)</f>
        <v/>
      </c>
      <c r="S16" s="2" t="str">
        <f>IF(Data!AE16=0,"",Data!AE16)</f>
        <v/>
      </c>
      <c r="T16" s="2" t="str">
        <f>IF(Data!AF16=0,"",Data!AF16)</f>
        <v/>
      </c>
      <c r="U16" s="2" t="str">
        <f>IF(Data!AG16=0,"",Data!AG16)</f>
        <v/>
      </c>
    </row>
    <row r="17" spans="1:21">
      <c r="A17" s="1">
        <f>Data!A17</f>
        <v>43032</v>
      </c>
      <c r="B17" t="str">
        <f>Data!B17</f>
        <v>128010.SZ</v>
      </c>
      <c r="C17" t="str">
        <f>Data!C17</f>
        <v>顺昌转债</v>
      </c>
      <c r="D17" t="str">
        <f>Data!E17</f>
        <v>002245.SZ</v>
      </c>
      <c r="E17" t="str">
        <f>Data!F17</f>
        <v>澳洋顺昌</v>
      </c>
      <c r="F17" s="6">
        <f>Data!D17</f>
        <v>115.1657</v>
      </c>
      <c r="G17" s="6">
        <f>Data!N17</f>
        <v>115.634575082057</v>
      </c>
      <c r="H17" s="2">
        <f t="shared" si="1"/>
        <v>-4.0548000606589474E-3</v>
      </c>
      <c r="I17" s="2">
        <f>IF(Data!V17=0,"",Data!V17)</f>
        <v>-3.9190359358577002E-2</v>
      </c>
      <c r="J17" s="2">
        <f>IF(Data!W17=0,"",Data!W17)</f>
        <v>4.9157025470496503E-2</v>
      </c>
      <c r="K17" s="2">
        <f t="shared" si="2"/>
        <v>0.76262184877076122</v>
      </c>
      <c r="L17" s="2">
        <f>IF(Data!X17=0,"",Data!X17)</f>
        <v>-4.1971395675661303E-3</v>
      </c>
      <c r="M17" s="2">
        <f>IF(Data!Y17=0,"",Data!Y17)</f>
        <v>2.7272893261696001E-2</v>
      </c>
      <c r="N17" s="2">
        <f>IF(Data!Z17=0,"",Data!Z17)</f>
        <v>3.8001215926298099E-2</v>
      </c>
      <c r="O17" s="2">
        <f>IF(Data!AA17=0,"",Data!AA17)</f>
        <v>1.7188945997378E-2</v>
      </c>
      <c r="P17" s="2">
        <f>IF(Data!AB17=0,"",Data!AB17)</f>
        <v>-2.5302147264597601E-2</v>
      </c>
      <c r="Q17" s="2">
        <f>IF(Data!AC17=0,"",Data!AC17)</f>
        <v>-5.97470353375186E-2</v>
      </c>
      <c r="R17" s="2">
        <f>IF(Data!AD17=0,"",Data!AD17)</f>
        <v>-4.7444147413765798E-2</v>
      </c>
      <c r="S17" s="2">
        <f>IF(Data!AE17=0,"",Data!AE17)</f>
        <v>-6.22774836583984E-2</v>
      </c>
      <c r="T17" s="2">
        <f>IF(Data!AF17=0,"",Data!AF17)</f>
        <v>-8.3755383284628504E-2</v>
      </c>
      <c r="U17" s="2">
        <f>IF(Data!AG17=0,"",Data!AG17)</f>
        <v>-8.7733675927879895E-2</v>
      </c>
    </row>
    <row r="18" spans="1:21">
      <c r="A18" s="1">
        <f>Data!A18</f>
        <v>43032</v>
      </c>
      <c r="B18" t="str">
        <f>Data!B18</f>
        <v>128012.SZ</v>
      </c>
      <c r="C18" t="str">
        <f>Data!C18</f>
        <v>辉丰转债</v>
      </c>
      <c r="D18" t="str">
        <f>Data!E18</f>
        <v>002496.SZ</v>
      </c>
      <c r="E18" t="str">
        <f>Data!F18</f>
        <v>辉丰股份</v>
      </c>
      <c r="F18" s="6">
        <f>Data!D18</f>
        <v>105.04640000000001</v>
      </c>
      <c r="G18" s="6">
        <f>Data!N18</f>
        <v>100.52538197209201</v>
      </c>
      <c r="H18" s="2">
        <f t="shared" si="1"/>
        <v>4.4973895539766495E-2</v>
      </c>
      <c r="I18" s="2">
        <f>IF(Data!V18=0,"",Data!V18)</f>
        <v>0.120939771179476</v>
      </c>
      <c r="J18" s="2">
        <f>IF(Data!W18=0,"",Data!W18)</f>
        <v>3.8747475947670598E-2</v>
      </c>
      <c r="K18" s="2">
        <f t="shared" si="2"/>
        <v>2.4966505688249568E-2</v>
      </c>
      <c r="L18" s="2">
        <f>IF(Data!X18=0,"",Data!X18)</f>
        <v>5.6312909731897898E-2</v>
      </c>
      <c r="M18" s="2">
        <f>IF(Data!Y18=0,"",Data!Y18)</f>
        <v>8.5691780462897105E-2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c r="A19" s="1">
        <f>Data!A19</f>
        <v>43032</v>
      </c>
      <c r="B19" t="str">
        <f>Data!B19</f>
        <v>128013.SZ</v>
      </c>
      <c r="C19" t="str">
        <f>Data!C19</f>
        <v>洪涛转债</v>
      </c>
      <c r="D19" t="str">
        <f>Data!E19</f>
        <v>002325.SZ</v>
      </c>
      <c r="E19" t="str">
        <f>Data!F19</f>
        <v>洪涛股份</v>
      </c>
      <c r="F19" s="6">
        <f>Data!D19</f>
        <v>100.9353</v>
      </c>
      <c r="G19" s="6">
        <f>Data!N19</f>
        <v>99.604687459328204</v>
      </c>
      <c r="H19" s="2">
        <f t="shared" si="1"/>
        <v>1.3358934951883006E-2</v>
      </c>
      <c r="I19" s="2">
        <f>IF(Data!V19=0,"",Data!V19)</f>
        <v>1.51383213537741E-2</v>
      </c>
      <c r="J19" s="2">
        <f>IF(Data!W19=0,"",Data!W19)</f>
        <v>2.49514483974306E-2</v>
      </c>
      <c r="K19" s="2">
        <f t="shared" si="2"/>
        <v>0.47157394556937882</v>
      </c>
      <c r="L19" s="2">
        <f>IF(Data!X19=0,"",Data!X19)</f>
        <v>1.16797611583266E-2</v>
      </c>
      <c r="M19" s="2">
        <f>IF(Data!Y19=0,"",Data!Y19)</f>
        <v>1.53029001040253E-2</v>
      </c>
      <c r="N19" s="2">
        <f>IF(Data!Z19=0,"",Data!Z19)</f>
        <v>2.2656660986593E-2</v>
      </c>
      <c r="O19" s="2">
        <f>IF(Data!AA19=0,"",Data!AA19)</f>
        <v>-1.6957148188072702E-2</v>
      </c>
      <c r="P19" s="2">
        <f>IF(Data!AB19=0,"",Data!AB19)</f>
        <v>-2.7688658888574999E-3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c r="A20" s="1">
        <f>Data!A20</f>
        <v>43032</v>
      </c>
      <c r="B20" t="str">
        <f>Data!B20</f>
        <v>128014.SZ</v>
      </c>
      <c r="C20" t="str">
        <f>Data!C20</f>
        <v>永东转债</v>
      </c>
      <c r="D20" t="str">
        <f>Data!E20</f>
        <v>002753.SZ</v>
      </c>
      <c r="E20" t="str">
        <f>Data!F20</f>
        <v>永东股份</v>
      </c>
      <c r="F20" s="6">
        <f>Data!D20</f>
        <v>114.5314</v>
      </c>
      <c r="G20" s="6">
        <f>Data!N20</f>
        <v>140.33532724523101</v>
      </c>
      <c r="H20" s="2">
        <f t="shared" si="1"/>
        <v>-0.18387335357218759</v>
      </c>
      <c r="I20" s="2">
        <f>IF(Data!V20=0,"",Data!V20)</f>
        <v>-0.16390735247069699</v>
      </c>
      <c r="J20" s="2">
        <f>IF(Data!W20=0,"",Data!W20)</f>
        <v>4.1633441417757697E-2</v>
      </c>
      <c r="K20" s="2">
        <f t="shared" si="2"/>
        <v>0.31576785880807751</v>
      </c>
      <c r="L20" s="2">
        <f>IF(Data!X20=0,"",Data!X20)</f>
        <v>-0.19791317736939501</v>
      </c>
      <c r="M20" s="2">
        <f>IF(Data!Y20=0,"",Data!Y20)</f>
        <v>-0.217604870377161</v>
      </c>
      <c r="N20" s="2">
        <f>IF(Data!Z20=0,"",Data!Z20)</f>
        <v>-0.199816698163991</v>
      </c>
      <c r="O20" s="2">
        <f>IF(Data!AA20=0,"",Data!AA20)</f>
        <v>-0.14598764499892999</v>
      </c>
      <c r="P20" s="2">
        <f>IF(Data!AB20=0,"",Data!AB20)</f>
        <v>-0.11432852003251399</v>
      </c>
      <c r="Q20" s="2">
        <f>IF(Data!AC20=0,"",Data!AC20)</f>
        <v>-0.134435271459692</v>
      </c>
      <c r="R20" s="2">
        <f>IF(Data!AD20=0,"",Data!AD20)</f>
        <v>-0.133393058970835</v>
      </c>
      <c r="S20" s="2" t="str">
        <f>IF(Data!AE20=0,"",Data!AE20)</f>
        <v/>
      </c>
      <c r="T20" s="2" t="str">
        <f>IF(Data!AF20=0,"",Data!AF20)</f>
        <v/>
      </c>
      <c r="U20" s="2" t="str">
        <f>IF(Data!AG20=0,"",Data!AG20)</f>
        <v/>
      </c>
    </row>
    <row r="21" spans="1:21">
      <c r="A21" s="1">
        <f>Data!A21</f>
        <v>43032</v>
      </c>
      <c r="B21" t="str">
        <f>Data!B21</f>
        <v>128015.SZ</v>
      </c>
      <c r="C21" t="str">
        <f>Data!C21</f>
        <v>久其转债</v>
      </c>
      <c r="D21" t="str">
        <f>Data!E21</f>
        <v>002279.SZ</v>
      </c>
      <c r="E21" t="str">
        <f>Data!F21</f>
        <v>久其软件</v>
      </c>
      <c r="F21" s="6">
        <f>Data!D21</f>
        <v>113.7868</v>
      </c>
      <c r="G21" s="6">
        <f>Data!N21</f>
        <v>114.888414682511</v>
      </c>
      <c r="H21" s="2">
        <f t="shared" si="1"/>
        <v>-9.5885619586210113E-3</v>
      </c>
      <c r="I21" s="2">
        <f>IF(Data!V21=0,"",Data!V21)</f>
        <v>-3.04335241929461E-2</v>
      </c>
      <c r="J21" s="2">
        <f>IF(Data!W21=0,"",Data!W21)</f>
        <v>5.8235220424335703E-2</v>
      </c>
      <c r="K21" s="2">
        <f t="shared" si="2"/>
        <v>0.6398074821173958</v>
      </c>
      <c r="L21" s="2">
        <f>IF(Data!X21=0,"",Data!X21)</f>
        <v>-1.2742548954142899E-2</v>
      </c>
      <c r="M21" s="2">
        <f>IF(Data!Y21=0,"",Data!Y21)</f>
        <v>-3.4637958882455101E-3</v>
      </c>
      <c r="N21" s="2">
        <f>IF(Data!Z21=0,"",Data!Z21)</f>
        <v>9.8117099410860407E-3</v>
      </c>
      <c r="O21" s="2">
        <f>IF(Data!AA21=0,"",Data!AA21)</f>
        <v>-2.5139678070061799E-2</v>
      </c>
      <c r="P21" s="2">
        <f>IF(Data!AB21=0,"",Data!AB21)</f>
        <v>-0.13722570954163199</v>
      </c>
      <c r="Q21" s="2" t="str">
        <f>IF(Data!AC21=0,"",Data!AC21)</f>
        <v/>
      </c>
      <c r="R21" s="2" t="str">
        <f>IF(Data!AD21=0,"",Data!AD21)</f>
        <v/>
      </c>
      <c r="S21" s="2" t="str">
        <f>IF(Data!AE21=0,"",Data!AE21)</f>
        <v/>
      </c>
      <c r="T21" s="2" t="str">
        <f>IF(Data!AF21=0,"",Data!AF21)</f>
        <v/>
      </c>
      <c r="U21" s="2" t="str">
        <f>IF(Data!AG21=0,"",Data!AG21)</f>
        <v/>
      </c>
    </row>
    <row r="22" spans="1:21">
      <c r="A22" s="1">
        <f>Data!A22</f>
        <v>43032</v>
      </c>
      <c r="B22" t="str">
        <f>Data!B22</f>
        <v>128016.SZ</v>
      </c>
      <c r="C22" t="str">
        <f>Data!C22</f>
        <v>雨虹转债</v>
      </c>
      <c r="D22" t="str">
        <f>Data!E22</f>
        <v>002271.SZ</v>
      </c>
      <c r="E22" t="str">
        <f>Data!F22</f>
        <v>东方雨虹</v>
      </c>
      <c r="F22" s="6">
        <f>Data!D22</f>
        <v>119.9393</v>
      </c>
      <c r="G22" s="6">
        <f>Data!N22</f>
        <v>120.597637681884</v>
      </c>
      <c r="H22" s="2">
        <f t="shared" si="1"/>
        <v>-5.4589600139646199E-3</v>
      </c>
      <c r="I22" s="2">
        <f>IF(Data!V22=0,"",Data!V22)</f>
        <v>-0.133595979884883</v>
      </c>
      <c r="J22" s="2">
        <f>IF(Data!W22=0,"",Data!W22)</f>
        <v>6.6299241449562202E-2</v>
      </c>
      <c r="K22" s="2">
        <f t="shared" si="2"/>
        <v>0.97336385979918194</v>
      </c>
      <c r="L22" s="2">
        <f>IF(Data!X22=0,"",Data!X22)</f>
        <v>-0.12430400199905001</v>
      </c>
      <c r="M22" s="2">
        <f>IF(Data!Y22=0,"",Data!Y22)</f>
        <v>-0.15589672681088401</v>
      </c>
      <c r="N22" s="2" t="str">
        <f>IF(Data!Z22=0,"",Data!Z22)</f>
        <v/>
      </c>
      <c r="O22" s="2" t="str">
        <f>IF(Data!AA22=0,"",Data!AA22)</f>
        <v/>
      </c>
      <c r="P22" s="2" t="str">
        <f>IF(Data!AB22=0,"",Data!AB22)</f>
        <v/>
      </c>
      <c r="Q22" s="2" t="str">
        <f>IF(Data!AC22=0,"",Data!AC22)</f>
        <v/>
      </c>
      <c r="R22" s="2" t="str">
        <f>IF(Data!AD22=0,"",Data!AD22)</f>
        <v/>
      </c>
      <c r="S22" s="2" t="str">
        <f>IF(Data!AE22=0,"",Data!AE22)</f>
        <v/>
      </c>
      <c r="T22" s="2" t="str">
        <f>IF(Data!AF22=0,"",Data!AF22)</f>
        <v/>
      </c>
      <c r="U22" s="2" t="str">
        <f>IF(Data!AG22=0,"",Data!AG22)</f>
        <v/>
      </c>
    </row>
    <row r="23" spans="1:21">
      <c r="A23" s="1">
        <f>Data!A23</f>
        <v>43032</v>
      </c>
      <c r="B23" t="str">
        <f>Data!B23</f>
        <v>132001.SH</v>
      </c>
      <c r="C23" t="str">
        <f>Data!C23</f>
        <v>14宝钢EB</v>
      </c>
      <c r="D23" t="str">
        <f>Data!E23</f>
        <v>601336.SH</v>
      </c>
      <c r="E23" t="str">
        <f>Data!F23</f>
        <v>新华保险</v>
      </c>
      <c r="F23" s="6">
        <f>Data!D23</f>
        <v>140.30000000000001</v>
      </c>
      <c r="G23" s="6">
        <f>Data!N23</f>
        <v>144.01546727797</v>
      </c>
      <c r="H23" s="2">
        <f t="shared" si="1"/>
        <v>-2.5799084974661879E-2</v>
      </c>
      <c r="I23" s="2">
        <f>IF(Data!V23=0,"",Data!V23)</f>
        <v>4.1920758622282697E-3</v>
      </c>
      <c r="J23" s="2">
        <f>IF(Data!W23=0,"",Data!W23)</f>
        <v>2.6770032787616398E-2</v>
      </c>
      <c r="K23" s="2">
        <f t="shared" si="2"/>
        <v>0.13128745638139486</v>
      </c>
      <c r="L23" s="2">
        <f>IF(Data!X23=0,"",Data!X23)</f>
        <v>-1.03814328979256E-2</v>
      </c>
      <c r="M23" s="2">
        <f>IF(Data!Y23=0,"",Data!Y23)</f>
        <v>1.1911418647532999E-2</v>
      </c>
      <c r="N23" s="2">
        <f>IF(Data!Z23=0,"",Data!Z23)</f>
        <v>-1.5547543179172899E-2</v>
      </c>
      <c r="O23" s="2">
        <f>IF(Data!AA23=0,"",Data!AA23)</f>
        <v>-1.30285291955022E-2</v>
      </c>
      <c r="P23" s="2">
        <f>IF(Data!AB23=0,"",Data!AB23)</f>
        <v>-3.4033998743630898E-3</v>
      </c>
      <c r="Q23" s="2">
        <f>IF(Data!AC23=0,"",Data!AC23)</f>
        <v>-3.2247200402336897E-2</v>
      </c>
      <c r="R23" s="2">
        <f>IF(Data!AD23=0,"",Data!AD23)</f>
        <v>-9.3154701821645102E-3</v>
      </c>
      <c r="S23" s="2">
        <f>IF(Data!AE23=0,"",Data!AE23)</f>
        <v>-4.8814367035250898E-4</v>
      </c>
      <c r="T23" s="2">
        <f>IF(Data!AF23=0,"",Data!AF23)</f>
        <v>-1.80834911250938E-3</v>
      </c>
      <c r="U23" s="2">
        <f>IF(Data!AG23=0,"",Data!AG23)</f>
        <v>1.20222737112645E-2</v>
      </c>
    </row>
    <row r="24" spans="1:21">
      <c r="A24" s="1">
        <f>Data!A24</f>
        <v>43032</v>
      </c>
      <c r="B24" t="str">
        <f>Data!B24</f>
        <v>132002.SH</v>
      </c>
      <c r="C24" t="str">
        <f>Data!C24</f>
        <v>15天集EB</v>
      </c>
      <c r="D24" t="str">
        <f>Data!E24</f>
        <v>600535.SH</v>
      </c>
      <c r="E24" t="str">
        <f>Data!F24</f>
        <v>天士力</v>
      </c>
      <c r="F24" s="6">
        <f>Data!D24</f>
        <v>103.6</v>
      </c>
      <c r="G24" s="6">
        <f>Data!N24</f>
        <v>92.051659717494402</v>
      </c>
      <c r="H24" s="2">
        <f t="shared" si="1"/>
        <v>0.12545499253296821</v>
      </c>
      <c r="I24" s="2">
        <f>IF(Data!V24=0,"",Data!V24)</f>
        <v>0.1119194558816</v>
      </c>
      <c r="J24" s="2">
        <f>IF(Data!W24=0,"",Data!W24)</f>
        <v>1.6368747499265101E-2</v>
      </c>
      <c r="K24" s="2">
        <f t="shared" si="2"/>
        <v>0.79585692616654213</v>
      </c>
      <c r="L24" s="2">
        <f>IF(Data!X24=0,"",Data!X24)</f>
        <v>0.12418361486273601</v>
      </c>
      <c r="M24" s="2">
        <f>IF(Data!Y24=0,"",Data!Y24)</f>
        <v>0.13046130242630399</v>
      </c>
      <c r="N24" s="2">
        <f>IF(Data!Z24=0,"",Data!Z24)</f>
        <v>0.12811014658498901</v>
      </c>
      <c r="O24" s="2">
        <f>IF(Data!AA24=0,"",Data!AA24)</f>
        <v>0.122106794087927</v>
      </c>
      <c r="P24" s="2">
        <f>IF(Data!AB24=0,"",Data!AB24)</f>
        <v>0.13053309904238899</v>
      </c>
      <c r="Q24" s="2">
        <f>IF(Data!AC24=0,"",Data!AC24)</f>
        <v>0.11111255248416101</v>
      </c>
      <c r="R24" s="2">
        <f>IF(Data!AD24=0,"",Data!AD24)</f>
        <v>9.9558537784547804E-2</v>
      </c>
      <c r="S24" s="2">
        <f>IF(Data!AE24=0,"",Data!AE24)</f>
        <v>0.10569657143412001</v>
      </c>
      <c r="T24" s="2">
        <f>IF(Data!AF24=0,"",Data!AF24)</f>
        <v>0.114844734761814</v>
      </c>
      <c r="U24" s="2">
        <f>IF(Data!AG24=0,"",Data!AG24)</f>
        <v>9.5094528183474497E-2</v>
      </c>
    </row>
    <row r="25" spans="1:21">
      <c r="A25" s="1">
        <f>Data!A25</f>
        <v>43032</v>
      </c>
      <c r="B25" t="str">
        <f>Data!B25</f>
        <v>132003.SH</v>
      </c>
      <c r="C25" t="str">
        <f>Data!C25</f>
        <v>15清控EB</v>
      </c>
      <c r="D25" t="str">
        <f>Data!E25</f>
        <v>600109.SH</v>
      </c>
      <c r="E25" t="str">
        <f>Data!F25</f>
        <v>国金证券</v>
      </c>
      <c r="F25" s="6">
        <f>Data!D25</f>
        <v>102.13</v>
      </c>
      <c r="G25" s="6">
        <f>Data!N25</f>
        <v>98.244070655399398</v>
      </c>
      <c r="H25" s="2">
        <f t="shared" si="1"/>
        <v>3.955383076736374E-2</v>
      </c>
      <c r="I25" s="2">
        <f>IF(Data!V25=0,"",Data!V25)</f>
        <v>8.6639366783177602E-2</v>
      </c>
      <c r="J25" s="2">
        <f>IF(Data!W25=0,"",Data!W25)</f>
        <v>3.8204942758553802E-2</v>
      </c>
      <c r="K25" s="2">
        <f t="shared" si="2"/>
        <v>0.10889122843813154</v>
      </c>
      <c r="L25" s="2">
        <f>IF(Data!X25=0,"",Data!X25)</f>
        <v>4.2319507277997999E-2</v>
      </c>
      <c r="M25" s="2">
        <f>IF(Data!Y25=0,"",Data!Y25)</f>
        <v>5.1691637039516798E-2</v>
      </c>
      <c r="N25" s="2">
        <f>IF(Data!Z25=0,"",Data!Z25)</f>
        <v>6.8642226312463694E-2</v>
      </c>
      <c r="O25" s="2">
        <f>IF(Data!AA25=0,"",Data!AA25)</f>
        <v>6.9274509947361507E-2</v>
      </c>
      <c r="P25" s="2">
        <f>IF(Data!AB25=0,"",Data!AB25)</f>
        <v>5.64202278022886E-2</v>
      </c>
      <c r="Q25" s="2">
        <f>IF(Data!AC25=0,"",Data!AC25)</f>
        <v>4.6074026708987803E-2</v>
      </c>
      <c r="R25" s="2">
        <f>IF(Data!AD25=0,"",Data!AD25)</f>
        <v>5.8520006370922202E-2</v>
      </c>
      <c r="S25" s="2">
        <f>IF(Data!AE25=0,"",Data!AE25)</f>
        <v>9.8222245283364804E-2</v>
      </c>
      <c r="T25" s="2">
        <f>IF(Data!AF25=0,"",Data!AF25)</f>
        <v>0.119216721471503</v>
      </c>
      <c r="U25" s="2">
        <f>IF(Data!AG25=0,"",Data!AG25)</f>
        <v>0.11675218909893</v>
      </c>
    </row>
    <row r="26" spans="1:21">
      <c r="A26" s="1">
        <f>Data!A26</f>
        <v>43032</v>
      </c>
      <c r="B26" t="str">
        <f>Data!B26</f>
        <v>132004.SH</v>
      </c>
      <c r="C26" t="str">
        <f>Data!C26</f>
        <v>15国盛EB</v>
      </c>
      <c r="D26" t="str">
        <f>Data!E26</f>
        <v>600170.SH</v>
      </c>
      <c r="E26" t="str">
        <f>Data!F26</f>
        <v>上海建工</v>
      </c>
      <c r="F26" s="6">
        <f>Data!D26</f>
        <v>92.85</v>
      </c>
      <c r="G26" s="6">
        <f>Data!N26</f>
        <v>90.362049898285406</v>
      </c>
      <c r="H26" s="2">
        <f t="shared" si="1"/>
        <v>2.7533130385102078E-2</v>
      </c>
      <c r="I26" s="2">
        <f>IF(Data!V26=0,"",Data!V26)</f>
        <v>4.56062484762337E-2</v>
      </c>
      <c r="J26" s="2">
        <f>IF(Data!W26=0,"",Data!W26)</f>
        <v>1.24206063151815E-2</v>
      </c>
      <c r="K26" s="2">
        <f t="shared" si="2"/>
        <v>7.2821972509690636E-2</v>
      </c>
      <c r="L26" s="2">
        <f>IF(Data!X26=0,"",Data!X26)</f>
        <v>2.7740465050030499E-2</v>
      </c>
      <c r="M26" s="2">
        <f>IF(Data!Y26=0,"",Data!Y26)</f>
        <v>3.2251736319454598E-2</v>
      </c>
      <c r="N26" s="2">
        <f>IF(Data!Z26=0,"",Data!Z26)</f>
        <v>4.3778004845818501E-2</v>
      </c>
      <c r="O26" s="2">
        <f>IF(Data!AA26=0,"",Data!AA26)</f>
        <v>3.91908602366784E-2</v>
      </c>
      <c r="P26" s="2">
        <f>IF(Data!AB26=0,"",Data!AB26)</f>
        <v>4.3298993303570801E-2</v>
      </c>
      <c r="Q26" s="2">
        <f>IF(Data!AC26=0,"",Data!AC26)</f>
        <v>3.4556127903019498E-2</v>
      </c>
      <c r="R26" s="2">
        <f>IF(Data!AD26=0,"",Data!AD26)</f>
        <v>4.15225101551484E-2</v>
      </c>
      <c r="S26" s="2">
        <f>IF(Data!AE26=0,"",Data!AE26)</f>
        <v>6.4566577364886996E-2</v>
      </c>
      <c r="T26" s="2">
        <f>IF(Data!AF26=0,"",Data!AF26)</f>
        <v>5.7415856721002002E-2</v>
      </c>
      <c r="U26" s="2">
        <f>IF(Data!AG26=0,"",Data!AG26)</f>
        <v>4.2834995431011998E-2</v>
      </c>
    </row>
    <row r="27" spans="1:21">
      <c r="A27" s="1">
        <f>Data!A27</f>
        <v>43032</v>
      </c>
      <c r="B27" t="str">
        <f>Data!B27</f>
        <v>132005.SH</v>
      </c>
      <c r="C27" t="str">
        <f>Data!C27</f>
        <v>15国资EB</v>
      </c>
      <c r="D27" t="str">
        <f>Data!E27</f>
        <v>601601.SH</v>
      </c>
      <c r="E27" t="str">
        <f>Data!F27</f>
        <v>中国太保</v>
      </c>
      <c r="F27" s="6">
        <f>Data!D27</f>
        <v>125.43</v>
      </c>
      <c r="G27" s="6">
        <f>Data!N27</f>
        <v>124.365288410654</v>
      </c>
      <c r="H27" s="2">
        <f t="shared" si="1"/>
        <v>8.5611636731812712E-3</v>
      </c>
      <c r="I27" s="2">
        <f>IF(Data!V27=0,"",Data!V27)</f>
        <v>4.4579595293159899E-2</v>
      </c>
      <c r="J27" s="2">
        <f>IF(Data!W27=0,"",Data!W27)</f>
        <v>2.3955132572690802E-2</v>
      </c>
      <c r="K27" s="2">
        <f t="shared" si="2"/>
        <v>6.6344915119325415E-2</v>
      </c>
      <c r="L27" s="2">
        <f>IF(Data!X27=0,"",Data!X27)</f>
        <v>4.2740063484462696E-3</v>
      </c>
      <c r="M27" s="2">
        <f>IF(Data!Y27=0,"",Data!Y27)</f>
        <v>2.4967973515629401E-2</v>
      </c>
      <c r="N27" s="2">
        <f>IF(Data!Z27=0,"",Data!Z27)</f>
        <v>3.07801841635966E-2</v>
      </c>
      <c r="O27" s="2">
        <f>IF(Data!AA27=0,"",Data!AA27)</f>
        <v>2.80064704348136E-2</v>
      </c>
      <c r="P27" s="2">
        <f>IF(Data!AB27=0,"",Data!AB27)</f>
        <v>1.9210297244119798E-2</v>
      </c>
      <c r="Q27" s="2">
        <f>IF(Data!AC27=0,"",Data!AC27)</f>
        <v>3.25138373682545E-2</v>
      </c>
      <c r="R27" s="2">
        <f>IF(Data!AD27=0,"",Data!AD27)</f>
        <v>3.3362227751618602E-2</v>
      </c>
      <c r="S27" s="2">
        <f>IF(Data!AE27=0,"",Data!AE27)</f>
        <v>5.9441082552434001E-2</v>
      </c>
      <c r="T27" s="2">
        <f>IF(Data!AF27=0,"",Data!AF27)</f>
        <v>7.4860244802746195E-2</v>
      </c>
      <c r="U27" s="2">
        <f>IF(Data!AG27=0,"",Data!AG27)</f>
        <v>7.2305340338014404E-2</v>
      </c>
    </row>
    <row r="28" spans="1:21">
      <c r="A28" s="1">
        <f>Data!A28</f>
        <v>43032</v>
      </c>
      <c r="B28" t="str">
        <f>Data!B28</f>
        <v>132006.SH</v>
      </c>
      <c r="C28" t="str">
        <f>Data!C28</f>
        <v>16皖新EB</v>
      </c>
      <c r="D28" t="str">
        <f>Data!E28</f>
        <v>601801.SH</v>
      </c>
      <c r="E28" t="str">
        <f>Data!F28</f>
        <v>皖新传媒</v>
      </c>
      <c r="F28" s="6">
        <f>Data!D28</f>
        <v>101.99</v>
      </c>
      <c r="G28" s="6">
        <f>Data!N28</f>
        <v>106.790388645981</v>
      </c>
      <c r="H28" s="2">
        <f t="shared" si="1"/>
        <v>-4.4951504595555747E-2</v>
      </c>
      <c r="I28" s="2">
        <f>IF(Data!V28=0,"",Data!V28)</f>
        <v>-0.136187532196131</v>
      </c>
      <c r="J28" s="2">
        <f>IF(Data!W28=0,"",Data!W28)</f>
        <v>6.8363748909972794E-2</v>
      </c>
      <c r="K28" s="2">
        <f t="shared" si="2"/>
        <v>0.90899100589133519</v>
      </c>
      <c r="L28" s="2">
        <f>IF(Data!X28=0,"",Data!X28)</f>
        <v>-4.7914169687358003E-2</v>
      </c>
      <c r="M28" s="2">
        <f>IF(Data!Y28=0,"",Data!Y28)</f>
        <v>-5.0017080361870303E-2</v>
      </c>
      <c r="N28" s="2">
        <f>IF(Data!Z28=0,"",Data!Z28)</f>
        <v>-6.2725336673352894E-2</v>
      </c>
      <c r="O28" s="2">
        <f>IF(Data!AA28=0,"",Data!AA28)</f>
        <v>-7.63261571408618E-2</v>
      </c>
      <c r="P28" s="2">
        <f>IF(Data!AB28=0,"",Data!AB28)</f>
        <v>-0.10173193034875901</v>
      </c>
      <c r="Q28" s="2">
        <f>IF(Data!AC28=0,"",Data!AC28)</f>
        <v>-0.14610607507274301</v>
      </c>
      <c r="R28" s="2">
        <f>IF(Data!AD28=0,"",Data!AD28)</f>
        <v>-0.203003954190945</v>
      </c>
      <c r="S28" s="2">
        <f>IF(Data!AE28=0,"",Data!AE28)</f>
        <v>-0.22692635197402</v>
      </c>
      <c r="T28" s="2">
        <f>IF(Data!AF28=0,"",Data!AF28)</f>
        <v>-0.227860274054242</v>
      </c>
      <c r="U28" s="2">
        <f>IF(Data!AG28=0,"",Data!AG28)</f>
        <v>-0.21502503963231501</v>
      </c>
    </row>
    <row r="29" spans="1:21">
      <c r="A29" s="1">
        <f>Data!A29</f>
        <v>43032</v>
      </c>
      <c r="B29" t="str">
        <f>Data!B29</f>
        <v>132007.SH</v>
      </c>
      <c r="C29" t="str">
        <f>Data!C29</f>
        <v>16凤凰EB</v>
      </c>
      <c r="D29" t="str">
        <f>Data!E29</f>
        <v>601928.SH</v>
      </c>
      <c r="E29" t="str">
        <f>Data!F29</f>
        <v>凤凰传媒</v>
      </c>
      <c r="F29" s="6">
        <f>Data!D29</f>
        <v>92.74</v>
      </c>
      <c r="G29" s="6">
        <f>Data!N29</f>
        <v>91.876797359024394</v>
      </c>
      <c r="H29" s="2">
        <f t="shared" si="1"/>
        <v>9.3952190954424974E-3</v>
      </c>
      <c r="I29" s="2">
        <f>IF(Data!V29=0,"",Data!V29)</f>
        <v>5.2045970424683501E-2</v>
      </c>
      <c r="J29" s="2">
        <f>IF(Data!W29=0,"",Data!W29)</f>
        <v>3.9357279397541002E-2</v>
      </c>
      <c r="K29" s="2">
        <f t="shared" si="2"/>
        <v>0.13925304440619746</v>
      </c>
      <c r="L29" s="2">
        <f>IF(Data!X29=0,"",Data!X29)</f>
        <v>1.18329705247692E-2</v>
      </c>
      <c r="M29" s="2">
        <f>IF(Data!Y29=0,"",Data!Y29)</f>
        <v>2.39962835029911E-2</v>
      </c>
      <c r="N29" s="2">
        <f>IF(Data!Z29=0,"",Data!Z29)</f>
        <v>3.0496358545474299E-2</v>
      </c>
      <c r="O29" s="2">
        <f>IF(Data!AA29=0,"",Data!AA29)</f>
        <v>2.5970334716573201E-2</v>
      </c>
      <c r="P29" s="2">
        <f>IF(Data!AB29=0,"",Data!AB29)</f>
        <v>2.87096233099251E-2</v>
      </c>
      <c r="Q29" s="2">
        <f>IF(Data!AC29=0,"",Data!AC29)</f>
        <v>3.9894816718214501E-2</v>
      </c>
      <c r="R29" s="2">
        <f>IF(Data!AD29=0,"",Data!AD29)</f>
        <v>6.2616010554276E-2</v>
      </c>
      <c r="S29" s="2">
        <f>IF(Data!AE29=0,"",Data!AE29)</f>
        <v>9.3069509008616699E-2</v>
      </c>
      <c r="T29" s="2">
        <f>IF(Data!AF29=0,"",Data!AF29)</f>
        <v>0.103628665102124</v>
      </c>
      <c r="U29" s="2">
        <f>IF(Data!AG29=0,"",Data!AG29)</f>
        <v>9.3497913727799295E-2</v>
      </c>
    </row>
    <row r="30" spans="1:21">
      <c r="A30" s="1">
        <f>Data!A30</f>
        <v>43032</v>
      </c>
      <c r="B30" t="str">
        <f>Data!B30</f>
        <v>132008.SH</v>
      </c>
      <c r="C30" t="str">
        <f>Data!C30</f>
        <v>17山高EB</v>
      </c>
      <c r="D30" t="str">
        <f>Data!E30</f>
        <v>600350.SH</v>
      </c>
      <c r="E30" t="str">
        <f>Data!F30</f>
        <v>山东高速</v>
      </c>
      <c r="F30" s="6">
        <f>Data!D30</f>
        <v>95.41</v>
      </c>
      <c r="G30" s="6">
        <f>Data!N30</f>
        <v>95.1410757843786</v>
      </c>
      <c r="H30" s="2">
        <f t="shared" si="1"/>
        <v>2.8265837169096919E-3</v>
      </c>
      <c r="I30" s="2">
        <f>IF(Data!V30=0,"",Data!V30)</f>
        <v>-2.8501652898331601E-3</v>
      </c>
      <c r="J30" s="2">
        <f>IF(Data!W30=0,"",Data!W30)</f>
        <v>1.29912532960618E-2</v>
      </c>
      <c r="K30" s="2">
        <f t="shared" si="2"/>
        <v>0.66893236048596361</v>
      </c>
      <c r="L30" s="2">
        <f>IF(Data!X30=0,"",Data!X30)</f>
        <v>-3.3894920105551101E-4</v>
      </c>
      <c r="M30" s="2">
        <f>IF(Data!Y30=0,"",Data!Y30)</f>
        <v>5.8038754111388097E-5</v>
      </c>
      <c r="N30" s="2">
        <f>IF(Data!Z30=0,"",Data!Z30)</f>
        <v>1.15602493344569E-3</v>
      </c>
      <c r="O30" s="2">
        <f>IF(Data!AA30=0,"",Data!AA30)</f>
        <v>-4.8546617391110602E-3</v>
      </c>
      <c r="P30" s="2">
        <f>IF(Data!AB30=0,"",Data!AB30)</f>
        <v>-1.17416411778885E-2</v>
      </c>
      <c r="Q30" s="2">
        <f>IF(Data!AC30=0,"",Data!AC30)</f>
        <v>-5.4810129705025702E-3</v>
      </c>
      <c r="R30" s="2">
        <f>IF(Data!AD30=0,"",Data!AD30)</f>
        <v>1.8544753802538901E-2</v>
      </c>
      <c r="S30" s="2" t="str">
        <f>IF(Data!AE30=0,"",Data!AE30)</f>
        <v/>
      </c>
      <c r="T30" s="2" t="str">
        <f>IF(Data!AF30=0,"",Data!AF30)</f>
        <v/>
      </c>
      <c r="U30" s="2" t="str">
        <f>IF(Data!AG30=0,"",Data!AG30)</f>
        <v/>
      </c>
    </row>
    <row r="31" spans="1:21">
      <c r="A31" s="1">
        <f>Data!A31</f>
        <v>43032</v>
      </c>
      <c r="B31" t="str">
        <f>Data!B31</f>
        <v>132009.SH</v>
      </c>
      <c r="C31" t="str">
        <f>Data!C31</f>
        <v>17中油EB</v>
      </c>
      <c r="D31" t="str">
        <f>Data!E31</f>
        <v>601857.SH</v>
      </c>
      <c r="E31" t="str">
        <f>Data!F31</f>
        <v>中国石油</v>
      </c>
      <c r="F31" s="6">
        <f>Data!D31</f>
        <v>101.7</v>
      </c>
      <c r="G31" s="6">
        <f>Data!N31</f>
        <v>97.6597723312005</v>
      </c>
      <c r="H31" s="2">
        <f t="shared" si="1"/>
        <v>4.1370439151727556E-2</v>
      </c>
      <c r="I31" s="2">
        <f>IF(Data!V31=0,"",Data!V31)</f>
        <v>5.3869967940800199E-2</v>
      </c>
      <c r="J31" s="2">
        <f>IF(Data!W31=0,"",Data!W31)</f>
        <v>1.5074426943787E-2</v>
      </c>
      <c r="K31" s="2">
        <f t="shared" si="2"/>
        <v>0.20349911354171252</v>
      </c>
      <c r="L31" s="2">
        <f>IF(Data!X31=0,"",Data!X31)</f>
        <v>5.0198747014921899E-2</v>
      </c>
      <c r="M31" s="2">
        <f>IF(Data!Y31=0,"",Data!Y31)</f>
        <v>6.2170986407339597E-2</v>
      </c>
      <c r="N31" s="2">
        <f>IF(Data!Z31=0,"",Data!Z31)</f>
        <v>6.1126650590453198E-2</v>
      </c>
      <c r="O31" s="2">
        <f>IF(Data!AA31=0,"",Data!AA31)</f>
        <v>3.10107035078151E-2</v>
      </c>
      <c r="P31" s="2" t="str">
        <f>IF(Data!AB31=0,"",Data!AB31)</f>
        <v/>
      </c>
      <c r="Q31" s="2" t="str">
        <f>IF(Data!AC31=0,"",Data!AC31)</f>
        <v/>
      </c>
      <c r="R31" s="2" t="str">
        <f>IF(Data!AD31=0,"",Data!AD31)</f>
        <v/>
      </c>
      <c r="S31" s="2" t="str">
        <f>IF(Data!AE31=0,"",Data!AE31)</f>
        <v/>
      </c>
      <c r="T31" s="2" t="str">
        <f>IF(Data!AF31=0,"",Data!AF31)</f>
        <v/>
      </c>
      <c r="U31" s="2" t="str">
        <f>IF(Data!AG31=0,"",Data!AG31)</f>
        <v/>
      </c>
    </row>
    <row r="32" spans="1:21">
      <c r="A32" s="1">
        <f>Data!A32</f>
        <v>43032</v>
      </c>
      <c r="B32" t="str">
        <f>Data!B32</f>
        <v>132010.SH</v>
      </c>
      <c r="C32" t="str">
        <f>Data!C32</f>
        <v>17桐昆EB</v>
      </c>
      <c r="D32" t="str">
        <f>Data!E32</f>
        <v>601233.SH</v>
      </c>
      <c r="E32" t="str">
        <f>Data!F32</f>
        <v>桐昆股份</v>
      </c>
      <c r="F32" s="6">
        <f>Data!D32</f>
        <v>114</v>
      </c>
      <c r="G32" s="6">
        <f>Data!N32</f>
        <v>117.93908918893899</v>
      </c>
      <c r="H32" s="2">
        <f t="shared" si="1"/>
        <v>-3.3399352293017603E-2</v>
      </c>
      <c r="I32" s="2">
        <f>IF(Data!V32=0,"",Data!V32)</f>
        <v>-4.2039198124636398E-2</v>
      </c>
      <c r="J32" s="2">
        <f>IF(Data!W32=0,"",Data!W32)</f>
        <v>4.3260931113215099E-2</v>
      </c>
      <c r="K32" s="2">
        <f t="shared" si="2"/>
        <v>0.57914815942811237</v>
      </c>
      <c r="L32" s="2">
        <f>IF(Data!X32=0,"",Data!X32)</f>
        <v>-3.6933095379527298E-2</v>
      </c>
      <c r="M32" s="2">
        <f>IF(Data!Y32=0,"",Data!Y32)</f>
        <v>-1.3436348929881801E-2</v>
      </c>
      <c r="N32" s="2">
        <f>IF(Data!Z32=0,"",Data!Z32)</f>
        <v>-7.3559820316596206E-2</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c r="A33" s="1">
        <f>Data!A33</f>
        <v>43032</v>
      </c>
      <c r="B33" t="str">
        <f>Data!B33</f>
        <v>132011.SH</v>
      </c>
      <c r="C33" t="str">
        <f>Data!C33</f>
        <v>17浙报EB</v>
      </c>
      <c r="D33" t="str">
        <f>Data!E33</f>
        <v>600633.SH</v>
      </c>
      <c r="E33" t="str">
        <f>Data!F33</f>
        <v>浙数文化</v>
      </c>
      <c r="F33" s="6">
        <f>Data!D33</f>
        <v>92.9</v>
      </c>
      <c r="G33" s="6">
        <f>Data!N33</f>
        <v>96.8689052571752</v>
      </c>
      <c r="H33" s="2">
        <f t="shared" si="1"/>
        <v>-4.0971922276175521E-2</v>
      </c>
      <c r="I33" s="2">
        <f>IF(Data!V33=0,"",Data!V33)</f>
        <v>-5.0172120487592398E-2</v>
      </c>
      <c r="J33" s="2">
        <f>IF(Data!W33=0,"",Data!W33)</f>
        <v>1.8032162400743401E-2</v>
      </c>
      <c r="K33" s="2">
        <f t="shared" si="2"/>
        <v>0.69504799414232599</v>
      </c>
      <c r="L33" s="2">
        <f>IF(Data!X33=0,"",Data!X33)</f>
        <v>-6.1064338229880902E-2</v>
      </c>
      <c r="M33" s="2">
        <f>IF(Data!Y33=0,"",Data!Y33)</f>
        <v>-5.1057671409835401E-2</v>
      </c>
      <c r="N33" s="2">
        <f>IF(Data!Z33=0,"",Data!Z33)</f>
        <v>-3.6599103917177501E-2</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row r="34" spans="1:21">
      <c r="A34" s="1">
        <f>Data!A34</f>
        <v>43032</v>
      </c>
      <c r="B34" t="str">
        <f>Data!B34</f>
        <v>132012.SH</v>
      </c>
      <c r="C34" t="str">
        <f>Data!C34</f>
        <v>17巨化EB</v>
      </c>
      <c r="D34" t="str">
        <f>Data!E34</f>
        <v>600160.SH</v>
      </c>
      <c r="E34" t="str">
        <f>Data!F34</f>
        <v>巨化股份</v>
      </c>
      <c r="F34" s="6">
        <f>Data!D34</f>
        <v>103.52</v>
      </c>
      <c r="G34" s="6">
        <f>Data!N34</f>
        <v>111.381781654156</v>
      </c>
      <c r="H34" s="2">
        <f t="shared" si="1"/>
        <v>-7.0584089582684917E-2</v>
      </c>
      <c r="I34" s="2">
        <f>IF(Data!V34=0,"",Data!V34)</f>
        <v>-9.8269310535246998E-2</v>
      </c>
      <c r="J34" s="2">
        <f>IF(Data!W34=0,"",Data!W34)</f>
        <v>1.51469832002359E-2</v>
      </c>
      <c r="K34" s="2">
        <f t="shared" si="2"/>
        <v>0.96620805777980046</v>
      </c>
      <c r="L34" s="2">
        <f>IF(Data!X34=0,"",Data!X34)</f>
        <v>-8.7464944556843893E-2</v>
      </c>
      <c r="M34" s="2">
        <f>IF(Data!Y34=0,"",Data!Y34)</f>
        <v>-0.10475193012228901</v>
      </c>
      <c r="N34" s="2" t="str">
        <f>IF(Data!Z34=0,"",Data!Z34)</f>
        <v/>
      </c>
      <c r="O34" s="2" t="str">
        <f>IF(Data!AA34=0,"",Data!AA34)</f>
        <v/>
      </c>
      <c r="P34" s="2" t="str">
        <f>IF(Data!AB34=0,"",Data!AB34)</f>
        <v/>
      </c>
      <c r="Q34" s="2" t="str">
        <f>IF(Data!AC34=0,"",Data!AC34)</f>
        <v/>
      </c>
      <c r="R34" s="2" t="str">
        <f>IF(Data!AD34=0,"",Data!AD34)</f>
        <v/>
      </c>
      <c r="S34" s="2" t="str">
        <f>IF(Data!AE34=0,"",Data!AE34)</f>
        <v/>
      </c>
      <c r="T34" s="2" t="str">
        <f>IF(Data!AF34=0,"",Data!AF34)</f>
        <v/>
      </c>
      <c r="U34" s="2" t="str">
        <f>IF(Data!AG34=0,"",Data!AG34)</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4"/>
  <sheetViews>
    <sheetView workbookViewId="0"/>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115</v>
      </c>
      <c r="B1" t="s">
        <v>109</v>
      </c>
      <c r="C1" t="s">
        <v>109</v>
      </c>
      <c r="D1" t="s">
        <v>111</v>
      </c>
      <c r="E1" t="s">
        <v>112</v>
      </c>
      <c r="F1" t="s">
        <v>136</v>
      </c>
      <c r="G1" t="s">
        <v>120</v>
      </c>
      <c r="H1" s="5" t="str">
        <f>Data!P1</f>
        <v>Delta</v>
      </c>
      <c r="I1" s="4" t="str">
        <f>Data!Q1</f>
        <v>对冲比例</v>
      </c>
      <c r="J1" s="2" t="s">
        <v>138</v>
      </c>
      <c r="K1" t="str">
        <f>Data!R1</f>
        <v>Theta</v>
      </c>
      <c r="L1" t="str">
        <f>Data!S1</f>
        <v>期权流逝</v>
      </c>
      <c r="M1" t="str">
        <f>Data!T1</f>
        <v>溢价流逝</v>
      </c>
      <c r="N1" t="s">
        <v>127</v>
      </c>
      <c r="O1" t="s">
        <v>128</v>
      </c>
    </row>
    <row r="2" spans="1:15">
      <c r="A2" s="1">
        <f>Data!A2</f>
        <v>43032</v>
      </c>
      <c r="B2" t="str">
        <f>Data!B2</f>
        <v>110030.SH</v>
      </c>
      <c r="C2" t="str">
        <f>Data!C2</f>
        <v>格力转债</v>
      </c>
      <c r="D2" t="str">
        <f>Data!E2</f>
        <v>600185.SH</v>
      </c>
      <c r="E2" t="str">
        <f>Data!F2</f>
        <v>格力地产</v>
      </c>
      <c r="F2" s="6">
        <f>Data!L2</f>
        <v>98.372500000000002</v>
      </c>
      <c r="G2" s="6">
        <f>Data!M2</f>
        <v>9.4031065656380992</v>
      </c>
      <c r="H2" s="5">
        <f>Data!P2</f>
        <v>0.454254459900237</v>
      </c>
      <c r="I2" s="3">
        <f>Data!Q2</f>
        <v>6.2742328715502298</v>
      </c>
      <c r="J2" t="str">
        <f>ROUND(10*Data!D2,0)&amp;":"&amp;ROUND(Data!G2*I2*10,0)</f>
        <v>1111:388</v>
      </c>
      <c r="K2">
        <f>Data!R2</f>
        <v>-0.25774486978792299</v>
      </c>
      <c r="L2" s="6">
        <f>Data!S2</f>
        <v>-2.4236024773623499</v>
      </c>
      <c r="M2" s="6">
        <f>Data!T2</f>
        <v>-5.8947269279393097</v>
      </c>
      <c r="N2" s="2">
        <f>Data!J2</f>
        <v>0.271491248438678</v>
      </c>
      <c r="O2" s="2">
        <f>Data!K2</f>
        <v>0.35545823479178401</v>
      </c>
    </row>
    <row r="3" spans="1:15">
      <c r="A3" s="1">
        <f>Data!A3</f>
        <v>43032</v>
      </c>
      <c r="B3" t="str">
        <f>Data!B3</f>
        <v>110031.SH</v>
      </c>
      <c r="C3" t="str">
        <f>Data!C3</f>
        <v>航信转债</v>
      </c>
      <c r="D3" t="str">
        <f>Data!E3</f>
        <v>600271.SH</v>
      </c>
      <c r="E3" t="str">
        <f>Data!F3</f>
        <v>航天信息</v>
      </c>
      <c r="F3" s="6">
        <f>Data!L3</f>
        <v>94.054599999999994</v>
      </c>
      <c r="G3" s="6">
        <f>Data!M3</f>
        <v>0.59960198082326599</v>
      </c>
      <c r="H3" s="5">
        <f>Data!P3</f>
        <v>7.75178879215805E-2</v>
      </c>
      <c r="I3" s="3">
        <f>Data!Q3</f>
        <v>0.18111656056444</v>
      </c>
      <c r="J3" t="str">
        <f>ROUND(10*Data!D3,0)&amp;":"&amp;ROUND(Data!G3*I3*10,0)</f>
        <v>1039:34</v>
      </c>
      <c r="K3">
        <f>Data!R3</f>
        <v>-0.19244802332393501</v>
      </c>
      <c r="L3" s="6">
        <f>Data!S3</f>
        <v>-0.11539221599055401</v>
      </c>
      <c r="M3" s="6">
        <f>Data!T3</f>
        <v>-2.7211217948718001</v>
      </c>
      <c r="N3" s="2">
        <f>Data!J3</f>
        <v>0.245576317618273</v>
      </c>
      <c r="O3" s="2">
        <f>Data!K3</f>
        <v>0.60889545651174504</v>
      </c>
    </row>
    <row r="4" spans="1:15">
      <c r="A4" s="1">
        <f>Data!A4</f>
        <v>43032</v>
      </c>
      <c r="B4" t="str">
        <f>Data!B4</f>
        <v>110032.SH</v>
      </c>
      <c r="C4" t="str">
        <f>Data!C4</f>
        <v>三一转债</v>
      </c>
      <c r="D4" t="str">
        <f>Data!E4</f>
        <v>600031.SH</v>
      </c>
      <c r="E4" t="str">
        <f>Data!F4</f>
        <v>三一重工</v>
      </c>
      <c r="F4" s="6">
        <f>Data!L4</f>
        <v>91.323899999999995</v>
      </c>
      <c r="G4" s="6">
        <f>Data!M4</f>
        <v>29.526749023787399</v>
      </c>
      <c r="H4" s="5">
        <f>Data!P4</f>
        <v>0.69163501737560096</v>
      </c>
      <c r="I4" s="3">
        <f>Data!Q4</f>
        <v>9.3086812567375592</v>
      </c>
      <c r="J4" t="str">
        <f>ROUND(10*Data!D4,0)&amp;":"&amp;ROUND(Data!G4*I4*10,0)</f>
        <v>1183:734</v>
      </c>
      <c r="K4">
        <f>Data!R4</f>
        <v>-0.24178981713513401</v>
      </c>
      <c r="L4" s="6">
        <f>Data!S4</f>
        <v>-7.1392672470565604</v>
      </c>
      <c r="M4" s="6">
        <f>Data!T4</f>
        <v>-6.4169001305483002</v>
      </c>
      <c r="N4" s="2">
        <f>Data!J4</f>
        <v>0.285040136255027</v>
      </c>
      <c r="O4" s="2">
        <f>Data!K4</f>
        <v>0.25558650897053697</v>
      </c>
    </row>
    <row r="5" spans="1:15">
      <c r="A5" s="1">
        <f>Data!A5</f>
        <v>43032</v>
      </c>
      <c r="B5" t="str">
        <f>Data!B5</f>
        <v>110033.SH</v>
      </c>
      <c r="C5" t="str">
        <f>Data!C5</f>
        <v>国贸转债</v>
      </c>
      <c r="D5" t="str">
        <f>Data!E5</f>
        <v>600755.SH</v>
      </c>
      <c r="E5" t="str">
        <f>Data!F5</f>
        <v>厦门国贸</v>
      </c>
      <c r="F5" s="6">
        <f>Data!L5</f>
        <v>92.840900000000005</v>
      </c>
      <c r="G5" s="6">
        <f>Data!M5</f>
        <v>54.409537824969703</v>
      </c>
      <c r="H5" s="5">
        <f>Data!P5</f>
        <v>0.77524081555589996</v>
      </c>
      <c r="I5" s="3">
        <f>Data!Q5</f>
        <v>8.7995552276492592</v>
      </c>
      <c r="J5" t="str">
        <f>ROUND(10*Data!D5,0)&amp;":"&amp;ROUND(Data!G5*I5*10,0)</f>
        <v>1277:958</v>
      </c>
      <c r="K5">
        <f>Data!R5</f>
        <v>-0.40615544029907402</v>
      </c>
      <c r="L5" s="6">
        <f>Data!S5</f>
        <v>-22.098729791769699</v>
      </c>
      <c r="M5" s="6">
        <f>Data!T5</f>
        <v>-8.28992857142857</v>
      </c>
      <c r="N5" s="2">
        <f>Data!J5</f>
        <v>0.44129076235999398</v>
      </c>
      <c r="O5" s="2">
        <f>Data!K5</f>
        <v>0.184497992956595</v>
      </c>
    </row>
    <row r="6" spans="1:15">
      <c r="A6" s="1">
        <f>Data!A6</f>
        <v>43032</v>
      </c>
      <c r="B6" t="str">
        <f>Data!B6</f>
        <v>110034.SH</v>
      </c>
      <c r="C6" t="str">
        <f>Data!C6</f>
        <v>九州转债</v>
      </c>
      <c r="D6" t="str">
        <f>Data!E6</f>
        <v>600998.SH</v>
      </c>
      <c r="E6" t="str">
        <f>Data!F6</f>
        <v>九州通</v>
      </c>
      <c r="F6" s="6">
        <f>Data!L6</f>
        <v>91.728300000000004</v>
      </c>
      <c r="G6" s="6">
        <f>Data!M6</f>
        <v>32.871976745038602</v>
      </c>
      <c r="H6" s="5">
        <f>Data!P6</f>
        <v>0.77419992439525498</v>
      </c>
      <c r="I6" s="3">
        <f>Data!Q6</f>
        <v>4.1512060289289803</v>
      </c>
      <c r="J6" t="str">
        <f>ROUND(10*Data!D6,0)&amp;":"&amp;ROUND(Data!G6*I6*10,0)</f>
        <v>1272:916</v>
      </c>
      <c r="K6">
        <f>Data!R6</f>
        <v>-0.50299816859155499</v>
      </c>
      <c r="L6" s="6">
        <f>Data!S6</f>
        <v>-16.5345441007386</v>
      </c>
      <c r="M6" s="6">
        <f>Data!T6</f>
        <v>-8.3885184705119897</v>
      </c>
      <c r="N6" s="2">
        <f>Data!J6</f>
        <v>0.20997084055079801</v>
      </c>
      <c r="O6" s="2">
        <f>Data!K6</f>
        <v>0.24881620815528399</v>
      </c>
    </row>
    <row r="7" spans="1:15">
      <c r="A7" s="1">
        <f>Data!A7</f>
        <v>43032</v>
      </c>
      <c r="B7" t="str">
        <f>Data!B7</f>
        <v>113008.SH</v>
      </c>
      <c r="C7" t="str">
        <f>Data!C7</f>
        <v>电气转债</v>
      </c>
      <c r="D7" t="str">
        <f>Data!E7</f>
        <v>601727.SH</v>
      </c>
      <c r="E7" t="str">
        <f>Data!F7</f>
        <v>上海电气</v>
      </c>
      <c r="F7" s="6">
        <f>Data!L7</f>
        <v>95.302300000000002</v>
      </c>
      <c r="G7" s="6">
        <f>Data!M7</f>
        <v>11.516133275796101</v>
      </c>
      <c r="H7" s="5">
        <f>Data!P7</f>
        <v>0.46462970220301397</v>
      </c>
      <c r="I7" s="3">
        <f>Data!Q7</f>
        <v>4.4419665602582601</v>
      </c>
      <c r="J7" t="str">
        <f>ROUND(10*Data!D7,0)&amp;":"&amp;ROUND(Data!G7*I7*10,0)</f>
        <v>1061:356</v>
      </c>
      <c r="K7">
        <f>Data!R7</f>
        <v>-0.318022669511967</v>
      </c>
      <c r="L7" s="6">
        <f>Data!S7</f>
        <v>-3.6623914468242802</v>
      </c>
      <c r="M7" s="6">
        <f>Data!T7</f>
        <v>-3.29345359531772</v>
      </c>
      <c r="N7" s="2">
        <f>Data!J7</f>
        <v>0.31877828896240001</v>
      </c>
      <c r="O7" s="2">
        <f>Data!K7</f>
        <v>0.31864836331899798</v>
      </c>
    </row>
    <row r="8" spans="1:15">
      <c r="A8" s="1">
        <f>Data!A8</f>
        <v>43032</v>
      </c>
      <c r="B8" t="str">
        <f>Data!B8</f>
        <v>113009.SH</v>
      </c>
      <c r="C8" t="str">
        <f>Data!C8</f>
        <v>广汽转债</v>
      </c>
      <c r="D8" t="str">
        <f>Data!E8</f>
        <v>601238.SH</v>
      </c>
      <c r="E8" t="str">
        <f>Data!F8</f>
        <v>广汽集团</v>
      </c>
      <c r="F8" s="6">
        <f>Data!L8</f>
        <v>91.028300000000002</v>
      </c>
      <c r="G8" s="6">
        <f>Data!M8</f>
        <v>42.5374224650052</v>
      </c>
      <c r="H8" s="5">
        <f>Data!P8</f>
        <v>0.82704485070647704</v>
      </c>
      <c r="I8" s="3">
        <f>Data!Q8</f>
        <v>3.8592853509401599</v>
      </c>
      <c r="J8" t="str">
        <f>ROUND(10*Data!D8,0)&amp;":"&amp;ROUND(Data!G8*I8*10,0)</f>
        <v>1312:1072</v>
      </c>
      <c r="K8">
        <f>Data!R8</f>
        <v>-0.58416625984487502</v>
      </c>
      <c r="L8" s="6">
        <f>Data!S8</f>
        <v>-24.8489269848235</v>
      </c>
      <c r="M8" s="6">
        <f>Data!T8</f>
        <v>-9.4649445161290302</v>
      </c>
      <c r="N8" s="2">
        <f>Data!J8</f>
        <v>0.21833547878026699</v>
      </c>
      <c r="O8" s="2">
        <f>Data!K8</f>
        <v>0.188369921255919</v>
      </c>
    </row>
    <row r="9" spans="1:15">
      <c r="A9" s="1">
        <f>Data!A9</f>
        <v>43032</v>
      </c>
      <c r="B9" t="str">
        <f>Data!B9</f>
        <v>113010.SH</v>
      </c>
      <c r="C9" t="str">
        <f>Data!C9</f>
        <v>江南转债</v>
      </c>
      <c r="D9" t="str">
        <f>Data!E9</f>
        <v>601199.SH</v>
      </c>
      <c r="E9" t="str">
        <f>Data!F9</f>
        <v>江南水务</v>
      </c>
      <c r="F9" s="6">
        <f>Data!L9</f>
        <v>92.254900000000006</v>
      </c>
      <c r="G9" s="6">
        <f>Data!M9</f>
        <v>2.3454991385800299</v>
      </c>
      <c r="H9" s="5">
        <f>Data!P9</f>
        <v>0.21379774554617501</v>
      </c>
      <c r="I9" s="3">
        <f>Data!Q9</f>
        <v>2.2989004897438199</v>
      </c>
      <c r="J9" t="str">
        <f>ROUND(10*Data!D9,0)&amp;":"&amp;ROUND(Data!G9*I9*10,0)</f>
        <v>1055:146</v>
      </c>
      <c r="K9">
        <f>Data!R9</f>
        <v>-8.6057162665695894E-2</v>
      </c>
      <c r="L9" s="6">
        <f>Data!S9</f>
        <v>-0.201847000901031</v>
      </c>
      <c r="M9" s="6">
        <f>Data!T9</f>
        <v>-3.0160598130841101</v>
      </c>
      <c r="N9" s="2">
        <f>Data!J9</f>
        <v>0.15576010476686</v>
      </c>
      <c r="O9" s="2">
        <f>Data!K9</f>
        <v>0.36688158682456401</v>
      </c>
    </row>
    <row r="10" spans="1:15">
      <c r="A10" s="1">
        <f>Data!A10</f>
        <v>43032</v>
      </c>
      <c r="B10" t="str">
        <f>Data!B10</f>
        <v>113011.SH</v>
      </c>
      <c r="C10" t="str">
        <f>Data!C10</f>
        <v>光大转债</v>
      </c>
      <c r="D10" t="str">
        <f>Data!E10</f>
        <v>601818.SH</v>
      </c>
      <c r="E10" t="str">
        <f>Data!F10</f>
        <v>光大银行</v>
      </c>
      <c r="F10" s="6">
        <f>Data!L10</f>
        <v>85.752700000000004</v>
      </c>
      <c r="G10" s="6">
        <f>Data!M10</f>
        <v>13.427161822697601</v>
      </c>
      <c r="H10" s="5">
        <f>Data!P10</f>
        <v>0.60616437013737101</v>
      </c>
      <c r="I10" s="3">
        <f>Data!Q10</f>
        <v>14.2292105666049</v>
      </c>
      <c r="J10" t="str">
        <f>ROUND(10*Data!D10,0)&amp;":"&amp;ROUND(Data!G10*I10*10,0)</f>
        <v>1113:579</v>
      </c>
      <c r="K10">
        <f>Data!R10</f>
        <v>-7.3939078324359503E-2</v>
      </c>
      <c r="L10" s="6">
        <f>Data!S10</f>
        <v>-0.99279196968229</v>
      </c>
      <c r="M10" s="6">
        <f>Data!T10</f>
        <v>-4.7391978161503303</v>
      </c>
      <c r="N10" s="2">
        <f>Data!J10</f>
        <v>0.13501648454956799</v>
      </c>
      <c r="O10" s="2">
        <f>Data!K10</f>
        <v>0.28029317871263498</v>
      </c>
    </row>
    <row r="11" spans="1:15">
      <c r="A11" s="1">
        <f>Data!A11</f>
        <v>43032</v>
      </c>
      <c r="B11" t="str">
        <f>Data!B11</f>
        <v>113012.SH</v>
      </c>
      <c r="C11" t="str">
        <f>Data!C11</f>
        <v>骆驼转债</v>
      </c>
      <c r="D11" t="str">
        <f>Data!E11</f>
        <v>601311.SH</v>
      </c>
      <c r="E11" t="str">
        <f>Data!F11</f>
        <v>骆驼股份</v>
      </c>
      <c r="F11" s="6">
        <f>Data!L11</f>
        <v>85.358800000000002</v>
      </c>
      <c r="G11" s="6">
        <f>Data!M11</f>
        <v>19.926636800807799</v>
      </c>
      <c r="H11" s="5">
        <f>Data!P11</f>
        <v>0.59459354462908198</v>
      </c>
      <c r="I11" s="3">
        <f>Data!Q11</f>
        <v>3.55618148701604</v>
      </c>
      <c r="J11" t="str">
        <f>ROUND(10*Data!D11,0)&amp;":"&amp;ROUND(Data!G11*I11*10,0)</f>
        <v>1108:526</v>
      </c>
      <c r="K11">
        <f>Data!R11</f>
        <v>-0.406330639338084</v>
      </c>
      <c r="L11" s="6">
        <f>Data!S11</f>
        <v>-8.0968030711300401</v>
      </c>
      <c r="M11" s="6">
        <f>Data!T11</f>
        <v>-4.7000215080971603</v>
      </c>
      <c r="N11" s="2">
        <f>Data!J11</f>
        <v>0.26302939620071503</v>
      </c>
      <c r="O11" s="2">
        <f>Data!K11</f>
        <v>0.33521379485894798</v>
      </c>
    </row>
    <row r="12" spans="1:15">
      <c r="A12" s="1">
        <f>Data!A12</f>
        <v>43032</v>
      </c>
      <c r="B12" t="str">
        <f>Data!B12</f>
        <v>113013.SH</v>
      </c>
      <c r="C12" t="str">
        <f>Data!C12</f>
        <v>国君转债</v>
      </c>
      <c r="D12" t="str">
        <f>Data!E12</f>
        <v>601211.SH</v>
      </c>
      <c r="E12" t="str">
        <f>Data!F12</f>
        <v>国泰君安</v>
      </c>
      <c r="F12" s="6">
        <f>Data!L12</f>
        <v>84.445800000000006</v>
      </c>
      <c r="G12" s="6">
        <f>Data!M12</f>
        <v>25.292926725646598</v>
      </c>
      <c r="H12" s="5">
        <f>Data!P12</f>
        <v>0.68791458080518597</v>
      </c>
      <c r="I12" s="3">
        <f>Data!Q12</f>
        <v>3.4055177267583501</v>
      </c>
      <c r="J12" t="str">
        <f>ROUND(10*Data!D12,0)&amp;":"&amp;ROUND(Data!G12*I12*10,0)</f>
        <v>1221:712</v>
      </c>
      <c r="K12">
        <f>Data!R12</f>
        <v>-0.45694333149660199</v>
      </c>
      <c r="L12" s="6">
        <f>Data!S12</f>
        <v>-11.557434201316401</v>
      </c>
      <c r="M12" s="6">
        <f>Data!T12</f>
        <v>-6.60227091346154</v>
      </c>
      <c r="N12" s="2">
        <f>Data!J12</f>
        <v>0.205094259731958</v>
      </c>
      <c r="O12" s="2">
        <f>Data!K12</f>
        <v>0.34867309669197999</v>
      </c>
    </row>
    <row r="13" spans="1:15">
      <c r="A13" s="1">
        <f>Data!A13</f>
        <v>43032</v>
      </c>
      <c r="B13" t="str">
        <f>Data!B13</f>
        <v>120001.SZ</v>
      </c>
      <c r="C13" t="str">
        <f>Data!C13</f>
        <v>16以岭EB</v>
      </c>
      <c r="D13" t="str">
        <f>Data!E13</f>
        <v>002603.SZ</v>
      </c>
      <c r="E13" t="str">
        <f>Data!F13</f>
        <v>以岭药业</v>
      </c>
      <c r="F13" s="6">
        <f>Data!L13</f>
        <v>94.659300000000002</v>
      </c>
      <c r="G13" s="6">
        <f>Data!M13</f>
        <v>12.4335157677853</v>
      </c>
      <c r="H13" s="5">
        <f>Data!P13</f>
        <v>0.57848876051506304</v>
      </c>
      <c r="I13" s="3">
        <f>Data!Q13</f>
        <v>3.2499368568262001</v>
      </c>
      <c r="J13" t="str">
        <f>ROUND(10*Data!D13,0)&amp;":"&amp;ROUND(Data!G13*I13*10,0)</f>
        <v>1085:556</v>
      </c>
      <c r="K13">
        <f>Data!R13</f>
        <v>-0.41395873791786197</v>
      </c>
      <c r="L13" s="6">
        <f>Data!S13</f>
        <v>-5.1469624951142299</v>
      </c>
      <c r="M13" s="6">
        <f>Data!T13</f>
        <v>-3.9688221872541298</v>
      </c>
      <c r="N13" s="2">
        <f>Data!J13</f>
        <v>0.166398072614624</v>
      </c>
      <c r="O13" s="2">
        <f>Data!K13</f>
        <v>0.193538625774483</v>
      </c>
    </row>
    <row r="14" spans="1:15">
      <c r="A14" s="1">
        <f>Data!A14</f>
        <v>43032</v>
      </c>
      <c r="B14" t="str">
        <f>Data!B14</f>
        <v>123001.SZ</v>
      </c>
      <c r="C14" t="str">
        <f>Data!C14</f>
        <v>蓝标转债</v>
      </c>
      <c r="D14" t="str">
        <f>Data!E14</f>
        <v>300058.SZ</v>
      </c>
      <c r="E14" t="str">
        <f>Data!F14</f>
        <v>蓝色光标</v>
      </c>
      <c r="F14" s="6">
        <f>Data!L14</f>
        <v>93.541600000000003</v>
      </c>
      <c r="G14" s="6">
        <f>Data!M14</f>
        <v>14.514382400561599</v>
      </c>
      <c r="H14" s="5">
        <f>Data!P14</f>
        <v>0.517403379521717</v>
      </c>
      <c r="I14" s="3">
        <f>Data!Q14</f>
        <v>5.2958380708466404</v>
      </c>
      <c r="J14" t="str">
        <f>ROUND(10*Data!D14,0)&amp;":"&amp;ROUND(Data!G14*I14*10,0)</f>
        <v>1044:417</v>
      </c>
      <c r="K14">
        <f>Data!R14</f>
        <v>-0.26614349976707702</v>
      </c>
      <c r="L14" s="6">
        <f>Data!S14</f>
        <v>-3.8629085290431302</v>
      </c>
      <c r="M14" s="6">
        <f>Data!T14</f>
        <v>-2.6239042904290399</v>
      </c>
      <c r="N14" s="2">
        <f>Data!J14</f>
        <v>0.29354155994994002</v>
      </c>
      <c r="O14" s="2">
        <f>Data!K14</f>
        <v>0.24721536323294199</v>
      </c>
    </row>
    <row r="15" spans="1:15">
      <c r="A15" s="1">
        <f>Data!A15</f>
        <v>43032</v>
      </c>
      <c r="B15" t="str">
        <f>Data!B15</f>
        <v>127003.SZ</v>
      </c>
      <c r="C15" t="str">
        <f>Data!C15</f>
        <v>海印转债</v>
      </c>
      <c r="D15" t="str">
        <f>Data!E15</f>
        <v>000861.SZ</v>
      </c>
      <c r="E15" t="str">
        <f>Data!F15</f>
        <v>海印股份</v>
      </c>
      <c r="F15" s="6">
        <f>Data!L15</f>
        <v>93.077200000000005</v>
      </c>
      <c r="G15" s="6">
        <f>Data!M15</f>
        <v>4.9652669088358197</v>
      </c>
      <c r="H15" s="5">
        <f>Data!P15</f>
        <v>0.32125338070898402</v>
      </c>
      <c r="I15" s="3">
        <f>Data!Q15</f>
        <v>6.1191120135044699</v>
      </c>
      <c r="J15" t="str">
        <f>ROUND(10*Data!D15,0)&amp;":"&amp;ROUND(Data!G15*I15*10,0)</f>
        <v>1009:228</v>
      </c>
      <c r="K15">
        <f>Data!R15</f>
        <v>-7.3249346893345404E-2</v>
      </c>
      <c r="L15" s="6">
        <f>Data!S15</f>
        <v>-0.363702558223363</v>
      </c>
      <c r="M15" s="6">
        <f>Data!T15</f>
        <v>-1.6995542382928299</v>
      </c>
      <c r="N15" s="2">
        <f>Data!J15</f>
        <v>0.191137763729572</v>
      </c>
      <c r="O15" s="2">
        <f>Data!K15</f>
        <v>0.243463446894744</v>
      </c>
    </row>
    <row r="16" spans="1:15">
      <c r="A16" s="1">
        <f>Data!A16</f>
        <v>43032</v>
      </c>
      <c r="B16" t="str">
        <f>Data!B16</f>
        <v>127004.SZ</v>
      </c>
      <c r="C16" t="str">
        <f>Data!C16</f>
        <v>模塑转债</v>
      </c>
      <c r="D16" t="str">
        <f>Data!E16</f>
        <v>000700.SZ</v>
      </c>
      <c r="E16" t="str">
        <f>Data!F16</f>
        <v>模塑科技</v>
      </c>
      <c r="F16" s="6">
        <f>Data!L16</f>
        <v>89.168499999999995</v>
      </c>
      <c r="G16" s="6">
        <f>Data!M16</f>
        <v>20.914213391166399</v>
      </c>
      <c r="H16" s="5">
        <f>Data!P16</f>
        <v>0.59573147044679797</v>
      </c>
      <c r="I16" s="3">
        <f>Data!Q16</f>
        <v>7.4466433805849803</v>
      </c>
      <c r="J16" t="str">
        <f>ROUND(10*Data!D16,0)&amp;":"&amp;ROUND(Data!G16*I16*10,0)</f>
        <v>1073:511</v>
      </c>
      <c r="K16">
        <f>Data!R16</f>
        <v>-0.19913058955428101</v>
      </c>
      <c r="L16" s="6">
        <f>Data!S16</f>
        <v>-4.1646596426469902</v>
      </c>
      <c r="M16" s="6">
        <f>Data!T16</f>
        <v>-3.2348526392961898</v>
      </c>
      <c r="N16" s="2">
        <f>Data!J16</f>
        <v>0.29029859763910898</v>
      </c>
      <c r="O16" s="2">
        <f>Data!K16</f>
        <v>0.25759504885818901</v>
      </c>
    </row>
    <row r="17" spans="1:15">
      <c r="A17" s="1">
        <f>Data!A17</f>
        <v>43032</v>
      </c>
      <c r="B17" t="str">
        <f>Data!B17</f>
        <v>128010.SZ</v>
      </c>
      <c r="C17" t="str">
        <f>Data!C17</f>
        <v>顺昌转债</v>
      </c>
      <c r="D17" t="str">
        <f>Data!E17</f>
        <v>002245.SZ</v>
      </c>
      <c r="E17" t="str">
        <f>Data!F17</f>
        <v>澳洋顺昌</v>
      </c>
      <c r="F17" s="6">
        <f>Data!L17</f>
        <v>93.042900000000003</v>
      </c>
      <c r="G17" s="6">
        <f>Data!M17</f>
        <v>22.591675082057002</v>
      </c>
      <c r="H17" s="5">
        <f>Data!P17</f>
        <v>0.62932871218971298</v>
      </c>
      <c r="I17" s="3">
        <f>Data!Q17</f>
        <v>6.7524539934518497</v>
      </c>
      <c r="J17" t="str">
        <f>ROUND(10*Data!D17,0)&amp;":"&amp;ROUND(Data!G17*I17*10,0)</f>
        <v>1152:606</v>
      </c>
      <c r="K17">
        <f>Data!R17</f>
        <v>-0.28097500105543799</v>
      </c>
      <c r="L17" s="6">
        <f>Data!S17</f>
        <v>-6.3476959300250897</v>
      </c>
      <c r="M17" s="6">
        <f>Data!T17</f>
        <v>-5.2095625806451604</v>
      </c>
      <c r="N17" s="2">
        <f>Data!J17</f>
        <v>0.27715014954785899</v>
      </c>
      <c r="O17" s="2">
        <f>Data!K17</f>
        <v>0.277843151317612</v>
      </c>
    </row>
    <row r="18" spans="1:15">
      <c r="A18" s="1">
        <f>Data!A18</f>
        <v>43032</v>
      </c>
      <c r="B18" t="str">
        <f>Data!B18</f>
        <v>128012.SZ</v>
      </c>
      <c r="C18" t="str">
        <f>Data!C18</f>
        <v>辉丰转债</v>
      </c>
      <c r="D18" t="str">
        <f>Data!E18</f>
        <v>002496.SZ</v>
      </c>
      <c r="E18" t="str">
        <f>Data!F18</f>
        <v>辉丰股份</v>
      </c>
      <c r="F18" s="6">
        <f>Data!L18</f>
        <v>87.382900000000006</v>
      </c>
      <c r="G18" s="6">
        <f>Data!M18</f>
        <v>13.1424819720917</v>
      </c>
      <c r="H18" s="5">
        <f>Data!P18</f>
        <v>0.49414256819918501</v>
      </c>
      <c r="I18" s="3">
        <f>Data!Q18</f>
        <v>6.3842709069662096</v>
      </c>
      <c r="J18" t="str">
        <f>ROUND(10*Data!D18,0)&amp;":"&amp;ROUND(Data!G18*I18*10,0)</f>
        <v>1050:380</v>
      </c>
      <c r="K18">
        <f>Data!R18</f>
        <v>-0.190328338084605</v>
      </c>
      <c r="L18" s="6">
        <f>Data!S18</f>
        <v>-2.5013867520551001</v>
      </c>
      <c r="M18" s="6">
        <f>Data!T18</f>
        <v>-3.9336043319097</v>
      </c>
      <c r="N18" s="2">
        <f>Data!J18</f>
        <v>0.28835252690049701</v>
      </c>
      <c r="O18" s="2">
        <f>Data!K18</f>
        <v>0.36331705924930402</v>
      </c>
    </row>
    <row r="19" spans="1:15">
      <c r="A19" s="1">
        <f>Data!A19</f>
        <v>43032</v>
      </c>
      <c r="B19" t="str">
        <f>Data!B19</f>
        <v>128013.SZ</v>
      </c>
      <c r="C19" t="str">
        <f>Data!C19</f>
        <v>洪涛转债</v>
      </c>
      <c r="D19" t="str">
        <f>Data!E19</f>
        <v>002325.SZ</v>
      </c>
      <c r="E19" t="str">
        <f>Data!F19</f>
        <v>洪涛股份</v>
      </c>
      <c r="F19" s="6">
        <f>Data!L19</f>
        <v>90.751000000000005</v>
      </c>
      <c r="G19" s="6">
        <f>Data!M19</f>
        <v>8.8536874593281905</v>
      </c>
      <c r="H19" s="5">
        <f>Data!P19</f>
        <v>0.40635406979008398</v>
      </c>
      <c r="I19" s="3">
        <f>Data!Q19</f>
        <v>4.0513865382859802</v>
      </c>
      <c r="J19" t="str">
        <f>ROUND(10*Data!D19,0)&amp;":"&amp;ROUND(Data!G19*I19*10,0)</f>
        <v>1009:247</v>
      </c>
      <c r="K19">
        <f>Data!R19</f>
        <v>-0.20173350779743701</v>
      </c>
      <c r="L19" s="6">
        <f>Data!S19</f>
        <v>-1.7860854281124501</v>
      </c>
      <c r="M19" s="6">
        <f>Data!T19</f>
        <v>-2.1388201956271602</v>
      </c>
      <c r="N19" s="2">
        <f>Data!J19</f>
        <v>0.32807070232811802</v>
      </c>
      <c r="O19" s="2">
        <f>Data!K19</f>
        <v>0.35633090878377</v>
      </c>
    </row>
    <row r="20" spans="1:15">
      <c r="A20" s="1">
        <f>Data!A20</f>
        <v>43032</v>
      </c>
      <c r="B20" t="str">
        <f>Data!B20</f>
        <v>128014.SZ</v>
      </c>
      <c r="C20" t="str">
        <f>Data!C20</f>
        <v>永东转债</v>
      </c>
      <c r="D20" t="str">
        <f>Data!E20</f>
        <v>002753.SZ</v>
      </c>
      <c r="E20" t="str">
        <f>Data!F20</f>
        <v>永东股份</v>
      </c>
      <c r="F20" s="6">
        <f>Data!L20</f>
        <v>88.181799999999996</v>
      </c>
      <c r="G20" s="6">
        <f>Data!M20</f>
        <v>52.153527245231501</v>
      </c>
      <c r="H20" s="5">
        <f>Data!P20</f>
        <v>0.76650856581443305</v>
      </c>
      <c r="I20" s="3">
        <f>Data!Q20</f>
        <v>3.7463761770011401</v>
      </c>
      <c r="J20" t="str">
        <f>ROUND(10*Data!D20,0)&amp;":"&amp;ROUND(Data!G20*I20*10,0)</f>
        <v>1145:787</v>
      </c>
      <c r="K20">
        <f>Data!R20</f>
        <v>-0.83625861373281596</v>
      </c>
      <c r="L20" s="6">
        <f>Data!S20</f>
        <v>-43.613836395373902</v>
      </c>
      <c r="M20" s="6">
        <f>Data!T20</f>
        <v>-4.808802</v>
      </c>
      <c r="N20" s="2">
        <f>Data!J20</f>
        <v>0.54923856464582899</v>
      </c>
      <c r="O20" s="2">
        <f>Data!K20</f>
        <v>0.232856095661478</v>
      </c>
    </row>
    <row r="21" spans="1:15">
      <c r="A21" s="1">
        <f>Data!A21</f>
        <v>43032</v>
      </c>
      <c r="B21" t="str">
        <f>Data!B21</f>
        <v>128015.SZ</v>
      </c>
      <c r="C21" t="str">
        <f>Data!C21</f>
        <v>久其转债</v>
      </c>
      <c r="D21" t="str">
        <f>Data!E21</f>
        <v>002279.SZ</v>
      </c>
      <c r="E21" t="str">
        <f>Data!F21</f>
        <v>久其软件</v>
      </c>
      <c r="F21" s="6">
        <f>Data!L21</f>
        <v>86.774600000000007</v>
      </c>
      <c r="G21" s="6">
        <f>Data!M21</f>
        <v>28.113814682511201</v>
      </c>
      <c r="H21" s="5">
        <f>Data!P21</f>
        <v>0.662965313889606</v>
      </c>
      <c r="I21" s="3">
        <f>Data!Q21</f>
        <v>5.1392659991442304</v>
      </c>
      <c r="J21" t="str">
        <f>ROUND(10*Data!D21,0)&amp;":"&amp;ROUND(Data!G21*I21*10,0)</f>
        <v>1138:641</v>
      </c>
      <c r="K21">
        <f>Data!R21</f>
        <v>-0.35160570853963702</v>
      </c>
      <c r="L21" s="6">
        <f>Data!S21</f>
        <v>-9.8849777311963898</v>
      </c>
      <c r="M21" s="6">
        <f>Data!T21</f>
        <v>-4.8048016569200804</v>
      </c>
      <c r="N21" s="2">
        <f>Data!J21</f>
        <v>0.29366414575765698</v>
      </c>
      <c r="O21" s="2">
        <f>Data!K21</f>
        <v>0.28153467036470498</v>
      </c>
    </row>
    <row r="22" spans="1:15">
      <c r="A22" s="1">
        <f>Data!A22</f>
        <v>43032</v>
      </c>
      <c r="B22" t="str">
        <f>Data!B22</f>
        <v>128016.SZ</v>
      </c>
      <c r="C22" t="str">
        <f>Data!C22</f>
        <v>雨虹转债</v>
      </c>
      <c r="D22" t="str">
        <f>Data!E22</f>
        <v>002271.SZ</v>
      </c>
      <c r="E22" t="str">
        <f>Data!F22</f>
        <v>东方雨虹</v>
      </c>
      <c r="F22" s="6">
        <f>Data!L22</f>
        <v>83.983500000000006</v>
      </c>
      <c r="G22" s="6">
        <f>Data!M22</f>
        <v>36.614137681884003</v>
      </c>
      <c r="H22" s="5">
        <f>Data!P22</f>
        <v>0.71083743548959799</v>
      </c>
      <c r="I22" s="3">
        <f>Data!Q22</f>
        <v>1.84729063276923</v>
      </c>
      <c r="J22" t="str">
        <f>ROUND(10*Data!D22,0)&amp;":"&amp;ROUND(Data!G22*I22*10,0)</f>
        <v>1199:738</v>
      </c>
      <c r="K22">
        <f>Data!R22</f>
        <v>-1.12858264817923</v>
      </c>
      <c r="L22" s="6">
        <f>Data!S22</f>
        <v>-41.322080465819496</v>
      </c>
      <c r="M22" s="6">
        <f>Data!T22</f>
        <v>-6.0730527533549301</v>
      </c>
      <c r="N22" s="2">
        <f>Data!J22</f>
        <v>0.32556289234385499</v>
      </c>
      <c r="O22" s="2">
        <f>Data!K22</f>
        <v>0.31814135392207399</v>
      </c>
    </row>
    <row r="23" spans="1:15">
      <c r="A23" s="1">
        <f>Data!A23</f>
        <v>43032</v>
      </c>
      <c r="B23" t="str">
        <f>Data!B23</f>
        <v>132001.SH</v>
      </c>
      <c r="C23" t="str">
        <f>Data!C23</f>
        <v>14宝钢EB</v>
      </c>
      <c r="D23" t="str">
        <f>Data!E23</f>
        <v>601336.SH</v>
      </c>
      <c r="E23" t="str">
        <f>Data!F23</f>
        <v>新华保险</v>
      </c>
      <c r="F23" s="6">
        <f>Data!L23</f>
        <v>102.47580000000001</v>
      </c>
      <c r="G23" s="6">
        <f>Data!M23</f>
        <v>41.539667277970203</v>
      </c>
      <c r="H23" s="5">
        <f>Data!P23</f>
        <v>0.99761233712639696</v>
      </c>
      <c r="I23" s="3">
        <f>Data!Q23</f>
        <v>2.3578641860704299</v>
      </c>
      <c r="J23" t="str">
        <f>ROUND(10*Data!D23,0)&amp;":"&amp;ROUND(Data!G23*I23*10,0)</f>
        <v>1403:1410</v>
      </c>
      <c r="K23">
        <f>Data!R23</f>
        <v>-0.85394786299707803</v>
      </c>
      <c r="L23" s="6">
        <f>Data!S23</f>
        <v>-35.472710101632302</v>
      </c>
      <c r="M23" s="6">
        <f>Data!T23</f>
        <v>-300.12680434782601</v>
      </c>
      <c r="N23" s="2">
        <f>Data!J23</f>
        <v>0.35520036544678302</v>
      </c>
      <c r="O23" s="2">
        <f>Data!K23</f>
        <v>0.39010288238525398</v>
      </c>
    </row>
    <row r="24" spans="1:15">
      <c r="A24" s="1">
        <f>Data!A24</f>
        <v>43032</v>
      </c>
      <c r="B24" t="str">
        <f>Data!B24</f>
        <v>132002.SH</v>
      </c>
      <c r="C24" t="str">
        <f>Data!C24</f>
        <v>15天集EB</v>
      </c>
      <c r="D24" t="str">
        <f>Data!E24</f>
        <v>600535.SH</v>
      </c>
      <c r="E24" t="str">
        <f>Data!F24</f>
        <v>天士力</v>
      </c>
      <c r="F24" s="6">
        <f>Data!L24</f>
        <v>91.385400000000004</v>
      </c>
      <c r="G24" s="6">
        <f>Data!M24</f>
        <v>0.66625971749444601</v>
      </c>
      <c r="H24" s="5">
        <f>Data!P24</f>
        <v>9.2071217696129706E-2</v>
      </c>
      <c r="I24" s="3">
        <f>Data!Q24</f>
        <v>0.16435419081779701</v>
      </c>
      <c r="J24" t="str">
        <f>ROUND(10*Data!D24,0)&amp;":"&amp;ROUND(Data!G24*I24*10,0)</f>
        <v>1036:60</v>
      </c>
      <c r="K24">
        <f>Data!R24</f>
        <v>-0.34908310161783801</v>
      </c>
      <c r="L24" s="6">
        <f>Data!S24</f>
        <v>-0.23258000866598599</v>
      </c>
      <c r="M24" s="6">
        <f>Data!T24</f>
        <v>-4.6586509926854696</v>
      </c>
      <c r="N24" s="2">
        <f>Data!J24</f>
        <v>0.16252786525961099</v>
      </c>
      <c r="O24" s="2">
        <f>Data!K24</f>
        <v>0.49791917384631101</v>
      </c>
    </row>
    <row r="25" spans="1:15">
      <c r="A25" s="1">
        <f>Data!A25</f>
        <v>43032</v>
      </c>
      <c r="B25" t="str">
        <f>Data!B25</f>
        <v>132003.SH</v>
      </c>
      <c r="C25" t="str">
        <f>Data!C25</f>
        <v>15清控EB</v>
      </c>
      <c r="D25" t="str">
        <f>Data!E25</f>
        <v>600109.SH</v>
      </c>
      <c r="E25" t="str">
        <f>Data!F25</f>
        <v>国金证券</v>
      </c>
      <c r="F25" s="6">
        <f>Data!L25</f>
        <v>97.5137</v>
      </c>
      <c r="G25" s="6">
        <f>Data!M25</f>
        <v>0.73037065539942603</v>
      </c>
      <c r="H25" s="5">
        <f>Data!P25</f>
        <v>9.6658612493243506E-2</v>
      </c>
      <c r="I25" s="3">
        <f>Data!Q25</f>
        <v>0.57706634324324502</v>
      </c>
      <c r="J25" t="str">
        <f>ROUND(10*Data!D25,0)&amp;":"&amp;ROUND(Data!G25*I25*10,0)</f>
        <v>1021:65</v>
      </c>
      <c r="K25">
        <f>Data!R25</f>
        <v>-0.269671572524877</v>
      </c>
      <c r="L25" s="6">
        <f>Data!S25</f>
        <v>-0.196960203167588</v>
      </c>
      <c r="M25" s="6">
        <f>Data!T25</f>
        <v>-4.6036871584699401</v>
      </c>
      <c r="N25" s="2">
        <f>Data!J25</f>
        <v>0.26438756486952902</v>
      </c>
      <c r="O25" s="2">
        <f>Data!K25</f>
        <v>0.51737748041352305</v>
      </c>
    </row>
    <row r="26" spans="1:15">
      <c r="A26" s="1">
        <f>Data!A26</f>
        <v>43032</v>
      </c>
      <c r="B26" t="str">
        <f>Data!B26</f>
        <v>132004.SH</v>
      </c>
      <c r="C26" t="str">
        <f>Data!C26</f>
        <v>15国盛EB</v>
      </c>
      <c r="D26" t="str">
        <f>Data!E26</f>
        <v>600170.SH</v>
      </c>
      <c r="E26" t="str">
        <f>Data!F26</f>
        <v>上海建工</v>
      </c>
      <c r="F26" s="6">
        <f>Data!L26</f>
        <v>89.914100000000005</v>
      </c>
      <c r="G26" s="6">
        <f>Data!M26</f>
        <v>0.44794989828538201</v>
      </c>
      <c r="H26" s="5">
        <f>Data!P26</f>
        <v>6.6091586340351199E-2</v>
      </c>
      <c r="I26" s="3">
        <f>Data!Q26</f>
        <v>0.97768618846673405</v>
      </c>
      <c r="J26" t="str">
        <f>ROUND(10*Data!D26,0)&amp;":"&amp;ROUND(Data!G26*I26*10,0)</f>
        <v>929:37</v>
      </c>
      <c r="K26">
        <f>Data!R26</f>
        <v>-2.2010827002999798E-2</v>
      </c>
      <c r="L26" s="6">
        <f>Data!S26</f>
        <v>-9.8597477171709098E-3</v>
      </c>
      <c r="M26" s="6">
        <f>Data!T26</f>
        <v>-0.72799150815217095</v>
      </c>
      <c r="N26" s="2">
        <f>Data!J26</f>
        <v>0.152416082844712</v>
      </c>
      <c r="O26" s="2">
        <f>Data!K26</f>
        <v>0.27787516080504299</v>
      </c>
    </row>
    <row r="27" spans="1:15">
      <c r="A27" s="1">
        <f>Data!A27</f>
        <v>43032</v>
      </c>
      <c r="B27" t="str">
        <f>Data!B27</f>
        <v>132005.SH</v>
      </c>
      <c r="C27" t="str">
        <f>Data!C27</f>
        <v>15国资EB</v>
      </c>
      <c r="D27" t="str">
        <f>Data!E27</f>
        <v>601601.SH</v>
      </c>
      <c r="E27" t="str">
        <f>Data!F27</f>
        <v>中国太保</v>
      </c>
      <c r="F27" s="6">
        <f>Data!L27</f>
        <v>99.317999999999998</v>
      </c>
      <c r="G27" s="6">
        <f>Data!M27</f>
        <v>25.047288410653699</v>
      </c>
      <c r="H27" s="5">
        <f>Data!P27</f>
        <v>0.67228475785529995</v>
      </c>
      <c r="I27" s="3">
        <f>Data!Q27</f>
        <v>1.7889429426697701</v>
      </c>
      <c r="J27" t="str">
        <f>ROUND(10*Data!D27,0)&amp;":"&amp;ROUND(Data!G27*I27*10,0)</f>
        <v>1254:708</v>
      </c>
      <c r="K27">
        <f>Data!R27</f>
        <v>-1.3978249067197399</v>
      </c>
      <c r="L27" s="6">
        <f>Data!S27</f>
        <v>-35.011723586204297</v>
      </c>
      <c r="M27" s="6">
        <f>Data!T27</f>
        <v>-8.3604210526315796</v>
      </c>
      <c r="N27" s="2">
        <f>Data!J27</f>
        <v>0.282062132881855</v>
      </c>
      <c r="O27" s="2">
        <f>Data!K27</f>
        <v>0.31986774261616902</v>
      </c>
    </row>
    <row r="28" spans="1:15">
      <c r="A28" s="1">
        <f>Data!A28</f>
        <v>43032</v>
      </c>
      <c r="B28" t="str">
        <f>Data!B28</f>
        <v>132006.SH</v>
      </c>
      <c r="C28" t="str">
        <f>Data!C28</f>
        <v>16皖新EB</v>
      </c>
      <c r="D28" t="str">
        <f>Data!E28</f>
        <v>601801.SH</v>
      </c>
      <c r="E28" t="str">
        <f>Data!F28</f>
        <v>皖新传媒</v>
      </c>
      <c r="F28" s="6">
        <f>Data!L28</f>
        <v>97.226900000000001</v>
      </c>
      <c r="G28" s="6">
        <f>Data!M28</f>
        <v>9.5634886459809092</v>
      </c>
      <c r="H28" s="5">
        <f>Data!P28</f>
        <v>0.43233827390028801</v>
      </c>
      <c r="I28" s="3">
        <f>Data!Q28</f>
        <v>2.6704031741833698</v>
      </c>
      <c r="J28" t="str">
        <f>ROUND(10*Data!D28,0)&amp;":"&amp;ROUND(Data!G28*I28*10,0)</f>
        <v>1020:326</v>
      </c>
      <c r="K28">
        <f>Data!R28</f>
        <v>-0.399911699113289</v>
      </c>
      <c r="L28" s="6">
        <f>Data!S28</f>
        <v>-3.8245509938648801</v>
      </c>
      <c r="M28" s="6">
        <f>Data!T28</f>
        <v>-1.3003227374719499</v>
      </c>
      <c r="N28" s="2">
        <f>Data!J28</f>
        <v>0.274239910285833</v>
      </c>
      <c r="O28" s="2">
        <f>Data!K28</f>
        <v>0.19314987070845499</v>
      </c>
    </row>
    <row r="29" spans="1:15">
      <c r="A29" s="1">
        <f>Data!A29</f>
        <v>43032</v>
      </c>
      <c r="B29" t="str">
        <f>Data!B29</f>
        <v>132007.SH</v>
      </c>
      <c r="C29" t="str">
        <f>Data!C29</f>
        <v>16凤凰EB</v>
      </c>
      <c r="D29" t="str">
        <f>Data!E29</f>
        <v>601928.SH</v>
      </c>
      <c r="E29" t="str">
        <f>Data!F29</f>
        <v>凤凰传媒</v>
      </c>
      <c r="F29" s="6">
        <f>Data!L29</f>
        <v>91.629199999999997</v>
      </c>
      <c r="G29" s="6">
        <f>Data!M29</f>
        <v>0.24759735902440699</v>
      </c>
      <c r="H29" s="5">
        <f>Data!P29</f>
        <v>4.3876894814462802E-2</v>
      </c>
      <c r="I29" s="3">
        <f>Data!Q29</f>
        <v>0.27858345913944599</v>
      </c>
      <c r="J29" t="str">
        <f>ROUND(10*Data!D29,0)&amp;":"&amp;ROUND(Data!G29*I29*10,0)</f>
        <v>927:26</v>
      </c>
      <c r="K29">
        <f>Data!R29</f>
        <v>-3.29760089010133E-2</v>
      </c>
      <c r="L29" s="6">
        <f>Data!S29</f>
        <v>-8.1647727150562302E-3</v>
      </c>
      <c r="M29" s="6">
        <f>Data!T29</f>
        <v>-0.27637491479209197</v>
      </c>
      <c r="N29" s="2">
        <f>Data!J29</f>
        <v>0.12822129824857301</v>
      </c>
      <c r="O29" s="2">
        <f>Data!K29</f>
        <v>0.21209726046650401</v>
      </c>
    </row>
    <row r="30" spans="1:15">
      <c r="A30" s="1">
        <f>Data!A30</f>
        <v>43032</v>
      </c>
      <c r="B30" t="str">
        <f>Data!B30</f>
        <v>132008.SH</v>
      </c>
      <c r="C30" t="str">
        <f>Data!C30</f>
        <v>17山高EB</v>
      </c>
      <c r="D30" t="str">
        <f>Data!E30</f>
        <v>600350.SH</v>
      </c>
      <c r="E30" t="str">
        <f>Data!F30</f>
        <v>山东高速</v>
      </c>
      <c r="F30" s="6">
        <f>Data!L30</f>
        <v>93.486800000000002</v>
      </c>
      <c r="G30" s="6">
        <f>Data!M30</f>
        <v>1.65427578437863</v>
      </c>
      <c r="H30" s="5">
        <f>Data!P30</f>
        <v>0.16312266939871101</v>
      </c>
      <c r="I30" s="3">
        <f>Data!Q30</f>
        <v>1.6645170346807301</v>
      </c>
      <c r="J30" t="str">
        <f>ROUND(10*Data!D30,0)&amp;":"&amp;ROUND(Data!G30*I30*10,0)</f>
        <v>954:99</v>
      </c>
      <c r="K30">
        <f>Data!R30</f>
        <v>-7.2396369064834099E-2</v>
      </c>
      <c r="L30" s="6">
        <f>Data!S30</f>
        <v>-0.119763560220893</v>
      </c>
      <c r="M30" s="6">
        <f>Data!T30</f>
        <v>-0.42750791717417702</v>
      </c>
      <c r="N30" s="2">
        <f>Data!J30</f>
        <v>0.17438726507056901</v>
      </c>
      <c r="O30" s="2">
        <f>Data!K30</f>
        <v>0.20645223911358701</v>
      </c>
    </row>
    <row r="31" spans="1:15">
      <c r="A31" s="1">
        <f>Data!A31</f>
        <v>43032</v>
      </c>
      <c r="B31" t="str">
        <f>Data!B31</f>
        <v>132009.SH</v>
      </c>
      <c r="C31" t="str">
        <f>Data!C31</f>
        <v>17中油EB</v>
      </c>
      <c r="D31" t="str">
        <f>Data!E31</f>
        <v>601857.SH</v>
      </c>
      <c r="E31" t="str">
        <f>Data!F31</f>
        <v>中国石油</v>
      </c>
      <c r="F31" s="6">
        <f>Data!L31</f>
        <v>88.619100000000003</v>
      </c>
      <c r="G31" s="6">
        <f>Data!M31</f>
        <v>9.0406723312005504</v>
      </c>
      <c r="H31" s="5">
        <f>Data!P31</f>
        <v>0.527728409362202</v>
      </c>
      <c r="I31" s="3">
        <f>Data!Q31</f>
        <v>5.9162377731188496</v>
      </c>
      <c r="J31" t="str">
        <f>ROUND(10*Data!D31,0)&amp;":"&amp;ROUND(Data!G31*I31*10,0)</f>
        <v>1017:483</v>
      </c>
      <c r="K31">
        <f>Data!R31</f>
        <v>-0.14456336403485001</v>
      </c>
      <c r="L31" s="6">
        <f>Data!S31</f>
        <v>-1.3069500053351499</v>
      </c>
      <c r="M31" s="6">
        <f>Data!T31</f>
        <v>-2.7726646341463401</v>
      </c>
      <c r="N31" s="2">
        <f>Data!J31</f>
        <v>0.122897659343153</v>
      </c>
      <c r="O31" s="2">
        <f>Data!K31</f>
        <v>0.177523262182156</v>
      </c>
    </row>
    <row r="32" spans="1:15">
      <c r="A32" s="1">
        <f>Data!A32</f>
        <v>43032</v>
      </c>
      <c r="B32" t="str">
        <f>Data!B32</f>
        <v>132010.SH</v>
      </c>
      <c r="C32" t="str">
        <f>Data!C32</f>
        <v>17桐昆EB</v>
      </c>
      <c r="D32" t="str">
        <f>Data!E32</f>
        <v>601233.SH</v>
      </c>
      <c r="E32" t="str">
        <f>Data!F32</f>
        <v>桐昆股份</v>
      </c>
      <c r="F32" s="6">
        <f>Data!L32</f>
        <v>92.473600000000005</v>
      </c>
      <c r="G32" s="6">
        <f>Data!M32</f>
        <v>25.465489188939099</v>
      </c>
      <c r="H32" s="5">
        <f>Data!P32</f>
        <v>0.63075840755854196</v>
      </c>
      <c r="I32" s="3">
        <f>Data!Q32</f>
        <v>3.6843364927484901</v>
      </c>
      <c r="J32" t="str">
        <f>ROUND(10*Data!D32,0)&amp;":"&amp;ROUND(Data!G32*I32*10,0)</f>
        <v>1140:600</v>
      </c>
      <c r="K32">
        <f>Data!R32</f>
        <v>-0.85531056712749498</v>
      </c>
      <c r="L32" s="6">
        <f>Data!S32</f>
        <v>-21.780902000370599</v>
      </c>
      <c r="M32" s="6">
        <f>Data!T32</f>
        <v>-7.7563040473840097</v>
      </c>
      <c r="N32" s="2">
        <f>Data!J32</f>
        <v>0.41585232779023201</v>
      </c>
      <c r="O32" s="2">
        <f>Data!K32</f>
        <v>0.35392310423602502</v>
      </c>
    </row>
    <row r="33" spans="1:15">
      <c r="A33" s="1">
        <f>Data!A33</f>
        <v>43032</v>
      </c>
      <c r="B33" t="str">
        <f>Data!B33</f>
        <v>132011.SH</v>
      </c>
      <c r="C33" t="str">
        <f>Data!C33</f>
        <v>17浙报EB</v>
      </c>
      <c r="D33" t="str">
        <f>Data!E33</f>
        <v>600633.SH</v>
      </c>
      <c r="E33" t="str">
        <f>Data!F33</f>
        <v>浙数文化</v>
      </c>
      <c r="F33" s="6">
        <f>Data!L33</f>
        <v>86.614400000000003</v>
      </c>
      <c r="G33" s="6">
        <f>Data!M33</f>
        <v>10.2545052571752</v>
      </c>
      <c r="H33" s="5">
        <f>Data!P33</f>
        <v>0.43736510237565002</v>
      </c>
      <c r="I33" s="3">
        <f>Data!Q33</f>
        <v>1.7494604095026001</v>
      </c>
      <c r="J33" t="str">
        <f>ROUND(10*Data!D33,0)&amp;":"&amp;ROUND(Data!G33*I33*10,0)</f>
        <v>929:295</v>
      </c>
      <c r="K33">
        <f>Data!R33</f>
        <v>-0.52746324867547101</v>
      </c>
      <c r="L33" s="6">
        <f>Data!S33</f>
        <v>-5.4088746565093402</v>
      </c>
      <c r="M33" s="6">
        <f>Data!T33</f>
        <v>-1.3057734775184999</v>
      </c>
      <c r="N33" s="2">
        <f>Data!J33</f>
        <v>0.30074899165774999</v>
      </c>
      <c r="O33" s="2">
        <f>Data!K33</f>
        <v>0.235003049983874</v>
      </c>
    </row>
    <row r="34" spans="1:15">
      <c r="A34" s="1">
        <f>Data!A34</f>
        <v>43032</v>
      </c>
      <c r="B34" t="str">
        <f>Data!B34</f>
        <v>132012.SH</v>
      </c>
      <c r="C34" t="str">
        <f>Data!C34</f>
        <v>17巨化EB</v>
      </c>
      <c r="D34" t="str">
        <f>Data!E34</f>
        <v>600160.SH</v>
      </c>
      <c r="E34" t="str">
        <f>Data!F34</f>
        <v>巨化股份</v>
      </c>
      <c r="F34" s="6">
        <f>Data!L34</f>
        <v>92.087400000000002</v>
      </c>
      <c r="G34" s="6">
        <f>Data!M34</f>
        <v>19.294381654155998</v>
      </c>
      <c r="H34" s="5">
        <f>Data!P34</f>
        <v>0.57185950479093095</v>
      </c>
      <c r="I34" s="3">
        <f>Data!Q34</f>
        <v>4.2391364328460401</v>
      </c>
      <c r="J34" t="str">
        <f>ROUND(10*Data!D34,0)&amp;":"&amp;ROUND(Data!G34*I34*10,0)</f>
        <v>1035:499</v>
      </c>
      <c r="K34">
        <f>Data!R34</f>
        <v>-0.58706482558754203</v>
      </c>
      <c r="L34" s="6">
        <f>Data!S34</f>
        <v>-11.327052800616601</v>
      </c>
      <c r="M34" s="6">
        <f>Data!T34</f>
        <v>-3.9932047846889902</v>
      </c>
      <c r="N34" s="2">
        <f>Data!J34</f>
        <v>0.38512108699300601</v>
      </c>
      <c r="O34" s="2">
        <f>Data!K34</f>
        <v>0.25288858299121098</v>
      </c>
    </row>
  </sheetData>
  <phoneticPr fontId="1" type="noConversion"/>
  <conditionalFormatting sqref="H2:H34">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4"/>
  <sheetViews>
    <sheetView workbookViewId="0">
      <selection activeCell="M10" sqref="M10"/>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 min="8" max="9" width="13.25" customWidth="1"/>
    <col min="11" max="12" width="14.75" customWidth="1"/>
  </cols>
  <sheetData>
    <row r="1" spans="2:12" ht="35.25" customHeight="1" thickBot="1"/>
    <row r="2" spans="2:12">
      <c r="B2" s="53" t="s">
        <v>187</v>
      </c>
      <c r="C2" s="54"/>
      <c r="E2" s="53" t="s">
        <v>187</v>
      </c>
      <c r="F2" s="54"/>
      <c r="H2" s="53" t="s">
        <v>210</v>
      </c>
      <c r="I2" s="54"/>
      <c r="K2" s="53" t="s">
        <v>218</v>
      </c>
      <c r="L2" s="54"/>
    </row>
    <row r="3" spans="2:12">
      <c r="B3" s="18" t="s">
        <v>170</v>
      </c>
      <c r="C3" s="14" t="s">
        <v>171</v>
      </c>
      <c r="E3" s="18" t="s">
        <v>167</v>
      </c>
      <c r="F3" s="14">
        <v>41.5</v>
      </c>
      <c r="H3" s="18" t="s">
        <v>111</v>
      </c>
      <c r="I3" s="14" t="s">
        <v>211</v>
      </c>
      <c r="K3" s="18" t="s">
        <v>111</v>
      </c>
      <c r="L3" s="14" t="s">
        <v>216</v>
      </c>
    </row>
    <row r="4" spans="2:12">
      <c r="B4" s="18" t="s">
        <v>173</v>
      </c>
      <c r="C4" s="14" t="s">
        <v>174</v>
      </c>
      <c r="E4" s="18" t="s">
        <v>169</v>
      </c>
      <c r="F4" s="14">
        <v>38.479999999999997</v>
      </c>
      <c r="H4" s="18" t="s">
        <v>172</v>
      </c>
      <c r="I4" s="19" t="str">
        <f>[1]!S_Info_Name(I3)</f>
        <v>林洋能源</v>
      </c>
      <c r="K4" s="18" t="s">
        <v>173</v>
      </c>
      <c r="L4" s="14"/>
    </row>
    <row r="5" spans="2:12" ht="14.25" thickBot="1">
      <c r="B5" s="18" t="s">
        <v>176</v>
      </c>
      <c r="C5" s="15">
        <v>1.4999999999999999E-2</v>
      </c>
      <c r="E5" s="18" t="s">
        <v>176</v>
      </c>
      <c r="F5" s="14">
        <v>1.4999999999999999E-2</v>
      </c>
      <c r="H5" s="18" t="s">
        <v>122</v>
      </c>
      <c r="I5" s="19">
        <f>RTD("wdf.rtq", ,I3, "LastPrice","RT_Price")</f>
        <v>8.93</v>
      </c>
      <c r="K5" s="18" t="s">
        <v>176</v>
      </c>
      <c r="L5" s="15">
        <v>1.4999999999999999E-2</v>
      </c>
    </row>
    <row r="6" spans="2:12">
      <c r="B6" s="53" t="s">
        <v>188</v>
      </c>
      <c r="C6" s="54"/>
      <c r="E6" s="18" t="s">
        <v>179</v>
      </c>
      <c r="F6" s="16">
        <v>0.35</v>
      </c>
      <c r="H6" s="39" t="s">
        <v>212</v>
      </c>
      <c r="I6" s="14">
        <v>1.7</v>
      </c>
      <c r="K6" s="53" t="s">
        <v>188</v>
      </c>
      <c r="L6" s="54"/>
    </row>
    <row r="7" spans="2:12" ht="14.25" thickBot="1">
      <c r="B7" s="18" t="s">
        <v>172</v>
      </c>
      <c r="C7" s="19" t="str">
        <f>[1]!S_Info_Name(C3)</f>
        <v>东方雨虹</v>
      </c>
      <c r="E7" s="20" t="s">
        <v>178</v>
      </c>
      <c r="F7" s="17">
        <v>5.94</v>
      </c>
      <c r="H7" s="39" t="s">
        <v>213</v>
      </c>
      <c r="I7" s="38">
        <v>0.15</v>
      </c>
      <c r="K7" s="18" t="s">
        <v>172</v>
      </c>
      <c r="L7" s="19" t="str">
        <f>[1]!S_Info_Name(L3)</f>
        <v>林洋能源</v>
      </c>
    </row>
    <row r="8" spans="2:12">
      <c r="B8" s="18" t="s">
        <v>168</v>
      </c>
      <c r="C8" s="19">
        <f>RTD("wdf.rtq", ,C3, "LastPrice","RT_Price")</f>
        <v>40</v>
      </c>
      <c r="E8" s="53" t="s">
        <v>190</v>
      </c>
      <c r="F8" s="54"/>
      <c r="H8" s="39" t="s">
        <v>214</v>
      </c>
      <c r="I8" s="40">
        <f>I7*I6</f>
        <v>0.255</v>
      </c>
      <c r="K8" s="18" t="s">
        <v>168</v>
      </c>
      <c r="L8" s="19">
        <f>RTD("wdf.rtq", ,L3, "LastPrice","RT_Price")</f>
        <v>8.93</v>
      </c>
    </row>
    <row r="9" spans="2:12" ht="14.25" thickBot="1">
      <c r="B9" s="20" t="s">
        <v>179</v>
      </c>
      <c r="C9" s="21">
        <f>[1]!s_risk_stdevr100(C3,"")/100</f>
        <v>0.35107254028320312</v>
      </c>
      <c r="E9" s="18" t="s">
        <v>192</v>
      </c>
      <c r="F9" s="24">
        <f>BlackScholes(F3,F4,F5,F7,0,F6,"C",0,0)</f>
        <v>16.0364369314429</v>
      </c>
      <c r="G9" t="s">
        <v>193</v>
      </c>
      <c r="H9" s="41" t="s">
        <v>215</v>
      </c>
      <c r="I9" s="42">
        <f>I8/I5</f>
        <v>2.8555431131019039E-2</v>
      </c>
      <c r="K9" s="20" t="s">
        <v>179</v>
      </c>
      <c r="L9" s="21">
        <f>[1]!s_risk_stdevr100(L3,"")/100</f>
        <v>0.38551273345947268</v>
      </c>
    </row>
    <row r="10" spans="2:12">
      <c r="B10" s="53" t="s">
        <v>189</v>
      </c>
      <c r="C10" s="54"/>
      <c r="E10" s="18" t="s">
        <v>191</v>
      </c>
      <c r="F10" s="24">
        <f>BlackScholes(F3,F4,F5,F7,0,F6,"C",0,0)*100/F4</f>
        <v>41.674732150319386</v>
      </c>
      <c r="G10" t="s">
        <v>194</v>
      </c>
      <c r="K10" s="53" t="s">
        <v>189</v>
      </c>
      <c r="L10" s="54"/>
    </row>
    <row r="11" spans="2:12">
      <c r="B11" s="18" t="s">
        <v>109</v>
      </c>
      <c r="C11" s="19" t="str">
        <f>[1]!S_Info_Name(C4)</f>
        <v>雨虹转债</v>
      </c>
      <c r="E11" s="18" t="s">
        <v>183</v>
      </c>
      <c r="F11" s="26">
        <f>BlackScholes(F3,F4,F5,F7,0,F6,"C",0,1)</f>
        <v>0.73221861513268105</v>
      </c>
      <c r="K11" s="18" t="s">
        <v>109</v>
      </c>
      <c r="L11" s="19" t="s">
        <v>217</v>
      </c>
    </row>
    <row r="12" spans="2:12" ht="14.25" thickBot="1">
      <c r="B12" s="18" t="s">
        <v>121</v>
      </c>
      <c r="C12" s="19">
        <f>IF(RTD("wdf.rtq", ,C4, "LastPrice","RT_Price")=0,100,RTD("wdf.rtq", ,C4, "LastPrice","RT_Price"))</f>
        <v>118.56100000000001</v>
      </c>
      <c r="E12" s="20" t="s">
        <v>184</v>
      </c>
      <c r="F12" s="28">
        <f>BlackScholes(F3,F4,F5,F7,0,F6,"C",0,2)</f>
        <v>9.3015210176909113E-3</v>
      </c>
      <c r="K12" s="18" t="s">
        <v>121</v>
      </c>
      <c r="L12" s="19">
        <v>100</v>
      </c>
    </row>
    <row r="13" spans="2:12">
      <c r="B13" s="18" t="s">
        <v>180</v>
      </c>
      <c r="C13" s="22">
        <f>[1]!cb_anal_straightbondvalue(C4,"")</f>
        <v>83.994399999999999</v>
      </c>
      <c r="K13" s="18" t="s">
        <v>180</v>
      </c>
      <c r="L13" s="22">
        <v>81</v>
      </c>
    </row>
    <row r="14" spans="2:12">
      <c r="B14" s="18" t="s">
        <v>175</v>
      </c>
      <c r="C14" s="22">
        <f>[1]!cb_clause_conversion2_swapshareprice(C4,"")</f>
        <v>38.479999999999997</v>
      </c>
      <c r="K14" s="18" t="s">
        <v>175</v>
      </c>
      <c r="L14" s="22">
        <v>8.8000000000000007</v>
      </c>
    </row>
    <row r="15" spans="2:12" ht="14.25" thickBot="1">
      <c r="B15" s="18" t="s">
        <v>177</v>
      </c>
      <c r="C15" s="19" t="str">
        <f>[1]!cb_info_maturitydate(C4)</f>
        <v>2023-09-25</v>
      </c>
      <c r="K15" s="20" t="s">
        <v>178</v>
      </c>
      <c r="L15" s="23">
        <v>6</v>
      </c>
    </row>
    <row r="16" spans="2:12" ht="14.25" thickBot="1">
      <c r="B16" s="20" t="s">
        <v>178</v>
      </c>
      <c r="C16" s="23">
        <f ca="1">(C15-TODAY())/365</f>
        <v>5.9205479452054792</v>
      </c>
      <c r="K16" s="53" t="s">
        <v>190</v>
      </c>
      <c r="L16" s="54"/>
    </row>
    <row r="17" spans="2:16">
      <c r="B17" s="53" t="s">
        <v>195</v>
      </c>
      <c r="C17" s="54"/>
      <c r="K17" s="18" t="s">
        <v>120</v>
      </c>
      <c r="L17" s="24">
        <f>BlackScholes(L8,L14,L5,L15,0,L9,"C",0,0)*100/L14</f>
        <v>40.264947854540459</v>
      </c>
    </row>
    <row r="18" spans="2:16">
      <c r="B18" s="18" t="s">
        <v>120</v>
      </c>
      <c r="C18" s="24">
        <f ca="1">BlackScholes(C8,C14,C5,C16,0,C9,"C",0,0)*100/C14</f>
        <v>38.880350489288013</v>
      </c>
      <c r="K18" s="18" t="s">
        <v>181</v>
      </c>
      <c r="L18" s="24">
        <f>L17+L13</f>
        <v>121.26494785454045</v>
      </c>
    </row>
    <row r="19" spans="2:16">
      <c r="B19" s="18" t="s">
        <v>181</v>
      </c>
      <c r="C19" s="24">
        <f ca="1">C18+C13</f>
        <v>122.874750489288</v>
      </c>
      <c r="K19" s="18" t="s">
        <v>151</v>
      </c>
      <c r="L19" s="25">
        <f>L12/L18-1</f>
        <v>-0.17535939470363815</v>
      </c>
    </row>
    <row r="20" spans="2:16">
      <c r="B20" s="18" t="s">
        <v>182</v>
      </c>
      <c r="C20" s="25">
        <f ca="1">C12/C19-1</f>
        <v>-3.5106891140048058E-2</v>
      </c>
      <c r="K20" s="18" t="s">
        <v>135</v>
      </c>
      <c r="L20" s="26">
        <f>BlackScholes(L8,L14,L5,L15,0,L9,"C",0,1)</f>
        <v>0.720050657262573</v>
      </c>
    </row>
    <row r="21" spans="2:16">
      <c r="B21" s="18" t="s">
        <v>183</v>
      </c>
      <c r="C21" s="26">
        <f ca="1">BlackScholes(C8,C14,C5,C16,0,C9,"C",0,1)</f>
        <v>0.7178382405246686</v>
      </c>
      <c r="K21" s="18" t="s">
        <v>184</v>
      </c>
      <c r="L21" s="26">
        <f>BlackScholes(L8,L14,L5,L15,0,L9,"C",0,2)</f>
        <v>3.9915384879874692E-2</v>
      </c>
    </row>
    <row r="22" spans="2:16">
      <c r="B22" s="18" t="s">
        <v>184</v>
      </c>
      <c r="C22" s="26">
        <f ca="1">BlackScholes(C8,C14,C5,C16,0,C9,"C",0,2)</f>
        <v>9.8882633057519875E-3</v>
      </c>
      <c r="K22" s="18" t="s">
        <v>137</v>
      </c>
      <c r="L22" s="26">
        <f>L20*100/L14</f>
        <v>8.1823938325292378</v>
      </c>
    </row>
    <row r="23" spans="2:16" ht="14.25" thickBot="1">
      <c r="B23" s="18" t="s">
        <v>185</v>
      </c>
      <c r="C23" s="26">
        <f ca="1">C21*100/C14</f>
        <v>1.8654839930474756</v>
      </c>
      <c r="K23" s="20" t="s">
        <v>138</v>
      </c>
      <c r="L23" s="27" t="str">
        <f>ROUND(10*L12,0)&amp;":"&amp;ROUND(L8*L22*10,0)</f>
        <v>1000:731</v>
      </c>
      <c r="P23">
        <f>200*0.15</f>
        <v>30</v>
      </c>
    </row>
    <row r="24" spans="2:16" ht="14.25" thickBot="1">
      <c r="B24" s="20" t="s">
        <v>186</v>
      </c>
      <c r="C24" s="27" t="str">
        <f ca="1">ROUND(10*C12,0)&amp;":"&amp;ROUND(C8*C23*10,0)</f>
        <v>1186:746</v>
      </c>
    </row>
  </sheetData>
  <mergeCells count="11">
    <mergeCell ref="B2:C2"/>
    <mergeCell ref="B6:C6"/>
    <mergeCell ref="B10:C10"/>
    <mergeCell ref="B17:C17"/>
    <mergeCell ref="E2:F2"/>
    <mergeCell ref="E8:F8"/>
    <mergeCell ref="K16:L16"/>
    <mergeCell ref="H2:I2"/>
    <mergeCell ref="K2:L2"/>
    <mergeCell ref="K6:L6"/>
    <mergeCell ref="K10:L10"/>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34"/>
  <sheetViews>
    <sheetView workbookViewId="0">
      <selection activeCell="U1" sqref="U1"/>
    </sheetView>
  </sheetViews>
  <sheetFormatPr defaultRowHeight="13.5"/>
  <sheetData>
    <row r="1" spans="1:36">
      <c r="A1" t="s">
        <v>219</v>
      </c>
      <c r="B1" t="s">
        <v>0</v>
      </c>
      <c r="C1" t="s">
        <v>1</v>
      </c>
      <c r="D1" t="s">
        <v>220</v>
      </c>
      <c r="E1" t="s">
        <v>229</v>
      </c>
      <c r="F1" t="s">
        <v>2</v>
      </c>
      <c r="G1" t="s">
        <v>221</v>
      </c>
      <c r="H1" t="s">
        <v>222</v>
      </c>
      <c r="I1" t="s">
        <v>3</v>
      </c>
      <c r="J1" t="s">
        <v>4</v>
      </c>
      <c r="K1" t="s">
        <v>106</v>
      </c>
      <c r="L1" t="s">
        <v>223</v>
      </c>
      <c r="M1" t="s">
        <v>224</v>
      </c>
      <c r="N1" t="s">
        <v>5</v>
      </c>
      <c r="O1" t="s">
        <v>107</v>
      </c>
      <c r="P1" t="s">
        <v>6</v>
      </c>
      <c r="Q1" t="s">
        <v>225</v>
      </c>
      <c r="R1" t="s">
        <v>7</v>
      </c>
      <c r="S1" t="s">
        <v>8</v>
      </c>
      <c r="T1" t="s">
        <v>9</v>
      </c>
      <c r="U1" t="s">
        <v>108</v>
      </c>
      <c r="V1" t="s">
        <v>263</v>
      </c>
      <c r="W1" t="s">
        <v>264</v>
      </c>
      <c r="X1" s="43">
        <v>43009</v>
      </c>
      <c r="Y1" s="43">
        <v>42979</v>
      </c>
      <c r="Z1" s="43">
        <v>42948</v>
      </c>
      <c r="AA1" s="43">
        <v>42917</v>
      </c>
      <c r="AB1" s="43">
        <v>42887</v>
      </c>
      <c r="AC1" s="43">
        <v>42856</v>
      </c>
      <c r="AD1" s="43">
        <v>42826</v>
      </c>
      <c r="AE1" s="43">
        <v>42795</v>
      </c>
      <c r="AF1" s="43">
        <v>42767</v>
      </c>
      <c r="AG1" s="43">
        <v>42736</v>
      </c>
      <c r="AH1" s="43">
        <v>42705</v>
      </c>
      <c r="AI1" s="43">
        <v>42675</v>
      </c>
      <c r="AJ1" s="43">
        <v>42644</v>
      </c>
    </row>
    <row r="2" spans="1:36">
      <c r="A2" s="1">
        <v>43032</v>
      </c>
      <c r="B2" t="s">
        <v>27</v>
      </c>
      <c r="C2" t="s">
        <v>59</v>
      </c>
      <c r="D2">
        <v>111.14709999999999</v>
      </c>
      <c r="E2" t="s">
        <v>230</v>
      </c>
      <c r="F2" t="s">
        <v>91</v>
      </c>
      <c r="G2">
        <v>6.18</v>
      </c>
      <c r="H2">
        <v>7.24</v>
      </c>
      <c r="I2">
        <v>2.1671232876712301</v>
      </c>
      <c r="J2">
        <v>0.271491248438678</v>
      </c>
      <c r="K2">
        <v>0.35545823479178401</v>
      </c>
      <c r="L2">
        <v>98.372500000000002</v>
      </c>
      <c r="M2">
        <v>9.4031065656380992</v>
      </c>
      <c r="N2">
        <v>107.775606565638</v>
      </c>
      <c r="O2">
        <v>9.4584299290191201</v>
      </c>
      <c r="P2">
        <v>0.454254459900237</v>
      </c>
      <c r="Q2">
        <v>6.2742328715502298</v>
      </c>
      <c r="R2">
        <v>-0.25774486978792299</v>
      </c>
      <c r="S2">
        <v>-2.4236024773623499</v>
      </c>
      <c r="T2">
        <v>-5.8947269279393097</v>
      </c>
      <c r="U2">
        <v>3.1282528039483302E-2</v>
      </c>
      <c r="V2">
        <v>3.1112207735670101E-2</v>
      </c>
      <c r="W2">
        <v>5.4127616022114598E-2</v>
      </c>
      <c r="X2">
        <v>1.6309205534202599E-2</v>
      </c>
      <c r="Y2">
        <v>-1.0999949164302599E-2</v>
      </c>
      <c r="Z2">
        <v>-4.4162782677874702E-3</v>
      </c>
      <c r="AA2">
        <v>-2.0310357986584902E-2</v>
      </c>
      <c r="AB2">
        <v>-3.0486706628787101E-2</v>
      </c>
      <c r="AC2">
        <v>-3.1702029454917402E-2</v>
      </c>
      <c r="AD2">
        <v>-1.1882925665768901E-3</v>
      </c>
      <c r="AE2">
        <v>9.68683107430931E-2</v>
      </c>
      <c r="AF2">
        <v>0.103218500953941</v>
      </c>
      <c r="AG2">
        <v>8.80207860386822E-2</v>
      </c>
      <c r="AH2">
        <v>7.6202758446027696E-2</v>
      </c>
      <c r="AI2">
        <v>8.2230476202387395E-2</v>
      </c>
      <c r="AJ2">
        <v>5.1176024374138998E-2</v>
      </c>
    </row>
    <row r="3" spans="1:36">
      <c r="A3" s="1">
        <v>43032</v>
      </c>
      <c r="B3" t="s">
        <v>41</v>
      </c>
      <c r="C3" t="s">
        <v>73</v>
      </c>
      <c r="D3">
        <v>103.9401</v>
      </c>
      <c r="E3" t="s">
        <v>231</v>
      </c>
      <c r="F3" t="s">
        <v>105</v>
      </c>
      <c r="G3">
        <v>18.670000000000002</v>
      </c>
      <c r="H3">
        <v>42.8</v>
      </c>
      <c r="I3">
        <v>3.6328767123287702</v>
      </c>
      <c r="J3">
        <v>0.245576317618273</v>
      </c>
      <c r="K3">
        <v>0.60889545651174504</v>
      </c>
      <c r="L3">
        <v>94.054599999999994</v>
      </c>
      <c r="M3">
        <v>0.59960198082326599</v>
      </c>
      <c r="N3">
        <v>94.654201980823302</v>
      </c>
      <c r="O3">
        <v>0.58810401876253704</v>
      </c>
      <c r="P3">
        <v>7.75178879215805E-2</v>
      </c>
      <c r="Q3">
        <v>0.18111656056444</v>
      </c>
      <c r="R3">
        <v>-0.19244802332393501</v>
      </c>
      <c r="S3">
        <v>-0.11539221599055401</v>
      </c>
      <c r="T3">
        <v>-2.7211217948718001</v>
      </c>
      <c r="U3">
        <v>9.8103389229968294E-2</v>
      </c>
      <c r="V3">
        <v>0.118476304464274</v>
      </c>
      <c r="W3">
        <v>2.5941376227413E-2</v>
      </c>
      <c r="X3">
        <v>0.100730061738156</v>
      </c>
      <c r="Y3">
        <v>0.112719456072537</v>
      </c>
      <c r="Z3">
        <v>0.10833893047504101</v>
      </c>
      <c r="AA3">
        <v>9.4417217174105603E-2</v>
      </c>
      <c r="AB3">
        <v>8.9282236244259003E-2</v>
      </c>
      <c r="AC3">
        <v>8.5762347337054207E-2</v>
      </c>
      <c r="AD3">
        <v>0.105492961776445</v>
      </c>
      <c r="AE3">
        <v>0.126250402104604</v>
      </c>
      <c r="AF3">
        <v>0.143169977453661</v>
      </c>
      <c r="AG3">
        <v>0.136848047182203</v>
      </c>
      <c r="AH3">
        <v>0.15620618634936101</v>
      </c>
      <c r="AI3">
        <v>0.15364870455347801</v>
      </c>
      <c r="AJ3">
        <v>0.12294290883005</v>
      </c>
    </row>
    <row r="4" spans="1:36">
      <c r="A4" s="1">
        <v>43032</v>
      </c>
      <c r="B4" t="s">
        <v>20</v>
      </c>
      <c r="C4" t="s">
        <v>52</v>
      </c>
      <c r="D4">
        <v>118.2573</v>
      </c>
      <c r="E4" t="s">
        <v>232</v>
      </c>
      <c r="F4" t="s">
        <v>84</v>
      </c>
      <c r="G4">
        <v>7.88</v>
      </c>
      <c r="H4">
        <v>7.43</v>
      </c>
      <c r="I4">
        <v>4.1972602739726002</v>
      </c>
      <c r="J4">
        <v>0.285040136255027</v>
      </c>
      <c r="K4">
        <v>0.25558650897053697</v>
      </c>
      <c r="L4">
        <v>91.323899999999995</v>
      </c>
      <c r="M4">
        <v>29.526749023787399</v>
      </c>
      <c r="N4">
        <v>120.850649023787</v>
      </c>
      <c r="O4">
        <v>29.612752737233599</v>
      </c>
      <c r="P4">
        <v>0.69163501737560096</v>
      </c>
      <c r="Q4">
        <v>9.3086812567375592</v>
      </c>
      <c r="R4">
        <v>-0.24178981713513401</v>
      </c>
      <c r="S4">
        <v>-7.1392672470565604</v>
      </c>
      <c r="T4">
        <v>-6.4169001305483002</v>
      </c>
      <c r="U4">
        <v>-2.1459123676505699E-2</v>
      </c>
      <c r="V4">
        <v>6.3689208459388798E-3</v>
      </c>
      <c r="W4">
        <v>3.5266744427214697E-2</v>
      </c>
      <c r="X4">
        <v>-1.2996423742279301E-2</v>
      </c>
      <c r="Y4">
        <v>5.50735642616367E-3</v>
      </c>
      <c r="Z4">
        <v>2.2473262797790099E-3</v>
      </c>
      <c r="AA4">
        <v>3.1683511849336398E-3</v>
      </c>
      <c r="AB4">
        <v>-9.6802411561605402E-3</v>
      </c>
      <c r="AC4">
        <v>-2.7939873360230402E-2</v>
      </c>
      <c r="AD4">
        <v>-3.2919365974693797E-2</v>
      </c>
      <c r="AE4">
        <v>-2.6486184621253201E-2</v>
      </c>
      <c r="AF4">
        <v>-9.9573817791473607E-3</v>
      </c>
      <c r="AG4">
        <v>1.7310622106220599E-2</v>
      </c>
      <c r="AH4">
        <v>4.0978118994527198E-2</v>
      </c>
      <c r="AI4">
        <v>7.6266067013248798E-2</v>
      </c>
      <c r="AJ4">
        <v>7.7607212053917393E-2</v>
      </c>
    </row>
    <row r="5" spans="1:36">
      <c r="A5" s="1">
        <v>43032</v>
      </c>
      <c r="B5" t="s">
        <v>17</v>
      </c>
      <c r="C5" t="s">
        <v>49</v>
      </c>
      <c r="D5">
        <v>127.65860000000001</v>
      </c>
      <c r="E5" t="s">
        <v>233</v>
      </c>
      <c r="F5" t="s">
        <v>81</v>
      </c>
      <c r="G5">
        <v>10.89</v>
      </c>
      <c r="H5">
        <v>8.81</v>
      </c>
      <c r="I5">
        <v>4.2</v>
      </c>
      <c r="J5">
        <v>0.44129076235999398</v>
      </c>
      <c r="K5">
        <v>0.184497992956595</v>
      </c>
      <c r="L5">
        <v>92.840900000000005</v>
      </c>
      <c r="M5">
        <v>54.409537824969703</v>
      </c>
      <c r="N5">
        <v>147.25043782496999</v>
      </c>
      <c r="O5">
        <v>54.4224637626168</v>
      </c>
      <c r="P5">
        <v>0.77524081555589996</v>
      </c>
      <c r="Q5">
        <v>8.7995552276492592</v>
      </c>
      <c r="R5">
        <v>-0.40615544029907402</v>
      </c>
      <c r="S5">
        <v>-22.098729791769699</v>
      </c>
      <c r="T5">
        <v>-8.28992857142857</v>
      </c>
      <c r="U5">
        <v>-0.133051134613655</v>
      </c>
      <c r="V5">
        <v>-2.4693021898343701E-2</v>
      </c>
      <c r="W5">
        <v>5.3606987112579399E-2</v>
      </c>
      <c r="X5">
        <v>-0.127063368080929</v>
      </c>
      <c r="Y5">
        <v>-0.116538159419242</v>
      </c>
      <c r="Z5">
        <v>-0.107712213184261</v>
      </c>
      <c r="AA5">
        <v>-1.6612917401587299E-2</v>
      </c>
      <c r="AB5">
        <v>2.0811501808082399E-2</v>
      </c>
      <c r="AC5">
        <v>1.2922738510459601E-3</v>
      </c>
      <c r="AD5">
        <v>7.2467886169931004E-3</v>
      </c>
      <c r="AE5">
        <v>1.6617069336948401E-2</v>
      </c>
      <c r="AF5">
        <v>4.1497909265860002E-3</v>
      </c>
      <c r="AG5">
        <v>-1.57267830442383E-3</v>
      </c>
      <c r="AH5">
        <v>-1.1861827523296901E-2</v>
      </c>
      <c r="AI5">
        <v>8.0458417861126695E-3</v>
      </c>
      <c r="AJ5">
        <v>-3.3371118877463898E-2</v>
      </c>
    </row>
    <row r="6" spans="1:36">
      <c r="A6" s="1">
        <v>43032</v>
      </c>
      <c r="B6" t="s">
        <v>18</v>
      </c>
      <c r="C6" t="s">
        <v>50</v>
      </c>
      <c r="D6">
        <v>127.18989999999999</v>
      </c>
      <c r="E6" t="s">
        <v>234</v>
      </c>
      <c r="F6" t="s">
        <v>82</v>
      </c>
      <c r="G6">
        <v>22.07</v>
      </c>
      <c r="H6">
        <v>18.649999999999999</v>
      </c>
      <c r="I6">
        <v>4.2273972602739702</v>
      </c>
      <c r="J6">
        <v>0.20997084055079801</v>
      </c>
      <c r="K6">
        <v>0.24881620815528399</v>
      </c>
      <c r="L6">
        <v>91.728300000000004</v>
      </c>
      <c r="M6">
        <v>32.871976745038602</v>
      </c>
      <c r="N6">
        <v>124.600276745039</v>
      </c>
      <c r="O6">
        <v>32.934310006892701</v>
      </c>
      <c r="P6">
        <v>0.77419992439525498</v>
      </c>
      <c r="Q6">
        <v>4.1512060289289803</v>
      </c>
      <c r="R6">
        <v>-0.50299816859155499</v>
      </c>
      <c r="S6">
        <v>-16.5345441007386</v>
      </c>
      <c r="T6">
        <v>-8.3885184705119897</v>
      </c>
      <c r="U6">
        <v>2.0783447056544901E-2</v>
      </c>
      <c r="V6">
        <v>1.38360535729026E-2</v>
      </c>
      <c r="W6">
        <v>4.7641166560180699E-2</v>
      </c>
      <c r="X6">
        <v>3.9548488292901897E-2</v>
      </c>
      <c r="Y6">
        <v>5.8060109896432198E-2</v>
      </c>
      <c r="Z6">
        <v>7.5709902239126894E-2</v>
      </c>
      <c r="AA6">
        <v>6.2768589055535506E-2</v>
      </c>
      <c r="AB6">
        <v>5.0143257078988701E-2</v>
      </c>
      <c r="AC6">
        <v>4.3746096566321703E-2</v>
      </c>
      <c r="AD6">
        <v>1.7152545872002E-2</v>
      </c>
      <c r="AE6">
        <v>2.7710333633420101E-3</v>
      </c>
      <c r="AF6">
        <v>-2.7410293363982499E-2</v>
      </c>
      <c r="AG6">
        <v>-4.4745861252098E-2</v>
      </c>
      <c r="AH6">
        <v>-4.5192246507863701E-2</v>
      </c>
      <c r="AI6">
        <v>-3.4381598352843698E-2</v>
      </c>
      <c r="AJ6">
        <v>-5.9541670587249101E-2</v>
      </c>
    </row>
    <row r="7" spans="1:36">
      <c r="A7" s="1">
        <v>43032</v>
      </c>
      <c r="B7" t="s">
        <v>31</v>
      </c>
      <c r="C7" t="s">
        <v>63</v>
      </c>
      <c r="D7">
        <v>106.09399999999999</v>
      </c>
      <c r="E7" t="s">
        <v>235</v>
      </c>
      <c r="F7" t="s">
        <v>95</v>
      </c>
      <c r="G7">
        <v>8.01</v>
      </c>
      <c r="H7">
        <v>10.46</v>
      </c>
      <c r="I7">
        <v>3.27671232876712</v>
      </c>
      <c r="J7">
        <v>0.31877828896240001</v>
      </c>
      <c r="K7">
        <v>0.31864836331899798</v>
      </c>
      <c r="L7">
        <v>95.302300000000002</v>
      </c>
      <c r="M7">
        <v>11.516133275796101</v>
      </c>
      <c r="N7">
        <v>106.818433275796</v>
      </c>
      <c r="O7">
        <v>11.5812302507642</v>
      </c>
      <c r="P7">
        <v>0.46462970220301397</v>
      </c>
      <c r="Q7">
        <v>4.4419665602582601</v>
      </c>
      <c r="R7">
        <v>-0.318022669511967</v>
      </c>
      <c r="S7">
        <v>-3.6623914468242802</v>
      </c>
      <c r="T7">
        <v>-3.29345359531772</v>
      </c>
      <c r="U7">
        <v>-6.7819125742625301E-3</v>
      </c>
      <c r="V7">
        <v>9.5674008952773198E-2</v>
      </c>
      <c r="W7">
        <v>7.7934701000673401E-2</v>
      </c>
      <c r="X7">
        <v>2.1933494146094399E-3</v>
      </c>
      <c r="Y7">
        <v>1.53530979598616E-2</v>
      </c>
      <c r="Z7">
        <v>2.9908850391689199E-2</v>
      </c>
      <c r="AA7">
        <v>2.5170476883485199E-2</v>
      </c>
      <c r="AB7">
        <v>3.2709084848829603E-2</v>
      </c>
      <c r="AC7">
        <v>7.2390257272450007E-2</v>
      </c>
      <c r="AD7">
        <v>0.212094534929579</v>
      </c>
      <c r="AE7">
        <v>0.210663563858528</v>
      </c>
      <c r="AF7">
        <v>0.20064683312591899</v>
      </c>
      <c r="AG7">
        <v>0.15362702770679501</v>
      </c>
      <c r="AH7">
        <v>0.12471743336939101</v>
      </c>
      <c r="AI7">
        <v>7.9984325961753699E-2</v>
      </c>
      <c r="AJ7">
        <v>6.4254660462298302E-2</v>
      </c>
    </row>
    <row r="8" spans="1:36">
      <c r="A8" s="1">
        <v>43032</v>
      </c>
      <c r="B8" t="s">
        <v>14</v>
      </c>
      <c r="C8" t="s">
        <v>46</v>
      </c>
      <c r="D8">
        <v>131.22190000000001</v>
      </c>
      <c r="E8" t="s">
        <v>236</v>
      </c>
      <c r="F8" t="s">
        <v>78</v>
      </c>
      <c r="G8">
        <v>27.77</v>
      </c>
      <c r="H8">
        <v>21.43</v>
      </c>
      <c r="I8">
        <v>4.24657534246575</v>
      </c>
      <c r="J8">
        <v>0.21833547878026699</v>
      </c>
      <c r="K8">
        <v>0.188369921255919</v>
      </c>
      <c r="L8">
        <v>91.028300000000002</v>
      </c>
      <c r="M8">
        <v>42.5374224650052</v>
      </c>
      <c r="N8">
        <v>133.565722465005</v>
      </c>
      <c r="O8">
        <v>42.475670563367501</v>
      </c>
      <c r="P8">
        <v>0.82704485070647704</v>
      </c>
      <c r="Q8">
        <v>3.8592853509401599</v>
      </c>
      <c r="R8">
        <v>-0.58416625984487502</v>
      </c>
      <c r="S8">
        <v>-24.8489269848235</v>
      </c>
      <c r="T8">
        <v>-9.4649445161290302</v>
      </c>
      <c r="U8">
        <v>-1.7548083608197498E-2</v>
      </c>
      <c r="V8">
        <v>-3.8429579699984603E-2</v>
      </c>
      <c r="W8">
        <v>2.5995016096797399E-2</v>
      </c>
      <c r="X8">
        <v>-2.0708987841726902E-2</v>
      </c>
      <c r="Y8">
        <v>-9.3957998552530297E-3</v>
      </c>
      <c r="Z8">
        <v>-5.6706654738526499E-3</v>
      </c>
      <c r="AA8">
        <v>-1.5477623873460401E-2</v>
      </c>
      <c r="AB8">
        <v>-2.19940816515178E-2</v>
      </c>
      <c r="AC8">
        <v>-3.6231181814781903E-2</v>
      </c>
      <c r="AD8">
        <v>-6.2838339964362E-2</v>
      </c>
      <c r="AE8">
        <v>-5.4356894160095502E-2</v>
      </c>
      <c r="AF8">
        <v>-4.4154991769910799E-2</v>
      </c>
      <c r="AG8">
        <v>-3.60644239913731E-2</v>
      </c>
      <c r="AH8">
        <v>-6.3230429053334203E-2</v>
      </c>
      <c r="AI8">
        <v>-7.7841922908925304E-2</v>
      </c>
      <c r="AJ8">
        <v>-5.68786522151285E-2</v>
      </c>
    </row>
    <row r="9" spans="1:36">
      <c r="A9" s="1">
        <v>43032</v>
      </c>
      <c r="B9" t="s">
        <v>35</v>
      </c>
      <c r="C9" t="s">
        <v>67</v>
      </c>
      <c r="D9">
        <v>105.51730000000001</v>
      </c>
      <c r="E9" t="s">
        <v>237</v>
      </c>
      <c r="F9" t="s">
        <v>99</v>
      </c>
      <c r="G9">
        <v>6.37</v>
      </c>
      <c r="H9">
        <v>9.3000000000000007</v>
      </c>
      <c r="I9">
        <v>4.3972602739726003</v>
      </c>
      <c r="J9">
        <v>0.15576010476686</v>
      </c>
      <c r="K9">
        <v>0.36688158682456401</v>
      </c>
      <c r="L9">
        <v>92.254900000000006</v>
      </c>
      <c r="M9">
        <v>2.3454991385800299</v>
      </c>
      <c r="N9">
        <v>94.600399138580002</v>
      </c>
      <c r="O9">
        <v>2.3124873383885101</v>
      </c>
      <c r="P9">
        <v>0.21379774554617501</v>
      </c>
      <c r="Q9">
        <v>2.2989004897438199</v>
      </c>
      <c r="R9">
        <v>-8.6057162665695894E-2</v>
      </c>
      <c r="S9">
        <v>-0.201847000901031</v>
      </c>
      <c r="T9">
        <v>-3.0160598130841101</v>
      </c>
      <c r="U9">
        <v>0.11540015645629401</v>
      </c>
      <c r="V9">
        <v>5.0211870602868802E-2</v>
      </c>
      <c r="W9">
        <v>4.3654863816732802E-2</v>
      </c>
      <c r="X9">
        <v>0.109520159547741</v>
      </c>
      <c r="Y9">
        <v>0.11607206383839</v>
      </c>
      <c r="Z9">
        <v>0.10290041452498</v>
      </c>
      <c r="AA9">
        <v>7.9009880425110895E-2</v>
      </c>
      <c r="AB9">
        <v>7.3352075201303005E-2</v>
      </c>
      <c r="AC9">
        <v>5.8829711100671297E-2</v>
      </c>
      <c r="AD9">
        <v>4.1145475147901997E-2</v>
      </c>
      <c r="AE9">
        <v>3.4739477805029798E-2</v>
      </c>
      <c r="AF9">
        <v>2.4947808265162599E-2</v>
      </c>
      <c r="AG9">
        <v>6.2527769189997797E-3</v>
      </c>
      <c r="AH9">
        <v>3.86026054707628E-3</v>
      </c>
      <c r="AI9">
        <v>7.8243445676398002E-3</v>
      </c>
      <c r="AJ9">
        <v>-3.7334289192246198E-2</v>
      </c>
    </row>
    <row r="10" spans="1:36">
      <c r="A10" s="1">
        <v>43032</v>
      </c>
      <c r="B10" t="s">
        <v>10</v>
      </c>
      <c r="C10" t="s">
        <v>42</v>
      </c>
      <c r="D10">
        <v>111.3184</v>
      </c>
      <c r="E10" t="s">
        <v>238</v>
      </c>
      <c r="F10" t="s">
        <v>74</v>
      </c>
      <c r="G10">
        <v>4.07</v>
      </c>
      <c r="H10">
        <v>4.26</v>
      </c>
      <c r="I10">
        <v>5.3945205479452101</v>
      </c>
      <c r="J10">
        <v>0.13501648454956799</v>
      </c>
      <c r="K10">
        <v>0.28029317871263498</v>
      </c>
      <c r="L10">
        <v>85.752700000000004</v>
      </c>
      <c r="M10">
        <v>13.427161822697601</v>
      </c>
      <c r="N10">
        <v>99.179861822697603</v>
      </c>
      <c r="O10">
        <v>13.478630437906601</v>
      </c>
      <c r="P10">
        <v>0.60616437013737101</v>
      </c>
      <c r="Q10">
        <v>14.2292105666049</v>
      </c>
      <c r="R10">
        <v>-7.3939078324359503E-2</v>
      </c>
      <c r="S10">
        <v>-0.99279196968229</v>
      </c>
      <c r="T10">
        <v>-4.7391978161503303</v>
      </c>
      <c r="U10">
        <v>0.12238914185021001</v>
      </c>
      <c r="V10">
        <v>8.7468834584599697E-2</v>
      </c>
      <c r="W10">
        <v>4.1677447272384802E-2</v>
      </c>
      <c r="X10">
        <v>0.124387856069132</v>
      </c>
      <c r="Y10">
        <v>0.13319359986909399</v>
      </c>
      <c r="Z10">
        <v>0.13208369335046699</v>
      </c>
      <c r="AA10">
        <v>9.1085643393975596E-2</v>
      </c>
      <c r="AB10">
        <v>7.7866759994919904E-2</v>
      </c>
      <c r="AC10">
        <v>5.7427387060726101E-2</v>
      </c>
      <c r="AD10">
        <v>4.6829240834708498E-2</v>
      </c>
      <c r="AE10">
        <v>3.6490361677844403E-5</v>
      </c>
      <c r="AF10">
        <v>0</v>
      </c>
      <c r="AG10">
        <v>0</v>
      </c>
      <c r="AH10">
        <v>0</v>
      </c>
      <c r="AI10">
        <v>0</v>
      </c>
      <c r="AJ10">
        <v>0</v>
      </c>
    </row>
    <row r="11" spans="1:36">
      <c r="A11" s="1">
        <v>43032</v>
      </c>
      <c r="B11" t="s">
        <v>13</v>
      </c>
      <c r="C11" t="s">
        <v>45</v>
      </c>
      <c r="D11">
        <v>110.80329999999999</v>
      </c>
      <c r="E11" t="s">
        <v>239</v>
      </c>
      <c r="F11" t="s">
        <v>77</v>
      </c>
      <c r="G11">
        <v>14.8</v>
      </c>
      <c r="H11">
        <v>16.72</v>
      </c>
      <c r="I11">
        <v>5.4136986301369898</v>
      </c>
      <c r="J11">
        <v>0.26302939620071503</v>
      </c>
      <c r="K11">
        <v>0.33521379485894798</v>
      </c>
      <c r="L11">
        <v>85.358800000000002</v>
      </c>
      <c r="M11">
        <v>19.926636800807799</v>
      </c>
      <c r="N11">
        <v>105.285436800808</v>
      </c>
      <c r="O11">
        <v>19.988621693951501</v>
      </c>
      <c r="P11">
        <v>0.59459354462908198</v>
      </c>
      <c r="Q11">
        <v>3.55618148701604</v>
      </c>
      <c r="R11">
        <v>-0.406330639338084</v>
      </c>
      <c r="S11">
        <v>-8.0968030711300401</v>
      </c>
      <c r="T11">
        <v>-4.7000215080971603</v>
      </c>
      <c r="U11">
        <v>5.2408608130975802E-2</v>
      </c>
      <c r="V11">
        <v>5.6953079544500497E-2</v>
      </c>
      <c r="W11">
        <v>5.7749606397065202E-2</v>
      </c>
      <c r="X11">
        <v>5.0018203863159201E-2</v>
      </c>
      <c r="Y11">
        <v>7.5619773226345999E-2</v>
      </c>
      <c r="Z11">
        <v>0.125736381760509</v>
      </c>
      <c r="AA11">
        <v>8.9843198757404402E-2</v>
      </c>
      <c r="AB11">
        <v>6.2598078292150999E-2</v>
      </c>
      <c r="AC11">
        <v>4.2383159961842103E-2</v>
      </c>
      <c r="AD11">
        <v>-2.9815091551465299E-2</v>
      </c>
      <c r="AE11">
        <v>-8.5122756230430099E-2</v>
      </c>
      <c r="AF11">
        <v>0</v>
      </c>
      <c r="AG11">
        <v>0</v>
      </c>
      <c r="AH11">
        <v>0</v>
      </c>
      <c r="AI11">
        <v>0</v>
      </c>
      <c r="AJ11">
        <v>0</v>
      </c>
    </row>
    <row r="12" spans="1:36">
      <c r="A12" s="1">
        <v>43032</v>
      </c>
      <c r="B12" t="s">
        <v>12</v>
      </c>
      <c r="C12" t="s">
        <v>44</v>
      </c>
      <c r="D12">
        <v>122.0697</v>
      </c>
      <c r="E12" t="s">
        <v>240</v>
      </c>
      <c r="F12" t="s">
        <v>76</v>
      </c>
      <c r="G12">
        <v>20.91</v>
      </c>
      <c r="H12">
        <v>20.2</v>
      </c>
      <c r="I12">
        <v>5.6986301369863002</v>
      </c>
      <c r="J12">
        <v>0.205094259731958</v>
      </c>
      <c r="K12">
        <v>0.34867309669197999</v>
      </c>
      <c r="L12">
        <v>84.445800000000006</v>
      </c>
      <c r="M12">
        <v>25.292926725646598</v>
      </c>
      <c r="N12">
        <v>109.738726725647</v>
      </c>
      <c r="O12">
        <v>25.3321126400803</v>
      </c>
      <c r="P12">
        <v>0.68791458080518597</v>
      </c>
      <c r="Q12">
        <v>3.4055177267583501</v>
      </c>
      <c r="R12">
        <v>-0.45694333149660199</v>
      </c>
      <c r="S12">
        <v>-11.557434201316401</v>
      </c>
      <c r="T12">
        <v>-6.60227091346154</v>
      </c>
      <c r="U12">
        <v>0.11236665161225701</v>
      </c>
      <c r="V12">
        <v>0.117065398642762</v>
      </c>
      <c r="W12">
        <v>6.9468530651642102E-2</v>
      </c>
      <c r="X12">
        <v>0.12585512742204499</v>
      </c>
      <c r="Y12">
        <v>0.13458969850091099</v>
      </c>
      <c r="Z12">
        <v>0.16742923392798301</v>
      </c>
      <c r="AA12">
        <v>2.10739131173131E-2</v>
      </c>
      <c r="AB12">
        <v>0</v>
      </c>
      <c r="AC12">
        <v>0</v>
      </c>
      <c r="AD12">
        <v>0</v>
      </c>
      <c r="AE12">
        <v>0</v>
      </c>
      <c r="AF12">
        <v>0</v>
      </c>
      <c r="AG12">
        <v>0</v>
      </c>
      <c r="AH12">
        <v>0</v>
      </c>
      <c r="AI12">
        <v>0</v>
      </c>
      <c r="AJ12">
        <v>0</v>
      </c>
    </row>
    <row r="13" spans="1:36">
      <c r="A13" s="1">
        <v>43032</v>
      </c>
      <c r="B13" t="s">
        <v>22</v>
      </c>
      <c r="C13" t="s">
        <v>54</v>
      </c>
      <c r="D13">
        <v>108.4795</v>
      </c>
      <c r="E13" t="s">
        <v>241</v>
      </c>
      <c r="F13" t="s">
        <v>86</v>
      </c>
      <c r="G13">
        <v>17.12</v>
      </c>
      <c r="H13">
        <v>17.8</v>
      </c>
      <c r="I13">
        <v>3.4821917808219198</v>
      </c>
      <c r="J13">
        <v>0.166398072614624</v>
      </c>
      <c r="K13">
        <v>0.193538625774483</v>
      </c>
      <c r="L13">
        <v>94.659300000000002</v>
      </c>
      <c r="M13">
        <v>12.4335157677853</v>
      </c>
      <c r="N13">
        <v>107.092815767785</v>
      </c>
      <c r="O13">
        <v>12.487376170076001</v>
      </c>
      <c r="P13">
        <v>0.57848876051506304</v>
      </c>
      <c r="Q13">
        <v>3.2499368568262001</v>
      </c>
      <c r="R13">
        <v>-0.41395873791786197</v>
      </c>
      <c r="S13">
        <v>-5.1469624951142299</v>
      </c>
      <c r="T13">
        <v>-3.9688221872541298</v>
      </c>
      <c r="U13">
        <v>1.2948433770025599E-2</v>
      </c>
      <c r="V13">
        <v>-3.7231407693392202E-4</v>
      </c>
      <c r="W13">
        <v>2.0268512581795899E-2</v>
      </c>
      <c r="X13">
        <v>1.1718593337388601E-2</v>
      </c>
      <c r="Y13">
        <v>1.5304979346096301E-2</v>
      </c>
      <c r="Z13">
        <v>2.62247667015428E-2</v>
      </c>
      <c r="AA13">
        <v>4.0189472676019997E-3</v>
      </c>
      <c r="AB13">
        <v>-2.0847868175832901E-3</v>
      </c>
      <c r="AC13">
        <v>-2.4308191082693002E-2</v>
      </c>
      <c r="AD13">
        <v>-2.5744449604433201E-2</v>
      </c>
      <c r="AE13">
        <v>-2.22889691319226E-2</v>
      </c>
      <c r="AF13">
        <v>-1.5297363922210699E-3</v>
      </c>
      <c r="AG13">
        <v>5.9820521918880901E-4</v>
      </c>
      <c r="AH13">
        <v>-1.45999315275508E-2</v>
      </c>
      <c r="AI13">
        <v>2.7735763038031099E-2</v>
      </c>
      <c r="AJ13">
        <v>-6.8189498665696105E-4</v>
      </c>
    </row>
    <row r="14" spans="1:36">
      <c r="A14" s="1">
        <v>43032</v>
      </c>
      <c r="B14" t="s">
        <v>30</v>
      </c>
      <c r="C14" t="s">
        <v>62</v>
      </c>
      <c r="D14">
        <v>104.43259999999999</v>
      </c>
      <c r="E14" t="s">
        <v>242</v>
      </c>
      <c r="F14" t="s">
        <v>94</v>
      </c>
      <c r="G14">
        <v>7.88</v>
      </c>
      <c r="H14">
        <v>9.77</v>
      </c>
      <c r="I14">
        <v>4.1506849315068504</v>
      </c>
      <c r="J14">
        <v>0.29354155994994002</v>
      </c>
      <c r="K14">
        <v>0.24721536323294199</v>
      </c>
      <c r="L14">
        <v>93.541600000000003</v>
      </c>
      <c r="M14">
        <v>14.514382400561599</v>
      </c>
      <c r="N14">
        <v>108.055982400562</v>
      </c>
      <c r="O14">
        <v>14.558188682955199</v>
      </c>
      <c r="P14">
        <v>0.517403379521717</v>
      </c>
      <c r="Q14">
        <v>5.2958380708466404</v>
      </c>
      <c r="R14">
        <v>-0.26614349976707702</v>
      </c>
      <c r="S14">
        <v>-3.8629085290431302</v>
      </c>
      <c r="T14">
        <v>-2.6239042904290399</v>
      </c>
      <c r="U14">
        <v>-3.3532455307562402E-2</v>
      </c>
      <c r="V14">
        <v>3.6963615229316502E-2</v>
      </c>
      <c r="W14">
        <v>3.1987917205557499E-2</v>
      </c>
      <c r="X14">
        <v>1.0726053048286501E-3</v>
      </c>
      <c r="Y14">
        <v>2.4132806280082301E-2</v>
      </c>
      <c r="Z14">
        <v>2.9963335357763101E-2</v>
      </c>
      <c r="AA14">
        <v>2.24472908830292E-2</v>
      </c>
      <c r="AB14">
        <v>-1.46372459897101E-2</v>
      </c>
      <c r="AC14">
        <v>9.1862859933406593E-2</v>
      </c>
      <c r="AD14">
        <v>5.6968006829817897E-2</v>
      </c>
      <c r="AE14">
        <v>5.71233855376303E-2</v>
      </c>
      <c r="AF14">
        <v>6.6915032292239204E-2</v>
      </c>
      <c r="AG14">
        <v>5.2888827624591503E-2</v>
      </c>
      <c r="AH14">
        <v>5.5624180121677101E-2</v>
      </c>
      <c r="AI14">
        <v>2.3168737906079599E-2</v>
      </c>
      <c r="AJ14">
        <v>-1.8371966229305099E-2</v>
      </c>
    </row>
    <row r="15" spans="1:36">
      <c r="A15" s="1">
        <v>43032</v>
      </c>
      <c r="B15" t="s">
        <v>32</v>
      </c>
      <c r="C15" t="s">
        <v>64</v>
      </c>
      <c r="D15">
        <v>100.9324</v>
      </c>
      <c r="E15" t="s">
        <v>243</v>
      </c>
      <c r="F15" t="s">
        <v>96</v>
      </c>
      <c r="G15">
        <v>3.72</v>
      </c>
      <c r="H15">
        <v>5.25</v>
      </c>
      <c r="I15">
        <v>4.6219178082191803</v>
      </c>
      <c r="J15">
        <v>0.191137763729572</v>
      </c>
      <c r="K15">
        <v>0.243463446894744</v>
      </c>
      <c r="L15">
        <v>93.077200000000005</v>
      </c>
      <c r="M15">
        <v>4.9652669088358197</v>
      </c>
      <c r="N15">
        <v>98.042466908835806</v>
      </c>
      <c r="O15">
        <v>4.9088716692948298</v>
      </c>
      <c r="P15">
        <v>0.32125338070898402</v>
      </c>
      <c r="Q15">
        <v>6.1191120135044699</v>
      </c>
      <c r="R15">
        <v>-7.3249346893345404E-2</v>
      </c>
      <c r="S15">
        <v>-0.363702558223363</v>
      </c>
      <c r="T15">
        <v>-1.6995542382928299</v>
      </c>
      <c r="U15">
        <v>2.94763400216294E-2</v>
      </c>
      <c r="V15">
        <v>1.39164847948727E-2</v>
      </c>
      <c r="W15">
        <v>3.4868707193716798E-2</v>
      </c>
      <c r="X15">
        <v>2.8712294245935199E-2</v>
      </c>
      <c r="Y15">
        <v>3.9162021798345298E-2</v>
      </c>
      <c r="Z15">
        <v>5.7687370743966702E-2</v>
      </c>
      <c r="AA15">
        <v>4.6817892717250502E-2</v>
      </c>
      <c r="AB15">
        <v>4.1137414608309303E-2</v>
      </c>
      <c r="AC15">
        <v>3.2156188231471303E-2</v>
      </c>
      <c r="AD15">
        <v>2.6890253653285401E-2</v>
      </c>
      <c r="AE15">
        <v>1.7570560186098601E-2</v>
      </c>
      <c r="AF15">
        <v>-1.6015635275527702E-2</v>
      </c>
      <c r="AG15">
        <v>-3.8415136859875201E-2</v>
      </c>
      <c r="AH15">
        <v>-3.1705885830539203E-2</v>
      </c>
      <c r="AI15">
        <v>-1.2733610396095401E-2</v>
      </c>
      <c r="AJ15">
        <v>-4.7668558480021703E-2</v>
      </c>
    </row>
    <row r="16" spans="1:36">
      <c r="A16" s="1">
        <v>43032</v>
      </c>
      <c r="B16" t="s">
        <v>25</v>
      </c>
      <c r="C16" t="s">
        <v>57</v>
      </c>
      <c r="D16">
        <v>107.3014</v>
      </c>
      <c r="E16" t="s">
        <v>244</v>
      </c>
      <c r="F16" t="s">
        <v>89</v>
      </c>
      <c r="G16">
        <v>6.86</v>
      </c>
      <c r="H16">
        <v>8</v>
      </c>
      <c r="I16">
        <v>5.6054794520547899</v>
      </c>
      <c r="J16">
        <v>0.29029859763910898</v>
      </c>
      <c r="K16">
        <v>0.25759504885818901</v>
      </c>
      <c r="L16">
        <v>89.168499999999995</v>
      </c>
      <c r="M16">
        <v>20.914213391166399</v>
      </c>
      <c r="N16">
        <v>110.082713391166</v>
      </c>
      <c r="O16">
        <v>20.941778663518601</v>
      </c>
      <c r="P16">
        <v>0.59573147044679797</v>
      </c>
      <c r="Q16">
        <v>7.4466433805849803</v>
      </c>
      <c r="R16">
        <v>-0.19913058955428101</v>
      </c>
      <c r="S16">
        <v>-4.1646596426469902</v>
      </c>
      <c r="T16">
        <v>-3.2348526392961898</v>
      </c>
      <c r="U16">
        <v>-2.5265668927357501E-2</v>
      </c>
      <c r="V16">
        <v>-2.0246914461221999E-2</v>
      </c>
      <c r="W16">
        <v>3.1524179741697599E-2</v>
      </c>
      <c r="X16">
        <v>-2.3698518546589799E-2</v>
      </c>
      <c r="Y16">
        <v>-1.7054697708723001E-3</v>
      </c>
      <c r="Z16">
        <v>1.91065485501024E-3</v>
      </c>
      <c r="AA16">
        <v>-2.17852215074117E-2</v>
      </c>
      <c r="AB16">
        <v>-5.95455209267595E-2</v>
      </c>
      <c r="AC16">
        <v>0</v>
      </c>
      <c r="AD16">
        <v>0</v>
      </c>
      <c r="AE16">
        <v>0</v>
      </c>
      <c r="AF16">
        <v>0</v>
      </c>
      <c r="AG16">
        <v>0</v>
      </c>
      <c r="AH16">
        <v>0</v>
      </c>
      <c r="AI16">
        <v>0</v>
      </c>
      <c r="AJ16">
        <v>0</v>
      </c>
    </row>
    <row r="17" spans="1:36">
      <c r="A17" s="1">
        <v>43032</v>
      </c>
      <c r="B17" t="s">
        <v>21</v>
      </c>
      <c r="C17" t="s">
        <v>53</v>
      </c>
      <c r="D17">
        <v>115.1657</v>
      </c>
      <c r="E17" t="s">
        <v>245</v>
      </c>
      <c r="F17" t="s">
        <v>85</v>
      </c>
      <c r="G17">
        <v>8.9700000000000006</v>
      </c>
      <c r="H17">
        <v>9.32</v>
      </c>
      <c r="I17">
        <v>4.24657534246575</v>
      </c>
      <c r="J17">
        <v>0.27715014954785899</v>
      </c>
      <c r="K17">
        <v>0.277843151317612</v>
      </c>
      <c r="L17">
        <v>93.042900000000003</v>
      </c>
      <c r="M17">
        <v>22.591675082057002</v>
      </c>
      <c r="N17">
        <v>115.634575082057</v>
      </c>
      <c r="O17">
        <v>22.633629085180502</v>
      </c>
      <c r="P17">
        <v>0.62932871218971298</v>
      </c>
      <c r="Q17">
        <v>6.7524539934518497</v>
      </c>
      <c r="R17">
        <v>-0.28097500105543799</v>
      </c>
      <c r="S17">
        <v>-6.3476959300250897</v>
      </c>
      <c r="T17">
        <v>-5.2095625806451604</v>
      </c>
      <c r="U17">
        <v>-4.0548000606590601E-3</v>
      </c>
      <c r="V17">
        <v>-3.9190359358577002E-2</v>
      </c>
      <c r="W17">
        <v>4.9157025470496503E-2</v>
      </c>
      <c r="X17">
        <v>-4.1971395675661303E-3</v>
      </c>
      <c r="Y17">
        <v>2.7272893261696001E-2</v>
      </c>
      <c r="Z17">
        <v>3.8001215926298099E-2</v>
      </c>
      <c r="AA17">
        <v>1.7188945997378E-2</v>
      </c>
      <c r="AB17">
        <v>-2.5302147264597601E-2</v>
      </c>
      <c r="AC17">
        <v>-5.97470353375186E-2</v>
      </c>
      <c r="AD17">
        <v>-4.7444147413765798E-2</v>
      </c>
      <c r="AE17">
        <v>-6.22774836583984E-2</v>
      </c>
      <c r="AF17">
        <v>-8.3755383284628504E-2</v>
      </c>
      <c r="AG17">
        <v>-8.7733675927879895E-2</v>
      </c>
      <c r="AH17">
        <v>-7.5844350348641495E-2</v>
      </c>
      <c r="AI17">
        <v>-7.0993417063771699E-2</v>
      </c>
      <c r="AJ17">
        <v>-0.119975208251817</v>
      </c>
    </row>
    <row r="18" spans="1:36">
      <c r="A18" s="1">
        <v>43032</v>
      </c>
      <c r="B18" t="s">
        <v>33</v>
      </c>
      <c r="C18" t="s">
        <v>65</v>
      </c>
      <c r="D18">
        <v>105.04640000000001</v>
      </c>
      <c r="E18" t="s">
        <v>246</v>
      </c>
      <c r="F18" t="s">
        <v>97</v>
      </c>
      <c r="G18">
        <v>5.95</v>
      </c>
      <c r="H18">
        <v>7.74</v>
      </c>
      <c r="I18">
        <v>4.4904109589041097</v>
      </c>
      <c r="J18">
        <v>0.28835252690049701</v>
      </c>
      <c r="K18">
        <v>0.36331705924930402</v>
      </c>
      <c r="L18">
        <v>87.382900000000006</v>
      </c>
      <c r="M18">
        <v>13.1424819720917</v>
      </c>
      <c r="N18">
        <v>100.52538197209201</v>
      </c>
      <c r="O18">
        <v>13.223540597065099</v>
      </c>
      <c r="P18">
        <v>0.49414256819918501</v>
      </c>
      <c r="Q18">
        <v>6.3842709069662096</v>
      </c>
      <c r="R18">
        <v>-0.190328338084605</v>
      </c>
      <c r="S18">
        <v>-2.5013867520551001</v>
      </c>
      <c r="T18">
        <v>-3.9336043319097</v>
      </c>
      <c r="U18">
        <v>4.4973895539769597E-2</v>
      </c>
      <c r="V18">
        <v>0.120939771179476</v>
      </c>
      <c r="W18">
        <v>3.8747475947670598E-2</v>
      </c>
      <c r="X18">
        <v>5.6312909731897898E-2</v>
      </c>
      <c r="Y18">
        <v>8.5691780462897105E-2</v>
      </c>
      <c r="Z18">
        <v>0.116191303330528</v>
      </c>
      <c r="AA18">
        <v>0.120125199320143</v>
      </c>
      <c r="AB18">
        <v>0.119138868818666</v>
      </c>
      <c r="AC18">
        <v>0.13622761457853699</v>
      </c>
      <c r="AD18">
        <v>0.14487111797968599</v>
      </c>
      <c r="AE18">
        <v>0.14787306622188601</v>
      </c>
      <c r="AF18">
        <v>0.16276475223824</v>
      </c>
      <c r="AG18">
        <v>0.15534119709643501</v>
      </c>
      <c r="AH18">
        <v>0.15532088344132</v>
      </c>
      <c r="AI18">
        <v>8.9538637419793607E-2</v>
      </c>
      <c r="AJ18">
        <v>9.7446726752437492E-3</v>
      </c>
    </row>
    <row r="19" spans="1:36">
      <c r="A19" s="1">
        <v>43032</v>
      </c>
      <c r="B19" t="s">
        <v>39</v>
      </c>
      <c r="C19" t="s">
        <v>71</v>
      </c>
      <c r="D19">
        <v>100.9353</v>
      </c>
      <c r="E19" t="s">
        <v>247</v>
      </c>
      <c r="F19" t="s">
        <v>103</v>
      </c>
      <c r="G19">
        <v>6.1</v>
      </c>
      <c r="H19">
        <v>10.029999999999999</v>
      </c>
      <c r="I19">
        <v>4.7616438356164403</v>
      </c>
      <c r="J19">
        <v>0.32807070232811802</v>
      </c>
      <c r="K19">
        <v>0.35633090878377</v>
      </c>
      <c r="L19">
        <v>90.751000000000005</v>
      </c>
      <c r="M19">
        <v>8.8536874593281905</v>
      </c>
      <c r="N19">
        <v>99.604687459328204</v>
      </c>
      <c r="O19">
        <v>8.9143765093713299</v>
      </c>
      <c r="P19">
        <v>0.40635406979008398</v>
      </c>
      <c r="Q19">
        <v>4.0513865382859802</v>
      </c>
      <c r="R19">
        <v>-0.20173350779743701</v>
      </c>
      <c r="S19">
        <v>-1.7860854281124501</v>
      </c>
      <c r="T19">
        <v>-2.1388201956271602</v>
      </c>
      <c r="U19">
        <v>1.3358934951883001E-2</v>
      </c>
      <c r="V19">
        <v>1.51383213537741E-2</v>
      </c>
      <c r="W19">
        <v>2.49514483974306E-2</v>
      </c>
      <c r="X19">
        <v>1.16797611583266E-2</v>
      </c>
      <c r="Y19">
        <v>1.53029001040253E-2</v>
      </c>
      <c r="Z19">
        <v>2.2656660986593E-2</v>
      </c>
      <c r="AA19">
        <v>-1.6957148188072702E-2</v>
      </c>
      <c r="AB19">
        <v>-2.7688658888574999E-3</v>
      </c>
      <c r="AC19">
        <v>4.4305270320695499E-2</v>
      </c>
      <c r="AD19">
        <v>3.9524308200140197E-2</v>
      </c>
      <c r="AE19">
        <v>3.6483496264697199E-2</v>
      </c>
      <c r="AF19">
        <v>3.3224476218895703E-2</v>
      </c>
      <c r="AG19">
        <v>2.19508598870648E-2</v>
      </c>
      <c r="AH19">
        <v>1.25004179964827E-2</v>
      </c>
      <c r="AI19">
        <v>-3.0639196754808501E-3</v>
      </c>
      <c r="AJ19">
        <v>-4.1844811990196303E-2</v>
      </c>
    </row>
    <row r="20" spans="1:36">
      <c r="A20" s="1">
        <v>43032</v>
      </c>
      <c r="B20" t="s">
        <v>16</v>
      </c>
      <c r="C20" t="s">
        <v>48</v>
      </c>
      <c r="D20">
        <v>114.5314</v>
      </c>
      <c r="E20" t="s">
        <v>248</v>
      </c>
      <c r="F20" t="s">
        <v>80</v>
      </c>
      <c r="G20">
        <v>21.01</v>
      </c>
      <c r="H20">
        <v>20.46</v>
      </c>
      <c r="I20">
        <v>5.4794520547945202</v>
      </c>
      <c r="J20">
        <v>0.54923856464582899</v>
      </c>
      <c r="K20">
        <v>0.232856095661478</v>
      </c>
      <c r="L20">
        <v>88.181799999999996</v>
      </c>
      <c r="M20">
        <v>52.153527245231501</v>
      </c>
      <c r="N20">
        <v>140.33532724523101</v>
      </c>
      <c r="O20">
        <v>52.031679862569497</v>
      </c>
      <c r="P20">
        <v>0.76650856581443305</v>
      </c>
      <c r="Q20">
        <v>3.7463761770011401</v>
      </c>
      <c r="R20">
        <v>-0.83625861373281596</v>
      </c>
      <c r="S20">
        <v>-43.613836395373902</v>
      </c>
      <c r="T20">
        <v>-4.808802</v>
      </c>
      <c r="U20">
        <v>-0.18387335357219001</v>
      </c>
      <c r="V20">
        <v>-0.16390735247069699</v>
      </c>
      <c r="W20">
        <v>4.1633441417757697E-2</v>
      </c>
      <c r="X20">
        <v>-0.19791317736939501</v>
      </c>
      <c r="Y20">
        <v>-0.217604870377161</v>
      </c>
      <c r="Z20">
        <v>-0.199816698163991</v>
      </c>
      <c r="AA20">
        <v>-0.14598764499892999</v>
      </c>
      <c r="AB20">
        <v>-0.11432852003251399</v>
      </c>
      <c r="AC20">
        <v>-0.134435271459692</v>
      </c>
      <c r="AD20">
        <v>-0.133393058970835</v>
      </c>
      <c r="AE20">
        <v>0</v>
      </c>
      <c r="AF20">
        <v>0</v>
      </c>
      <c r="AG20">
        <v>0</v>
      </c>
      <c r="AH20">
        <v>0</v>
      </c>
      <c r="AI20">
        <v>0</v>
      </c>
      <c r="AJ20">
        <v>0</v>
      </c>
    </row>
    <row r="21" spans="1:36">
      <c r="A21" s="1">
        <v>43032</v>
      </c>
      <c r="B21" t="s">
        <v>23</v>
      </c>
      <c r="C21" t="s">
        <v>55</v>
      </c>
      <c r="D21">
        <v>113.7868</v>
      </c>
      <c r="E21" t="s">
        <v>249</v>
      </c>
      <c r="F21" t="s">
        <v>87</v>
      </c>
      <c r="G21">
        <v>12.47</v>
      </c>
      <c r="H21">
        <v>12.9</v>
      </c>
      <c r="I21">
        <v>5.6219178082191803</v>
      </c>
      <c r="J21">
        <v>0.29366414575765698</v>
      </c>
      <c r="K21">
        <v>0.28153467036470498</v>
      </c>
      <c r="L21">
        <v>86.774600000000007</v>
      </c>
      <c r="M21">
        <v>28.113814682511201</v>
      </c>
      <c r="N21">
        <v>114.888414682511</v>
      </c>
      <c r="O21">
        <v>28.1243232385537</v>
      </c>
      <c r="P21">
        <v>0.662965313889606</v>
      </c>
      <c r="Q21">
        <v>5.1392659991442304</v>
      </c>
      <c r="R21">
        <v>-0.35160570853963702</v>
      </c>
      <c r="S21">
        <v>-9.8849777311963898</v>
      </c>
      <c r="T21">
        <v>-4.8048016569200804</v>
      </c>
      <c r="U21">
        <v>-9.5885619586225709E-3</v>
      </c>
      <c r="V21">
        <v>-3.04335241929461E-2</v>
      </c>
      <c r="W21">
        <v>5.8235220424335703E-2</v>
      </c>
      <c r="X21">
        <v>-1.2742548954142899E-2</v>
      </c>
      <c r="Y21">
        <v>-3.4637958882455101E-3</v>
      </c>
      <c r="Z21">
        <v>9.8117099410860407E-3</v>
      </c>
      <c r="AA21">
        <v>-2.5139678070061799E-2</v>
      </c>
      <c r="AB21">
        <v>-0.13722570954163199</v>
      </c>
      <c r="AC21">
        <v>0</v>
      </c>
      <c r="AD21">
        <v>0</v>
      </c>
      <c r="AE21">
        <v>0</v>
      </c>
      <c r="AF21">
        <v>0</v>
      </c>
      <c r="AG21">
        <v>0</v>
      </c>
      <c r="AH21">
        <v>0</v>
      </c>
      <c r="AI21">
        <v>0</v>
      </c>
      <c r="AJ21">
        <v>0</v>
      </c>
    </row>
    <row r="22" spans="1:36">
      <c r="A22" s="1">
        <v>43032</v>
      </c>
      <c r="B22" t="s">
        <v>203</v>
      </c>
      <c r="C22" t="s">
        <v>205</v>
      </c>
      <c r="D22">
        <v>119.9393</v>
      </c>
      <c r="E22" t="s">
        <v>250</v>
      </c>
      <c r="F22" t="s">
        <v>206</v>
      </c>
      <c r="G22">
        <v>39.96</v>
      </c>
      <c r="H22">
        <v>38.479999999999997</v>
      </c>
      <c r="I22">
        <v>5.9205479452054801</v>
      </c>
      <c r="J22">
        <v>0.32556289234385499</v>
      </c>
      <c r="K22">
        <v>0.31814135392207399</v>
      </c>
      <c r="L22">
        <v>83.983500000000006</v>
      </c>
      <c r="M22">
        <v>36.614137681884003</v>
      </c>
      <c r="N22">
        <v>120.597637681884</v>
      </c>
      <c r="O22">
        <v>36.620801390954199</v>
      </c>
      <c r="P22">
        <v>0.71083743548959799</v>
      </c>
      <c r="Q22">
        <v>1.84729063276923</v>
      </c>
      <c r="R22">
        <v>-1.12858264817923</v>
      </c>
      <c r="S22">
        <v>-41.322080465819496</v>
      </c>
      <c r="T22">
        <v>-6.0730527533549301</v>
      </c>
      <c r="U22">
        <v>-5.4589600139647301E-3</v>
      </c>
      <c r="V22">
        <v>-0.133595979884883</v>
      </c>
      <c r="W22">
        <v>6.6299241449562202E-2</v>
      </c>
      <c r="X22">
        <v>-0.12430400199905001</v>
      </c>
      <c r="Y22">
        <v>-0.15589672681088401</v>
      </c>
      <c r="Z22">
        <v>0</v>
      </c>
      <c r="AA22">
        <v>0</v>
      </c>
      <c r="AB22">
        <v>0</v>
      </c>
      <c r="AC22">
        <v>0</v>
      </c>
      <c r="AD22">
        <v>0</v>
      </c>
      <c r="AE22">
        <v>0</v>
      </c>
      <c r="AF22">
        <v>0</v>
      </c>
      <c r="AG22">
        <v>0</v>
      </c>
      <c r="AH22">
        <v>0</v>
      </c>
      <c r="AI22">
        <v>0</v>
      </c>
      <c r="AJ22">
        <v>0</v>
      </c>
    </row>
    <row r="23" spans="1:36">
      <c r="A23" s="1">
        <v>43032</v>
      </c>
      <c r="B23" t="s">
        <v>15</v>
      </c>
      <c r="C23" t="s">
        <v>47</v>
      </c>
      <c r="D23">
        <v>140.30000000000001</v>
      </c>
      <c r="E23" t="s">
        <v>251</v>
      </c>
      <c r="F23" t="s">
        <v>79</v>
      </c>
      <c r="G23">
        <v>59.8</v>
      </c>
      <c r="H23">
        <v>42.31</v>
      </c>
      <c r="I23">
        <v>0.12602739726027401</v>
      </c>
      <c r="J23">
        <v>0.35520036544678302</v>
      </c>
      <c r="K23">
        <v>0.39010288238525398</v>
      </c>
      <c r="L23">
        <v>102.47580000000001</v>
      </c>
      <c r="M23">
        <v>41.539667277970203</v>
      </c>
      <c r="N23">
        <v>144.01546727797</v>
      </c>
      <c r="O23">
        <v>41.538568925440501</v>
      </c>
      <c r="P23">
        <v>0.99761233712639696</v>
      </c>
      <c r="Q23">
        <v>2.3578641860704299</v>
      </c>
      <c r="R23">
        <v>-0.85394786299707803</v>
      </c>
      <c r="S23">
        <v>-35.472710101632302</v>
      </c>
      <c r="T23">
        <v>-300.12680434782601</v>
      </c>
      <c r="U23">
        <v>-2.5799084974663399E-2</v>
      </c>
      <c r="V23">
        <v>4.1920758622282697E-3</v>
      </c>
      <c r="W23">
        <v>2.6770032787616398E-2</v>
      </c>
      <c r="X23">
        <v>-1.03814328979256E-2</v>
      </c>
      <c r="Y23">
        <v>1.1911418647532999E-2</v>
      </c>
      <c r="Z23">
        <v>-1.5547543179172899E-2</v>
      </c>
      <c r="AA23">
        <v>-1.30285291955022E-2</v>
      </c>
      <c r="AB23">
        <v>-3.4033998743630898E-3</v>
      </c>
      <c r="AC23">
        <v>-3.2247200402336897E-2</v>
      </c>
      <c r="AD23">
        <v>-9.3154701821645102E-3</v>
      </c>
      <c r="AE23">
        <v>-4.8814367035250898E-4</v>
      </c>
      <c r="AF23">
        <v>-1.80834911250938E-3</v>
      </c>
      <c r="AG23">
        <v>1.20222737112645E-2</v>
      </c>
      <c r="AH23">
        <v>2.1450849725337399E-2</v>
      </c>
      <c r="AI23">
        <v>5.4404327529804598E-2</v>
      </c>
      <c r="AJ23">
        <v>5.9970900554958198E-2</v>
      </c>
    </row>
    <row r="24" spans="1:36">
      <c r="A24" s="1">
        <v>43032</v>
      </c>
      <c r="B24" t="s">
        <v>40</v>
      </c>
      <c r="C24" t="s">
        <v>72</v>
      </c>
      <c r="D24">
        <v>103.6</v>
      </c>
      <c r="E24" t="s">
        <v>252</v>
      </c>
      <c r="F24" t="s">
        <v>104</v>
      </c>
      <c r="G24">
        <v>36.68</v>
      </c>
      <c r="H24">
        <v>56.02</v>
      </c>
      <c r="I24">
        <v>2.6219178082191799</v>
      </c>
      <c r="J24">
        <v>0.16252786525961099</v>
      </c>
      <c r="K24">
        <v>0.49791917384631101</v>
      </c>
      <c r="L24">
        <v>91.385400000000004</v>
      </c>
      <c r="M24">
        <v>0.66625971749444601</v>
      </c>
      <c r="N24">
        <v>92.051659717494402</v>
      </c>
      <c r="O24">
        <v>0.66267100607281504</v>
      </c>
      <c r="P24">
        <v>9.2071217696129706E-2</v>
      </c>
      <c r="Q24">
        <v>0.16435419081779701</v>
      </c>
      <c r="R24">
        <v>-0.34908310161783801</v>
      </c>
      <c r="S24">
        <v>-0.23258000866598599</v>
      </c>
      <c r="T24">
        <v>-4.6586509926854696</v>
      </c>
      <c r="U24">
        <v>0.12545499253296799</v>
      </c>
      <c r="V24">
        <v>0.1119194558816</v>
      </c>
      <c r="W24">
        <v>1.6368747499265101E-2</v>
      </c>
      <c r="X24">
        <v>0.12418361486273601</v>
      </c>
      <c r="Y24">
        <v>0.13046130242630399</v>
      </c>
      <c r="Z24">
        <v>0.12811014658498901</v>
      </c>
      <c r="AA24">
        <v>0.122106794087927</v>
      </c>
      <c r="AB24">
        <v>0.13053309904238899</v>
      </c>
      <c r="AC24">
        <v>0.11111255248416101</v>
      </c>
      <c r="AD24">
        <v>9.9558537784547804E-2</v>
      </c>
      <c r="AE24">
        <v>0.10569657143412001</v>
      </c>
      <c r="AF24">
        <v>0.114844734761814</v>
      </c>
      <c r="AG24">
        <v>9.5094528183474497E-2</v>
      </c>
      <c r="AH24">
        <v>8.6073043466407803E-2</v>
      </c>
      <c r="AI24">
        <v>0.108048134108701</v>
      </c>
      <c r="AJ24">
        <v>8.7257050240347106E-2</v>
      </c>
    </row>
    <row r="25" spans="1:36">
      <c r="A25" s="1">
        <v>43032</v>
      </c>
      <c r="B25" t="s">
        <v>34</v>
      </c>
      <c r="C25" t="s">
        <v>66</v>
      </c>
      <c r="D25">
        <v>102.13</v>
      </c>
      <c r="E25" t="s">
        <v>253</v>
      </c>
      <c r="F25" t="s">
        <v>98</v>
      </c>
      <c r="G25">
        <v>11.29</v>
      </c>
      <c r="H25">
        <v>16.75</v>
      </c>
      <c r="I25">
        <v>1.0027397260274</v>
      </c>
      <c r="J25">
        <v>0.26438756486952902</v>
      </c>
      <c r="K25">
        <v>0.51737748041352305</v>
      </c>
      <c r="L25">
        <v>97.5137</v>
      </c>
      <c r="M25">
        <v>0.73037065539942603</v>
      </c>
      <c r="N25">
        <v>98.244070655399398</v>
      </c>
      <c r="O25">
        <v>0.72521100218824996</v>
      </c>
      <c r="P25">
        <v>9.6658612493243506E-2</v>
      </c>
      <c r="Q25">
        <v>0.57706634324324502</v>
      </c>
      <c r="R25">
        <v>-0.269671572524877</v>
      </c>
      <c r="S25">
        <v>-0.196960203167588</v>
      </c>
      <c r="T25">
        <v>-4.6036871584699401</v>
      </c>
      <c r="U25">
        <v>3.9553830767363497E-2</v>
      </c>
      <c r="V25">
        <v>8.6639366783177602E-2</v>
      </c>
      <c r="W25">
        <v>3.8204942758553802E-2</v>
      </c>
      <c r="X25">
        <v>4.2319507277997999E-2</v>
      </c>
      <c r="Y25">
        <v>5.1691637039516798E-2</v>
      </c>
      <c r="Z25">
        <v>6.8642226312463694E-2</v>
      </c>
      <c r="AA25">
        <v>6.9274509947361507E-2</v>
      </c>
      <c r="AB25">
        <v>5.64202278022886E-2</v>
      </c>
      <c r="AC25">
        <v>4.6074026708987803E-2</v>
      </c>
      <c r="AD25">
        <v>5.8520006370922202E-2</v>
      </c>
      <c r="AE25">
        <v>9.8222245283364804E-2</v>
      </c>
      <c r="AF25">
        <v>0.119216721471503</v>
      </c>
      <c r="AG25">
        <v>0.11675218909893</v>
      </c>
      <c r="AH25">
        <v>0.114644040930832</v>
      </c>
      <c r="AI25">
        <v>0.16150769180024999</v>
      </c>
      <c r="AJ25">
        <v>0.123497150417162</v>
      </c>
    </row>
    <row r="26" spans="1:36">
      <c r="A26" s="1">
        <v>43032</v>
      </c>
      <c r="B26" t="s">
        <v>38</v>
      </c>
      <c r="C26" t="s">
        <v>70</v>
      </c>
      <c r="D26">
        <v>92.85</v>
      </c>
      <c r="E26" t="s">
        <v>254</v>
      </c>
      <c r="F26" t="s">
        <v>102</v>
      </c>
      <c r="G26">
        <v>3.83</v>
      </c>
      <c r="H26">
        <v>6.76</v>
      </c>
      <c r="I26">
        <v>4.0328767123287701</v>
      </c>
      <c r="J26">
        <v>0.152416082844712</v>
      </c>
      <c r="K26">
        <v>0.27787516080504299</v>
      </c>
      <c r="L26">
        <v>89.914100000000005</v>
      </c>
      <c r="M26">
        <v>0.44794989828538201</v>
      </c>
      <c r="N26">
        <v>90.362049898285406</v>
      </c>
      <c r="O26">
        <v>0.44300627735474202</v>
      </c>
      <c r="P26">
        <v>6.6091586340351199E-2</v>
      </c>
      <c r="Q26">
        <v>0.97768618846673405</v>
      </c>
      <c r="R26">
        <v>-2.2010827002999798E-2</v>
      </c>
      <c r="S26">
        <v>-9.8597477171709098E-3</v>
      </c>
      <c r="T26">
        <v>-0.72799150815217095</v>
      </c>
      <c r="U26">
        <v>2.75331303851023E-2</v>
      </c>
      <c r="V26">
        <v>4.56062484762337E-2</v>
      </c>
      <c r="W26">
        <v>1.24206063151815E-2</v>
      </c>
      <c r="X26">
        <v>2.7740465050030499E-2</v>
      </c>
      <c r="Y26">
        <v>3.2251736319454598E-2</v>
      </c>
      <c r="Z26">
        <v>4.3778004845818501E-2</v>
      </c>
      <c r="AA26">
        <v>3.91908602366784E-2</v>
      </c>
      <c r="AB26">
        <v>4.3298993303570801E-2</v>
      </c>
      <c r="AC26">
        <v>3.4556127903019498E-2</v>
      </c>
      <c r="AD26">
        <v>4.15225101551484E-2</v>
      </c>
      <c r="AE26">
        <v>6.4566577364886996E-2</v>
      </c>
      <c r="AF26">
        <v>5.7415856721002002E-2</v>
      </c>
      <c r="AG26">
        <v>4.2834995431011998E-2</v>
      </c>
      <c r="AH26">
        <v>5.4985653701809301E-2</v>
      </c>
      <c r="AI26">
        <v>5.85304441790249E-2</v>
      </c>
      <c r="AJ26">
        <v>3.8348153428682197E-2</v>
      </c>
    </row>
    <row r="27" spans="1:36">
      <c r="A27" s="1">
        <v>43032</v>
      </c>
      <c r="B27" t="s">
        <v>26</v>
      </c>
      <c r="C27" t="s">
        <v>58</v>
      </c>
      <c r="D27">
        <v>125.43</v>
      </c>
      <c r="E27" t="s">
        <v>255</v>
      </c>
      <c r="F27" t="s">
        <v>90</v>
      </c>
      <c r="G27">
        <v>39.56</v>
      </c>
      <c r="H27">
        <v>37.58</v>
      </c>
      <c r="I27">
        <v>3.1232876712328799</v>
      </c>
      <c r="J27">
        <v>0.282062132881855</v>
      </c>
      <c r="K27">
        <v>0.31986774261616902</v>
      </c>
      <c r="L27">
        <v>99.317999999999998</v>
      </c>
      <c r="M27">
        <v>25.047288410653699</v>
      </c>
      <c r="N27">
        <v>124.365288410654</v>
      </c>
      <c r="O27">
        <v>25.124803121067501</v>
      </c>
      <c r="P27">
        <v>0.67228475785529995</v>
      </c>
      <c r="Q27">
        <v>1.7889429426697701</v>
      </c>
      <c r="R27">
        <v>-1.3978249067197399</v>
      </c>
      <c r="S27">
        <v>-35.011723586204297</v>
      </c>
      <c r="T27">
        <v>-8.3604210526315796</v>
      </c>
      <c r="U27">
        <v>8.5611636731837103E-3</v>
      </c>
      <c r="V27">
        <v>4.4579595293159899E-2</v>
      </c>
      <c r="W27">
        <v>2.3955132572690802E-2</v>
      </c>
      <c r="X27">
        <v>4.2740063484462696E-3</v>
      </c>
      <c r="Y27">
        <v>2.4967973515629401E-2</v>
      </c>
      <c r="Z27">
        <v>3.07801841635966E-2</v>
      </c>
      <c r="AA27">
        <v>2.80064704348136E-2</v>
      </c>
      <c r="AB27">
        <v>1.9210297244119798E-2</v>
      </c>
      <c r="AC27">
        <v>3.25138373682545E-2</v>
      </c>
      <c r="AD27">
        <v>3.3362227751618602E-2</v>
      </c>
      <c r="AE27">
        <v>5.9441082552434001E-2</v>
      </c>
      <c r="AF27">
        <v>7.4860244802746195E-2</v>
      </c>
      <c r="AG27">
        <v>7.2305340338014404E-2</v>
      </c>
      <c r="AH27">
        <v>7.0570787623700601E-2</v>
      </c>
      <c r="AI27">
        <v>6.68712766263002E-2</v>
      </c>
      <c r="AJ27">
        <v>5.5992895738204498E-2</v>
      </c>
    </row>
    <row r="28" spans="1:36">
      <c r="A28" s="1">
        <v>43032</v>
      </c>
      <c r="B28" t="s">
        <v>29</v>
      </c>
      <c r="C28" t="s">
        <v>61</v>
      </c>
      <c r="D28">
        <v>101.99</v>
      </c>
      <c r="E28" t="s">
        <v>256</v>
      </c>
      <c r="F28" t="s">
        <v>93</v>
      </c>
      <c r="G28">
        <v>12.21</v>
      </c>
      <c r="H28">
        <v>16.190000000000001</v>
      </c>
      <c r="I28">
        <v>3.6630136986301398</v>
      </c>
      <c r="J28">
        <v>0.274239910285833</v>
      </c>
      <c r="K28">
        <v>0.19314987070845499</v>
      </c>
      <c r="L28">
        <v>97.226900000000001</v>
      </c>
      <c r="M28">
        <v>9.5634886459809092</v>
      </c>
      <c r="N28">
        <v>106.790388645981</v>
      </c>
      <c r="O28">
        <v>9.5301497632815195</v>
      </c>
      <c r="P28">
        <v>0.43233827390028801</v>
      </c>
      <c r="Q28">
        <v>2.6704031741833698</v>
      </c>
      <c r="R28">
        <v>-0.399911699113289</v>
      </c>
      <c r="S28">
        <v>-3.8245509938648801</v>
      </c>
      <c r="T28">
        <v>-1.3003227374719499</v>
      </c>
      <c r="U28">
        <v>-4.4951504595554997E-2</v>
      </c>
      <c r="V28">
        <v>-0.136187532196131</v>
      </c>
      <c r="W28">
        <v>6.8363748909972794E-2</v>
      </c>
      <c r="X28">
        <v>-4.7914169687358003E-2</v>
      </c>
      <c r="Y28">
        <v>-5.0017080361870303E-2</v>
      </c>
      <c r="Z28">
        <v>-6.2725336673352894E-2</v>
      </c>
      <c r="AA28">
        <v>-7.63261571408618E-2</v>
      </c>
      <c r="AB28">
        <v>-0.10173193034875901</v>
      </c>
      <c r="AC28">
        <v>-0.14610607507274301</v>
      </c>
      <c r="AD28">
        <v>-0.203003954190945</v>
      </c>
      <c r="AE28">
        <v>-0.22692635197402</v>
      </c>
      <c r="AF28">
        <v>-0.227860274054242</v>
      </c>
      <c r="AG28">
        <v>-0.21502503963231501</v>
      </c>
      <c r="AH28">
        <v>-0.18730770497707799</v>
      </c>
      <c r="AI28">
        <v>-0.110992863237796</v>
      </c>
      <c r="AJ28">
        <v>-8.0787289468778598E-2</v>
      </c>
    </row>
    <row r="29" spans="1:36">
      <c r="A29" s="1">
        <v>43032</v>
      </c>
      <c r="B29" t="s">
        <v>37</v>
      </c>
      <c r="C29" t="s">
        <v>69</v>
      </c>
      <c r="D29">
        <v>92.74</v>
      </c>
      <c r="E29" t="s">
        <v>257</v>
      </c>
      <c r="F29" t="s">
        <v>101</v>
      </c>
      <c r="G29">
        <v>9.25</v>
      </c>
      <c r="H29">
        <v>15.75</v>
      </c>
      <c r="I29">
        <v>4.0191780821917797</v>
      </c>
      <c r="J29">
        <v>0.12822129824857301</v>
      </c>
      <c r="K29">
        <v>0.21209726046650401</v>
      </c>
      <c r="L29">
        <v>91.629199999999997</v>
      </c>
      <c r="M29">
        <v>0.24759735902440699</v>
      </c>
      <c r="N29">
        <v>91.876797359024394</v>
      </c>
      <c r="O29">
        <v>0.23920201868573801</v>
      </c>
      <c r="P29">
        <v>4.3876894814462802E-2</v>
      </c>
      <c r="Q29">
        <v>0.27858345913944599</v>
      </c>
      <c r="R29">
        <v>-3.29760089010133E-2</v>
      </c>
      <c r="S29">
        <v>-8.1647727150562302E-3</v>
      </c>
      <c r="T29">
        <v>-0.27637491479209197</v>
      </c>
      <c r="U29">
        <v>9.3952190954422806E-3</v>
      </c>
      <c r="V29">
        <v>5.2045970424683501E-2</v>
      </c>
      <c r="W29">
        <v>3.9357279397541002E-2</v>
      </c>
      <c r="X29">
        <v>1.18329705247692E-2</v>
      </c>
      <c r="Y29">
        <v>2.39962835029911E-2</v>
      </c>
      <c r="Z29">
        <v>3.0496358545474299E-2</v>
      </c>
      <c r="AA29">
        <v>2.5970334716573201E-2</v>
      </c>
      <c r="AB29">
        <v>2.87096233099251E-2</v>
      </c>
      <c r="AC29">
        <v>3.9894816718214501E-2</v>
      </c>
      <c r="AD29">
        <v>6.2616010554276E-2</v>
      </c>
      <c r="AE29">
        <v>9.3069509008616699E-2</v>
      </c>
      <c r="AF29">
        <v>0.103628665102124</v>
      </c>
      <c r="AG29">
        <v>9.3497913727799295E-2</v>
      </c>
      <c r="AH29">
        <v>0.11166892942277599</v>
      </c>
      <c r="AI29">
        <v>-1.67328903110515E-3</v>
      </c>
      <c r="AJ29">
        <v>-1.50094550184396E-2</v>
      </c>
    </row>
    <row r="30" spans="1:36">
      <c r="A30" s="1">
        <v>43032</v>
      </c>
      <c r="B30" t="s">
        <v>36</v>
      </c>
      <c r="C30" t="s">
        <v>68</v>
      </c>
      <c r="D30">
        <v>95.41</v>
      </c>
      <c r="E30" t="s">
        <v>258</v>
      </c>
      <c r="F30" t="s">
        <v>100</v>
      </c>
      <c r="G30">
        <v>5.95</v>
      </c>
      <c r="H30">
        <v>9.8000000000000007</v>
      </c>
      <c r="I30">
        <v>4.4986301369863</v>
      </c>
      <c r="J30">
        <v>0.17438726507056901</v>
      </c>
      <c r="K30">
        <v>0.20645223911358701</v>
      </c>
      <c r="L30">
        <v>93.486800000000002</v>
      </c>
      <c r="M30">
        <v>1.65427578437863</v>
      </c>
      <c r="N30">
        <v>95.1410757843786</v>
      </c>
      <c r="O30">
        <v>1.64556539666462</v>
      </c>
      <c r="P30">
        <v>0.16312266939871101</v>
      </c>
      <c r="Q30">
        <v>1.6645170346807301</v>
      </c>
      <c r="R30">
        <v>-7.2396369064834099E-2</v>
      </c>
      <c r="S30">
        <v>-0.119763560220893</v>
      </c>
      <c r="T30">
        <v>-0.42750791717417702</v>
      </c>
      <c r="U30">
        <v>2.8265837169094699E-3</v>
      </c>
      <c r="V30">
        <v>-2.8501652898331601E-3</v>
      </c>
      <c r="W30">
        <v>1.29912532960618E-2</v>
      </c>
      <c r="X30">
        <v>-3.3894920105551101E-4</v>
      </c>
      <c r="Y30">
        <v>5.8038754111388097E-5</v>
      </c>
      <c r="Z30">
        <v>1.15602493344569E-3</v>
      </c>
      <c r="AA30">
        <v>-4.8546617391110602E-3</v>
      </c>
      <c r="AB30">
        <v>-1.17416411778885E-2</v>
      </c>
      <c r="AC30">
        <v>-5.4810129705025702E-3</v>
      </c>
      <c r="AD30">
        <v>1.8544753802538901E-2</v>
      </c>
      <c r="AE30">
        <v>0</v>
      </c>
      <c r="AF30">
        <v>0</v>
      </c>
      <c r="AG30">
        <v>0</v>
      </c>
      <c r="AH30">
        <v>0</v>
      </c>
      <c r="AI30">
        <v>0</v>
      </c>
      <c r="AJ30">
        <v>0</v>
      </c>
    </row>
    <row r="31" spans="1:36">
      <c r="A31" s="1">
        <v>43032</v>
      </c>
      <c r="B31" t="s">
        <v>19</v>
      </c>
      <c r="C31" t="s">
        <v>51</v>
      </c>
      <c r="D31">
        <v>101.7</v>
      </c>
      <c r="E31" t="s">
        <v>259</v>
      </c>
      <c r="F31" t="s">
        <v>83</v>
      </c>
      <c r="G31">
        <v>8.17</v>
      </c>
      <c r="H31">
        <v>8.92</v>
      </c>
      <c r="I31">
        <v>4.7178082191780799</v>
      </c>
      <c r="J31">
        <v>0.122897659343153</v>
      </c>
      <c r="K31">
        <v>0.177523262182156</v>
      </c>
      <c r="L31">
        <v>88.619100000000003</v>
      </c>
      <c r="M31">
        <v>9.0406723312005504</v>
      </c>
      <c r="N31">
        <v>97.6597723312005</v>
      </c>
      <c r="O31">
        <v>9.0366730722444402</v>
      </c>
      <c r="P31">
        <v>0.527728409362202</v>
      </c>
      <c r="Q31">
        <v>5.9162377731188496</v>
      </c>
      <c r="R31">
        <v>-0.14456336403485001</v>
      </c>
      <c r="S31">
        <v>-1.3069500053351499</v>
      </c>
      <c r="T31">
        <v>-2.7726646341463401</v>
      </c>
      <c r="U31">
        <v>4.1370439151727098E-2</v>
      </c>
      <c r="V31">
        <v>5.3869967940800199E-2</v>
      </c>
      <c r="W31">
        <v>1.5074426943787E-2</v>
      </c>
      <c r="X31">
        <v>5.0198747014921899E-2</v>
      </c>
      <c r="Y31">
        <v>6.2170986407339597E-2</v>
      </c>
      <c r="Z31">
        <v>6.1126650590453198E-2</v>
      </c>
      <c r="AA31">
        <v>3.10107035078151E-2</v>
      </c>
      <c r="AB31">
        <v>0</v>
      </c>
      <c r="AC31">
        <v>0</v>
      </c>
      <c r="AD31">
        <v>0</v>
      </c>
      <c r="AE31">
        <v>0</v>
      </c>
      <c r="AF31">
        <v>0</v>
      </c>
      <c r="AG31">
        <v>0</v>
      </c>
      <c r="AH31">
        <v>0</v>
      </c>
      <c r="AI31">
        <v>0</v>
      </c>
      <c r="AJ31">
        <v>0</v>
      </c>
    </row>
    <row r="32" spans="1:36">
      <c r="A32" s="1">
        <v>43032</v>
      </c>
      <c r="B32" t="s">
        <v>11</v>
      </c>
      <c r="C32" t="s">
        <v>43</v>
      </c>
      <c r="D32">
        <v>114</v>
      </c>
      <c r="E32" t="s">
        <v>260</v>
      </c>
      <c r="F32" t="s">
        <v>75</v>
      </c>
      <c r="G32">
        <v>16.28</v>
      </c>
      <c r="H32">
        <v>17.12</v>
      </c>
      <c r="I32">
        <v>2.77534246575342</v>
      </c>
      <c r="J32">
        <v>0.41585232779023201</v>
      </c>
      <c r="K32">
        <v>0.35392310423602502</v>
      </c>
      <c r="L32">
        <v>92.473600000000005</v>
      </c>
      <c r="M32">
        <v>25.465489188939099</v>
      </c>
      <c r="N32">
        <v>117.93908918893899</v>
      </c>
      <c r="O32">
        <v>25.524919525052098</v>
      </c>
      <c r="P32">
        <v>0.63075840755854196</v>
      </c>
      <c r="Q32">
        <v>3.6843364927484901</v>
      </c>
      <c r="R32">
        <v>-0.85531056712749498</v>
      </c>
      <c r="S32">
        <v>-21.780902000370599</v>
      </c>
      <c r="T32">
        <v>-7.7563040473840097</v>
      </c>
      <c r="U32">
        <v>-3.3399352293018297E-2</v>
      </c>
      <c r="V32">
        <v>-4.2039198124636398E-2</v>
      </c>
      <c r="W32">
        <v>4.3260931113215099E-2</v>
      </c>
      <c r="X32">
        <v>-3.6933095379527298E-2</v>
      </c>
      <c r="Y32">
        <v>-1.3436348929881801E-2</v>
      </c>
      <c r="Z32">
        <v>-7.3559820316596206E-2</v>
      </c>
      <c r="AA32">
        <v>0</v>
      </c>
      <c r="AB32">
        <v>0</v>
      </c>
      <c r="AC32">
        <v>0</v>
      </c>
      <c r="AD32">
        <v>0</v>
      </c>
      <c r="AE32">
        <v>0</v>
      </c>
      <c r="AF32">
        <v>0</v>
      </c>
      <c r="AG32">
        <v>0</v>
      </c>
      <c r="AH32">
        <v>0</v>
      </c>
      <c r="AI32">
        <v>0</v>
      </c>
      <c r="AJ32">
        <v>0</v>
      </c>
    </row>
    <row r="33" spans="1:36">
      <c r="A33" s="1">
        <v>43032</v>
      </c>
      <c r="B33" t="s">
        <v>28</v>
      </c>
      <c r="C33" t="s">
        <v>60</v>
      </c>
      <c r="D33">
        <v>92.9</v>
      </c>
      <c r="E33" t="s">
        <v>261</v>
      </c>
      <c r="F33" t="s">
        <v>92</v>
      </c>
      <c r="G33">
        <v>16.86</v>
      </c>
      <c r="H33">
        <v>25</v>
      </c>
      <c r="I33">
        <v>4.8136986301369902</v>
      </c>
      <c r="J33">
        <v>0.30074899165774999</v>
      </c>
      <c r="K33">
        <v>0.235003049983874</v>
      </c>
      <c r="L33">
        <v>86.614400000000003</v>
      </c>
      <c r="M33">
        <v>10.2545052571752</v>
      </c>
      <c r="N33">
        <v>96.8689052571752</v>
      </c>
      <c r="O33">
        <v>10.2149419816683</v>
      </c>
      <c r="P33">
        <v>0.43736510237565002</v>
      </c>
      <c r="Q33">
        <v>1.7494604095026001</v>
      </c>
      <c r="R33">
        <v>-0.52746324867547101</v>
      </c>
      <c r="S33">
        <v>-5.4088746565093402</v>
      </c>
      <c r="T33">
        <v>-1.3057734775184999</v>
      </c>
      <c r="U33">
        <v>-4.0971922276175597E-2</v>
      </c>
      <c r="V33">
        <v>-5.0172120487592398E-2</v>
      </c>
      <c r="W33">
        <v>1.8032162400743401E-2</v>
      </c>
      <c r="X33">
        <v>-6.1064338229880902E-2</v>
      </c>
      <c r="Y33">
        <v>-5.1057671409835401E-2</v>
      </c>
      <c r="Z33">
        <v>-3.6599103917177501E-2</v>
      </c>
      <c r="AA33">
        <v>0</v>
      </c>
      <c r="AB33">
        <v>0</v>
      </c>
      <c r="AC33">
        <v>0</v>
      </c>
      <c r="AD33">
        <v>0</v>
      </c>
      <c r="AE33">
        <v>0</v>
      </c>
      <c r="AF33">
        <v>0</v>
      </c>
      <c r="AG33">
        <v>0</v>
      </c>
      <c r="AH33">
        <v>0</v>
      </c>
      <c r="AI33">
        <v>0</v>
      </c>
      <c r="AJ33">
        <v>0</v>
      </c>
    </row>
    <row r="34" spans="1:36">
      <c r="A34" s="1">
        <v>43032</v>
      </c>
      <c r="B34" t="s">
        <v>24</v>
      </c>
      <c r="C34" t="s">
        <v>56</v>
      </c>
      <c r="D34">
        <v>103.52</v>
      </c>
      <c r="E34" t="s">
        <v>262</v>
      </c>
      <c r="F34" t="s">
        <v>88</v>
      </c>
      <c r="G34">
        <v>11.76</v>
      </c>
      <c r="H34">
        <v>13.49</v>
      </c>
      <c r="I34">
        <v>2.86301369863014</v>
      </c>
      <c r="J34">
        <v>0.38512108699300601</v>
      </c>
      <c r="K34">
        <v>0.25288858299121098</v>
      </c>
      <c r="L34">
        <v>92.087400000000002</v>
      </c>
      <c r="M34">
        <v>19.294381654155998</v>
      </c>
      <c r="N34">
        <v>111.381781654156</v>
      </c>
      <c r="O34">
        <v>19.3465608270307</v>
      </c>
      <c r="P34">
        <v>0.57185950479093095</v>
      </c>
      <c r="Q34">
        <v>4.2391364328460401</v>
      </c>
      <c r="R34">
        <v>-0.58706482558754203</v>
      </c>
      <c r="S34">
        <v>-11.327052800616601</v>
      </c>
      <c r="T34">
        <v>-3.9932047846889902</v>
      </c>
      <c r="U34">
        <v>-7.0584089582684806E-2</v>
      </c>
      <c r="V34">
        <v>-9.8269310535246998E-2</v>
      </c>
      <c r="W34">
        <v>1.51469832002359E-2</v>
      </c>
      <c r="X34">
        <v>-8.7464944556843893E-2</v>
      </c>
      <c r="Y34">
        <v>-0.10475193012228901</v>
      </c>
      <c r="Z34">
        <v>0</v>
      </c>
      <c r="AA34">
        <v>0</v>
      </c>
      <c r="AB34">
        <v>0</v>
      </c>
      <c r="AC34">
        <v>0</v>
      </c>
      <c r="AD34">
        <v>0</v>
      </c>
      <c r="AE34">
        <v>0</v>
      </c>
      <c r="AF34">
        <v>0</v>
      </c>
      <c r="AG34">
        <v>0</v>
      </c>
      <c r="AH34">
        <v>0</v>
      </c>
      <c r="AI34">
        <v>0</v>
      </c>
      <c r="AJ34">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2017-10-25T07:27:15Z</dcterms:modified>
</cp:coreProperties>
</file>