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autorun\"/>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IPO" sheetId="9" r:id="rId6"/>
    <sheet name="Data" sheetId="2" state="hidden" r:id="rId7"/>
  </sheets>
  <functionGroups builtInGroupCount="18"/>
  <externalReferences>
    <externalReference r:id="rId8"/>
  </externalReferences>
  <calcPr calcId="152511"/>
  <fileRecoveryPr autoRecover="0"/>
</workbook>
</file>

<file path=xl/calcChain.xml><?xml version="1.0" encoding="utf-8"?>
<calcChain xmlns="http://schemas.openxmlformats.org/spreadsheetml/2006/main">
  <c r="D5" i="5" l="1"/>
  <c r="P15" i="9" l="1"/>
  <c r="P16" i="9"/>
  <c r="P17" i="9"/>
  <c r="P18" i="9"/>
  <c r="P19" i="9"/>
  <c r="P20" i="9"/>
  <c r="P21" i="9"/>
  <c r="P14" i="9"/>
  <c r="A3" i="3"/>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s="1"/>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 i="1"/>
  <c r="B3" i="1"/>
  <c r="C3" i="1"/>
  <c r="D3" i="1"/>
  <c r="E3" i="1"/>
  <c r="F3" i="1"/>
  <c r="G3" i="1"/>
  <c r="I3" i="1"/>
  <c r="J3" i="1"/>
  <c r="L3" i="1"/>
  <c r="M3" i="1"/>
  <c r="N3" i="1"/>
  <c r="O3" i="1"/>
  <c r="P3" i="1"/>
  <c r="Q3" i="1"/>
  <c r="R3" i="1"/>
  <c r="S3" i="1"/>
  <c r="T3" i="1"/>
  <c r="U3" i="1"/>
  <c r="V3" i="1"/>
  <c r="W3" i="1"/>
  <c r="A4" i="1"/>
  <c r="B4" i="1"/>
  <c r="C4" i="1"/>
  <c r="D4" i="1"/>
  <c r="E4" i="1"/>
  <c r="F4" i="1"/>
  <c r="G4" i="1"/>
  <c r="I4" i="1"/>
  <c r="J4" i="1"/>
  <c r="L4" i="1"/>
  <c r="M4" i="1"/>
  <c r="N4" i="1"/>
  <c r="O4" i="1"/>
  <c r="P4" i="1"/>
  <c r="Q4" i="1"/>
  <c r="R4" i="1"/>
  <c r="S4" i="1"/>
  <c r="T4" i="1"/>
  <c r="U4" i="1"/>
  <c r="V4" i="1"/>
  <c r="W4" i="1"/>
  <c r="A5" i="1"/>
  <c r="B5" i="1"/>
  <c r="C5" i="1"/>
  <c r="D5" i="1"/>
  <c r="E5" i="1"/>
  <c r="F5" i="1"/>
  <c r="G5" i="1"/>
  <c r="I5" i="1"/>
  <c r="J5" i="1"/>
  <c r="L5" i="1"/>
  <c r="M5" i="1"/>
  <c r="N5" i="1"/>
  <c r="O5" i="1"/>
  <c r="P5" i="1"/>
  <c r="Q5" i="1"/>
  <c r="R5" i="1"/>
  <c r="S5" i="1"/>
  <c r="T5" i="1"/>
  <c r="U5" i="1"/>
  <c r="V5" i="1"/>
  <c r="W5" i="1"/>
  <c r="A6" i="1"/>
  <c r="B6" i="1"/>
  <c r="C6" i="1"/>
  <c r="D6" i="1"/>
  <c r="E6" i="1"/>
  <c r="F6" i="1"/>
  <c r="G6" i="1"/>
  <c r="I6" i="1"/>
  <c r="J6" i="1"/>
  <c r="L6" i="1"/>
  <c r="M6" i="1"/>
  <c r="N6" i="1"/>
  <c r="O6" i="1"/>
  <c r="P6" i="1"/>
  <c r="Q6" i="1"/>
  <c r="R6" i="1"/>
  <c r="S6" i="1"/>
  <c r="T6" i="1"/>
  <c r="U6" i="1"/>
  <c r="V6" i="1"/>
  <c r="W6" i="1"/>
  <c r="A7" i="1"/>
  <c r="B7" i="1"/>
  <c r="C7" i="1"/>
  <c r="D7" i="1"/>
  <c r="E7" i="1"/>
  <c r="F7" i="1"/>
  <c r="G7" i="1"/>
  <c r="I7" i="1"/>
  <c r="J7" i="1"/>
  <c r="L7" i="1"/>
  <c r="M7" i="1"/>
  <c r="N7" i="1"/>
  <c r="O7" i="1"/>
  <c r="P7" i="1"/>
  <c r="Q7" i="1"/>
  <c r="R7" i="1"/>
  <c r="S7" i="1"/>
  <c r="T7" i="1"/>
  <c r="U7" i="1"/>
  <c r="V7" i="1"/>
  <c r="W7" i="1"/>
  <c r="A8" i="1"/>
  <c r="B8" i="1"/>
  <c r="C8" i="1"/>
  <c r="D8" i="1"/>
  <c r="E8" i="1"/>
  <c r="F8" i="1"/>
  <c r="G8" i="1"/>
  <c r="I8" i="1"/>
  <c r="J8" i="1"/>
  <c r="L8" i="1"/>
  <c r="M8" i="1"/>
  <c r="N8" i="1"/>
  <c r="O8" i="1"/>
  <c r="P8" i="1"/>
  <c r="Q8" i="1"/>
  <c r="R8" i="1"/>
  <c r="S8" i="1"/>
  <c r="T8" i="1"/>
  <c r="U8" i="1"/>
  <c r="V8" i="1"/>
  <c r="W8" i="1"/>
  <c r="A9" i="1"/>
  <c r="B9" i="1"/>
  <c r="C9" i="1"/>
  <c r="D9" i="1"/>
  <c r="E9" i="1"/>
  <c r="F9" i="1"/>
  <c r="G9" i="1"/>
  <c r="I9" i="1"/>
  <c r="J9" i="1"/>
  <c r="L9" i="1"/>
  <c r="M9" i="1"/>
  <c r="N9" i="1"/>
  <c r="O9" i="1"/>
  <c r="P9" i="1"/>
  <c r="Q9" i="1"/>
  <c r="R9" i="1"/>
  <c r="S9" i="1"/>
  <c r="T9" i="1"/>
  <c r="U9" i="1"/>
  <c r="V9" i="1"/>
  <c r="W9" i="1"/>
  <c r="A10" i="1"/>
  <c r="B10" i="1"/>
  <c r="C10" i="1"/>
  <c r="D10" i="1"/>
  <c r="E10" i="1"/>
  <c r="F10" i="1"/>
  <c r="G10" i="1"/>
  <c r="I10" i="1"/>
  <c r="J10" i="1"/>
  <c r="L10" i="1"/>
  <c r="M10" i="1"/>
  <c r="N10" i="1"/>
  <c r="O10" i="1"/>
  <c r="P10" i="1"/>
  <c r="Q10" i="1"/>
  <c r="R10" i="1"/>
  <c r="S10" i="1"/>
  <c r="T10" i="1"/>
  <c r="U10" i="1"/>
  <c r="V10" i="1"/>
  <c r="W10" i="1"/>
  <c r="A11" i="1"/>
  <c r="B11" i="1"/>
  <c r="C11" i="1"/>
  <c r="D11" i="1"/>
  <c r="E11" i="1"/>
  <c r="F11" i="1"/>
  <c r="G11" i="1"/>
  <c r="I11" i="1"/>
  <c r="J11" i="1"/>
  <c r="L11" i="1"/>
  <c r="M11" i="1"/>
  <c r="N11" i="1"/>
  <c r="O11" i="1"/>
  <c r="P11" i="1"/>
  <c r="Q11" i="1"/>
  <c r="R11" i="1"/>
  <c r="S11" i="1"/>
  <c r="T11" i="1"/>
  <c r="U11" i="1"/>
  <c r="V11" i="1"/>
  <c r="W11" i="1"/>
  <c r="A12" i="1"/>
  <c r="B12" i="1"/>
  <c r="C12" i="1"/>
  <c r="D12" i="1"/>
  <c r="E12" i="1"/>
  <c r="F12" i="1"/>
  <c r="G12" i="1"/>
  <c r="I12" i="1"/>
  <c r="J12" i="1"/>
  <c r="L12" i="1"/>
  <c r="M12" i="1"/>
  <c r="N12" i="1"/>
  <c r="O12" i="1"/>
  <c r="P12" i="1"/>
  <c r="Q12" i="1"/>
  <c r="R12" i="1"/>
  <c r="S12" i="1"/>
  <c r="T12" i="1"/>
  <c r="U12" i="1"/>
  <c r="V12" i="1"/>
  <c r="W12" i="1"/>
  <c r="A13" i="1"/>
  <c r="B13" i="1"/>
  <c r="C13" i="1"/>
  <c r="D13" i="1"/>
  <c r="E13" i="1"/>
  <c r="F13" i="1"/>
  <c r="G13" i="1"/>
  <c r="I13" i="1"/>
  <c r="J13" i="1"/>
  <c r="L13" i="1"/>
  <c r="M13" i="1"/>
  <c r="N13" i="1"/>
  <c r="O13" i="1"/>
  <c r="P13" i="1"/>
  <c r="Q13" i="1"/>
  <c r="R13" i="1"/>
  <c r="S13" i="1"/>
  <c r="T13" i="1"/>
  <c r="U13" i="1"/>
  <c r="V13" i="1"/>
  <c r="W13" i="1"/>
  <c r="A14" i="1"/>
  <c r="B14" i="1"/>
  <c r="C14" i="1"/>
  <c r="D14" i="1"/>
  <c r="E14" i="1"/>
  <c r="F14" i="1"/>
  <c r="G14" i="1"/>
  <c r="I14" i="1"/>
  <c r="J14" i="1"/>
  <c r="L14" i="1"/>
  <c r="M14" i="1"/>
  <c r="N14" i="1"/>
  <c r="O14" i="1"/>
  <c r="P14" i="1"/>
  <c r="Q14" i="1"/>
  <c r="R14" i="1"/>
  <c r="S14" i="1"/>
  <c r="T14" i="1"/>
  <c r="U14" i="1"/>
  <c r="V14" i="1"/>
  <c r="W14" i="1"/>
  <c r="A15" i="1"/>
  <c r="B15" i="1"/>
  <c r="C15" i="1"/>
  <c r="D15" i="1"/>
  <c r="E15" i="1"/>
  <c r="F15" i="1"/>
  <c r="G15" i="1"/>
  <c r="I15" i="1"/>
  <c r="J15" i="1"/>
  <c r="L15" i="1"/>
  <c r="M15" i="1"/>
  <c r="N15" i="1"/>
  <c r="O15" i="1"/>
  <c r="P15" i="1"/>
  <c r="Q15" i="1"/>
  <c r="R15" i="1"/>
  <c r="S15" i="1"/>
  <c r="T15" i="1"/>
  <c r="U15" i="1"/>
  <c r="V15" i="1"/>
  <c r="W15" i="1"/>
  <c r="A16" i="1"/>
  <c r="B16" i="1"/>
  <c r="C16" i="1"/>
  <c r="D16" i="1"/>
  <c r="E16" i="1"/>
  <c r="F16" i="1"/>
  <c r="G16" i="1"/>
  <c r="I16" i="1"/>
  <c r="J16" i="1"/>
  <c r="L16" i="1"/>
  <c r="M16" i="1"/>
  <c r="N16" i="1"/>
  <c r="O16" i="1"/>
  <c r="P16" i="1"/>
  <c r="Q16" i="1"/>
  <c r="R16" i="1"/>
  <c r="S16" i="1"/>
  <c r="T16" i="1"/>
  <c r="U16" i="1"/>
  <c r="V16" i="1"/>
  <c r="W16" i="1"/>
  <c r="A17" i="1"/>
  <c r="B17" i="1"/>
  <c r="C17" i="1"/>
  <c r="D17" i="1"/>
  <c r="E17" i="1"/>
  <c r="F17" i="1"/>
  <c r="G17" i="1"/>
  <c r="I17" i="1"/>
  <c r="J17" i="1"/>
  <c r="L17" i="1"/>
  <c r="M17" i="1"/>
  <c r="N17" i="1"/>
  <c r="O17" i="1"/>
  <c r="P17" i="1"/>
  <c r="Q17" i="1"/>
  <c r="R17" i="1"/>
  <c r="S17" i="1"/>
  <c r="T17" i="1"/>
  <c r="U17" i="1"/>
  <c r="V17" i="1"/>
  <c r="W17" i="1"/>
  <c r="A18" i="1"/>
  <c r="B18" i="1"/>
  <c r="C18" i="1"/>
  <c r="D18" i="1"/>
  <c r="E18" i="1"/>
  <c r="F18" i="1"/>
  <c r="G18" i="1"/>
  <c r="I18" i="1"/>
  <c r="J18" i="1"/>
  <c r="L18" i="1"/>
  <c r="M18" i="1"/>
  <c r="N18" i="1"/>
  <c r="O18" i="1"/>
  <c r="P18" i="1"/>
  <c r="Q18" i="1"/>
  <c r="R18" i="1"/>
  <c r="S18" i="1"/>
  <c r="T18" i="1"/>
  <c r="U18" i="1"/>
  <c r="V18" i="1"/>
  <c r="W18" i="1"/>
  <c r="A19" i="1"/>
  <c r="B19" i="1"/>
  <c r="C19" i="1"/>
  <c r="D19" i="1"/>
  <c r="E19" i="1"/>
  <c r="F19" i="1"/>
  <c r="G19" i="1"/>
  <c r="I19" i="1"/>
  <c r="J19" i="1"/>
  <c r="L19" i="1"/>
  <c r="M19" i="1"/>
  <c r="N19" i="1"/>
  <c r="O19" i="1"/>
  <c r="P19" i="1"/>
  <c r="Q19" i="1"/>
  <c r="R19" i="1"/>
  <c r="S19" i="1"/>
  <c r="T19" i="1"/>
  <c r="U19" i="1"/>
  <c r="V19" i="1"/>
  <c r="W19" i="1"/>
  <c r="A20" i="1"/>
  <c r="B20" i="1"/>
  <c r="C20" i="1"/>
  <c r="D20" i="1"/>
  <c r="E20" i="1"/>
  <c r="F20" i="1"/>
  <c r="G20" i="1"/>
  <c r="I20" i="1"/>
  <c r="J20" i="1"/>
  <c r="L20" i="1"/>
  <c r="M20" i="1"/>
  <c r="N20" i="1"/>
  <c r="O20" i="1"/>
  <c r="P20" i="1"/>
  <c r="Q20" i="1"/>
  <c r="R20" i="1"/>
  <c r="S20" i="1"/>
  <c r="T20" i="1"/>
  <c r="U20" i="1"/>
  <c r="V20" i="1"/>
  <c r="W20" i="1"/>
  <c r="A21" i="1"/>
  <c r="B21" i="1"/>
  <c r="C21" i="1"/>
  <c r="D21" i="1"/>
  <c r="E21" i="1"/>
  <c r="F21" i="1"/>
  <c r="G21" i="1"/>
  <c r="I21" i="1"/>
  <c r="J21" i="1"/>
  <c r="L21" i="1"/>
  <c r="M21" i="1"/>
  <c r="N21" i="1"/>
  <c r="O21" i="1"/>
  <c r="P21" i="1"/>
  <c r="Q21" i="1"/>
  <c r="R21" i="1"/>
  <c r="S21" i="1"/>
  <c r="T21" i="1"/>
  <c r="U21" i="1"/>
  <c r="V21" i="1"/>
  <c r="W21" i="1"/>
  <c r="A22" i="1"/>
  <c r="B22" i="1"/>
  <c r="C22" i="1"/>
  <c r="D22" i="1"/>
  <c r="E22" i="1"/>
  <c r="F22" i="1"/>
  <c r="G22" i="1"/>
  <c r="I22" i="1"/>
  <c r="J22" i="1"/>
  <c r="L22" i="1"/>
  <c r="M22" i="1"/>
  <c r="N22" i="1"/>
  <c r="O22" i="1"/>
  <c r="P22" i="1"/>
  <c r="Q22" i="1"/>
  <c r="R22" i="1"/>
  <c r="S22" i="1"/>
  <c r="T22" i="1"/>
  <c r="U22" i="1"/>
  <c r="V22" i="1"/>
  <c r="W22" i="1"/>
  <c r="A23" i="1"/>
  <c r="B23" i="1"/>
  <c r="C23" i="1"/>
  <c r="D23" i="1"/>
  <c r="E23" i="1"/>
  <c r="F23" i="1"/>
  <c r="G23" i="1"/>
  <c r="I23" i="1"/>
  <c r="J23" i="1"/>
  <c r="L23" i="1"/>
  <c r="M23" i="1"/>
  <c r="N23" i="1"/>
  <c r="O23" i="1"/>
  <c r="P23" i="1"/>
  <c r="Q23" i="1"/>
  <c r="R23" i="1"/>
  <c r="S23" i="1"/>
  <c r="T23" i="1"/>
  <c r="U23" i="1"/>
  <c r="V23" i="1"/>
  <c r="W23" i="1"/>
  <c r="A24" i="1"/>
  <c r="B24" i="1"/>
  <c r="C24" i="1"/>
  <c r="D24" i="1"/>
  <c r="E24" i="1"/>
  <c r="F24" i="1"/>
  <c r="G24" i="1"/>
  <c r="I24" i="1"/>
  <c r="J24" i="1"/>
  <c r="L24" i="1"/>
  <c r="M24" i="1"/>
  <c r="N24" i="1"/>
  <c r="O24" i="1"/>
  <c r="P24" i="1"/>
  <c r="Q24" i="1"/>
  <c r="R24" i="1"/>
  <c r="S24" i="1"/>
  <c r="T24" i="1"/>
  <c r="U24" i="1"/>
  <c r="V24" i="1"/>
  <c r="W24" i="1"/>
  <c r="A25" i="1"/>
  <c r="B25" i="1"/>
  <c r="C25" i="1"/>
  <c r="D25" i="1"/>
  <c r="E25" i="1"/>
  <c r="F25" i="1"/>
  <c r="G25" i="1"/>
  <c r="I25" i="1"/>
  <c r="J25" i="1"/>
  <c r="L25" i="1"/>
  <c r="M25" i="1"/>
  <c r="N25" i="1"/>
  <c r="O25" i="1"/>
  <c r="P25" i="1"/>
  <c r="Q25" i="1"/>
  <c r="R25" i="1"/>
  <c r="S25" i="1"/>
  <c r="T25" i="1"/>
  <c r="U25" i="1"/>
  <c r="V25" i="1"/>
  <c r="W25" i="1"/>
  <c r="A26" i="1"/>
  <c r="B26" i="1"/>
  <c r="C26" i="1"/>
  <c r="D26" i="1"/>
  <c r="E26" i="1"/>
  <c r="F26" i="1"/>
  <c r="G26" i="1"/>
  <c r="I26" i="1"/>
  <c r="J26" i="1"/>
  <c r="L26" i="1"/>
  <c r="M26" i="1"/>
  <c r="N26" i="1"/>
  <c r="O26" i="1"/>
  <c r="P26" i="1"/>
  <c r="Q26" i="1"/>
  <c r="R26" i="1"/>
  <c r="S26" i="1"/>
  <c r="T26" i="1"/>
  <c r="U26" i="1"/>
  <c r="V26" i="1"/>
  <c r="W26" i="1"/>
  <c r="A27" i="1"/>
  <c r="B27" i="1"/>
  <c r="C27" i="1"/>
  <c r="D27" i="1"/>
  <c r="E27" i="1"/>
  <c r="F27" i="1"/>
  <c r="G27" i="1"/>
  <c r="I27" i="1"/>
  <c r="J27" i="1"/>
  <c r="L27" i="1"/>
  <c r="M27" i="1"/>
  <c r="N27" i="1"/>
  <c r="O27" i="1"/>
  <c r="P27" i="1"/>
  <c r="Q27" i="1"/>
  <c r="R27" i="1"/>
  <c r="S27" i="1"/>
  <c r="T27" i="1"/>
  <c r="U27" i="1"/>
  <c r="V27" i="1"/>
  <c r="W27" i="1"/>
  <c r="A28" i="1"/>
  <c r="B28" i="1"/>
  <c r="C28" i="1"/>
  <c r="D28" i="1"/>
  <c r="E28" i="1"/>
  <c r="F28" i="1"/>
  <c r="G28" i="1"/>
  <c r="I28" i="1"/>
  <c r="J28" i="1"/>
  <c r="L28" i="1"/>
  <c r="M28" i="1"/>
  <c r="N28" i="1"/>
  <c r="O28" i="1"/>
  <c r="P28" i="1"/>
  <c r="Q28" i="1"/>
  <c r="R28" i="1"/>
  <c r="S28" i="1"/>
  <c r="T28" i="1"/>
  <c r="U28" i="1"/>
  <c r="V28" i="1"/>
  <c r="W28" i="1"/>
  <c r="A29" i="1"/>
  <c r="B29" i="1"/>
  <c r="C29" i="1"/>
  <c r="D29" i="1"/>
  <c r="E29" i="1"/>
  <c r="F29" i="1"/>
  <c r="G29" i="1"/>
  <c r="I29" i="1"/>
  <c r="J29" i="1"/>
  <c r="L29" i="1"/>
  <c r="M29" i="1"/>
  <c r="N29" i="1"/>
  <c r="O29" i="1"/>
  <c r="P29" i="1"/>
  <c r="Q29" i="1"/>
  <c r="R29" i="1"/>
  <c r="S29" i="1"/>
  <c r="T29" i="1"/>
  <c r="U29" i="1"/>
  <c r="V29" i="1"/>
  <c r="W29" i="1"/>
  <c r="A30" i="1"/>
  <c r="B30" i="1"/>
  <c r="C30" i="1"/>
  <c r="D30" i="1"/>
  <c r="E30" i="1"/>
  <c r="F30" i="1"/>
  <c r="G30" i="1"/>
  <c r="I30" i="1"/>
  <c r="J30" i="1"/>
  <c r="L30" i="1"/>
  <c r="M30" i="1"/>
  <c r="N30" i="1"/>
  <c r="O30" i="1"/>
  <c r="P30" i="1"/>
  <c r="Q30" i="1"/>
  <c r="R30" i="1"/>
  <c r="S30" i="1"/>
  <c r="T30" i="1"/>
  <c r="U30" i="1"/>
  <c r="V30" i="1"/>
  <c r="W30" i="1"/>
  <c r="A31" i="1"/>
  <c r="B31" i="1"/>
  <c r="C31" i="1"/>
  <c r="D31" i="1"/>
  <c r="E31" i="1"/>
  <c r="F31" i="1"/>
  <c r="G31" i="1"/>
  <c r="I31" i="1"/>
  <c r="J31" i="1"/>
  <c r="L31" i="1"/>
  <c r="M31" i="1"/>
  <c r="N31" i="1"/>
  <c r="O31" i="1"/>
  <c r="P31" i="1"/>
  <c r="Q31" i="1"/>
  <c r="R31" i="1"/>
  <c r="S31" i="1"/>
  <c r="T31" i="1"/>
  <c r="U31" i="1"/>
  <c r="V31" i="1"/>
  <c r="W31" i="1"/>
  <c r="A3" i="4"/>
  <c r="B3" i="4"/>
  <c r="E3" i="4"/>
  <c r="F3" i="4"/>
  <c r="I3" i="4"/>
  <c r="J3" i="4" s="1"/>
  <c r="O3" i="4"/>
  <c r="P3" i="4"/>
  <c r="A4" i="4"/>
  <c r="B4" i="4"/>
  <c r="E4" i="4"/>
  <c r="F4" i="4"/>
  <c r="I4" i="4"/>
  <c r="J4" i="4" s="1"/>
  <c r="O4" i="4"/>
  <c r="P4" i="4"/>
  <c r="A5" i="4"/>
  <c r="B5" i="4"/>
  <c r="E5" i="4"/>
  <c r="F5" i="4"/>
  <c r="I5" i="4"/>
  <c r="J5" i="4" s="1"/>
  <c r="O5" i="4"/>
  <c r="P5" i="4"/>
  <c r="A6" i="4"/>
  <c r="B6" i="4"/>
  <c r="E6" i="4"/>
  <c r="F6" i="4"/>
  <c r="I6" i="4"/>
  <c r="J6" i="4" s="1"/>
  <c r="O6" i="4"/>
  <c r="P6" i="4"/>
  <c r="A7" i="4"/>
  <c r="B7" i="4"/>
  <c r="E7" i="4"/>
  <c r="F7" i="4"/>
  <c r="I7" i="4"/>
  <c r="J7" i="4" s="1"/>
  <c r="O7" i="4"/>
  <c r="P7" i="4"/>
  <c r="A8" i="4"/>
  <c r="B8" i="4"/>
  <c r="E8" i="4"/>
  <c r="F8" i="4"/>
  <c r="I8" i="4"/>
  <c r="J8" i="4" s="1"/>
  <c r="O8" i="4"/>
  <c r="P8" i="4"/>
  <c r="A9" i="4"/>
  <c r="B9" i="4"/>
  <c r="E9" i="4"/>
  <c r="F9" i="4"/>
  <c r="I9" i="4"/>
  <c r="J9" i="4" s="1"/>
  <c r="O9" i="4"/>
  <c r="P9" i="4"/>
  <c r="A10" i="4"/>
  <c r="B10" i="4"/>
  <c r="E10" i="4"/>
  <c r="F10" i="4"/>
  <c r="I10" i="4"/>
  <c r="J10" i="4" s="1"/>
  <c r="O10" i="4"/>
  <c r="P10" i="4"/>
  <c r="A11" i="4"/>
  <c r="B11" i="4"/>
  <c r="E11" i="4"/>
  <c r="F11" i="4"/>
  <c r="I11" i="4"/>
  <c r="J11" i="4" s="1"/>
  <c r="O11" i="4"/>
  <c r="P11" i="4"/>
  <c r="A12" i="4"/>
  <c r="B12" i="4"/>
  <c r="E12" i="4"/>
  <c r="F12" i="4"/>
  <c r="I12" i="4"/>
  <c r="J12" i="4" s="1"/>
  <c r="O12" i="4"/>
  <c r="P12" i="4"/>
  <c r="A13" i="4"/>
  <c r="B13" i="4"/>
  <c r="E13" i="4"/>
  <c r="F13" i="4"/>
  <c r="I13" i="4"/>
  <c r="J13" i="4" s="1"/>
  <c r="O13" i="4"/>
  <c r="P13" i="4"/>
  <c r="A14" i="4"/>
  <c r="B14" i="4"/>
  <c r="E14" i="4"/>
  <c r="F14" i="4"/>
  <c r="I14" i="4"/>
  <c r="J14" i="4" s="1"/>
  <c r="O14" i="4"/>
  <c r="P14" i="4"/>
  <c r="A15" i="4"/>
  <c r="B15" i="4"/>
  <c r="E15" i="4"/>
  <c r="F15" i="4"/>
  <c r="I15" i="4"/>
  <c r="J15" i="4" s="1"/>
  <c r="O15" i="4"/>
  <c r="P15" i="4"/>
  <c r="A16" i="4"/>
  <c r="B16" i="4"/>
  <c r="E16" i="4"/>
  <c r="F16" i="4"/>
  <c r="I16" i="4"/>
  <c r="J16" i="4" s="1"/>
  <c r="O16" i="4"/>
  <c r="P16" i="4"/>
  <c r="A17" i="4"/>
  <c r="B17" i="4"/>
  <c r="E17" i="4"/>
  <c r="F17" i="4"/>
  <c r="I17" i="4"/>
  <c r="J17" i="4" s="1"/>
  <c r="O17" i="4"/>
  <c r="P17" i="4"/>
  <c r="A18" i="4"/>
  <c r="B18" i="4"/>
  <c r="E18" i="4"/>
  <c r="F18" i="4"/>
  <c r="I18" i="4"/>
  <c r="J18" i="4" s="1"/>
  <c r="O18" i="4"/>
  <c r="P18" i="4"/>
  <c r="A19" i="4"/>
  <c r="B19" i="4"/>
  <c r="E19" i="4"/>
  <c r="F19" i="4"/>
  <c r="I19" i="4"/>
  <c r="J19" i="4" s="1"/>
  <c r="O19" i="4"/>
  <c r="P19" i="4"/>
  <c r="A20" i="4"/>
  <c r="B20" i="4"/>
  <c r="E20" i="4"/>
  <c r="F20" i="4"/>
  <c r="I20" i="4"/>
  <c r="J20" i="4" s="1"/>
  <c r="O20" i="4"/>
  <c r="P20" i="4"/>
  <c r="A21" i="4"/>
  <c r="B21" i="4"/>
  <c r="E21" i="4"/>
  <c r="F21" i="4"/>
  <c r="I21" i="4"/>
  <c r="J21" i="4" s="1"/>
  <c r="O21" i="4"/>
  <c r="P21" i="4"/>
  <c r="A22" i="4"/>
  <c r="B22" i="4"/>
  <c r="E22" i="4"/>
  <c r="F22" i="4"/>
  <c r="I22" i="4"/>
  <c r="J22" i="4" s="1"/>
  <c r="O22" i="4"/>
  <c r="P22" i="4"/>
  <c r="A23" i="4"/>
  <c r="B23" i="4"/>
  <c r="E23" i="4"/>
  <c r="F23" i="4"/>
  <c r="I23" i="4"/>
  <c r="J23" i="4" s="1"/>
  <c r="O23" i="4"/>
  <c r="P23" i="4"/>
  <c r="A24" i="4"/>
  <c r="B24" i="4"/>
  <c r="E24" i="4"/>
  <c r="F24" i="4"/>
  <c r="I24" i="4"/>
  <c r="J24" i="4" s="1"/>
  <c r="O24" i="4"/>
  <c r="P24" i="4"/>
  <c r="A25" i="4"/>
  <c r="B25" i="4"/>
  <c r="E25" i="4"/>
  <c r="F25" i="4"/>
  <c r="I25" i="4"/>
  <c r="J25" i="4" s="1"/>
  <c r="O25" i="4"/>
  <c r="P25" i="4"/>
  <c r="A26" i="4"/>
  <c r="B26" i="4"/>
  <c r="E26" i="4"/>
  <c r="F26" i="4"/>
  <c r="I26" i="4"/>
  <c r="J26" i="4" s="1"/>
  <c r="O26" i="4"/>
  <c r="P26" i="4"/>
  <c r="A27" i="4"/>
  <c r="B27" i="4"/>
  <c r="E27" i="4"/>
  <c r="F27" i="4"/>
  <c r="I27" i="4"/>
  <c r="J27" i="4" s="1"/>
  <c r="O27" i="4"/>
  <c r="P27" i="4"/>
  <c r="A28" i="4"/>
  <c r="B28" i="4"/>
  <c r="E28" i="4"/>
  <c r="F28" i="4"/>
  <c r="I28" i="4"/>
  <c r="J28" i="4" s="1"/>
  <c r="O28" i="4"/>
  <c r="P28" i="4"/>
  <c r="A29" i="4"/>
  <c r="B29" i="4"/>
  <c r="E29" i="4"/>
  <c r="F29" i="4"/>
  <c r="I29" i="4"/>
  <c r="J29" i="4" s="1"/>
  <c r="O29" i="4"/>
  <c r="P29" i="4"/>
  <c r="A30" i="4"/>
  <c r="B30" i="4"/>
  <c r="E30" i="4"/>
  <c r="F30" i="4"/>
  <c r="I30" i="4"/>
  <c r="J30" i="4" s="1"/>
  <c r="O30" i="4"/>
  <c r="P30" i="4"/>
  <c r="A31" i="4"/>
  <c r="B31" i="4"/>
  <c r="E31" i="4"/>
  <c r="F31" i="4"/>
  <c r="I31" i="4"/>
  <c r="J31" i="4" s="1"/>
  <c r="O31" i="4"/>
  <c r="P31" i="4"/>
  <c r="P4" i="9"/>
  <c r="P8" i="9"/>
  <c r="P6" i="9"/>
  <c r="P9" i="9"/>
  <c r="P7" i="9"/>
  <c r="P5" i="9"/>
  <c r="G12" i="4"/>
  <c r="C5" i="4"/>
  <c r="G7" i="4"/>
  <c r="G8" i="4"/>
  <c r="G31" i="4"/>
  <c r="G15" i="4"/>
  <c r="C13" i="4"/>
  <c r="G20" i="4"/>
  <c r="G23" i="4"/>
  <c r="G26" i="4"/>
  <c r="C17" i="4"/>
  <c r="C18" i="4"/>
  <c r="C29" i="4"/>
  <c r="G22" i="4"/>
  <c r="G11" i="4"/>
  <c r="G24" i="4"/>
  <c r="C26" i="4"/>
  <c r="C6" i="4"/>
  <c r="G3" i="4"/>
  <c r="C21" i="4"/>
  <c r="G4" i="4"/>
  <c r="G16" i="4"/>
  <c r="G6" i="4"/>
  <c r="C14" i="4"/>
  <c r="C24" i="4"/>
  <c r="C20" i="4"/>
  <c r="G19" i="4"/>
  <c r="G27" i="4"/>
  <c r="C22" i="4"/>
  <c r="C10" i="4"/>
  <c r="G29" i="4"/>
  <c r="C30" i="4"/>
  <c r="C9" i="4"/>
  <c r="G28" i="4"/>
  <c r="C25" i="4"/>
  <c r="C27" i="4"/>
  <c r="C3" i="4"/>
  <c r="G10" i="4"/>
  <c r="C7" i="4"/>
  <c r="G21" i="4"/>
  <c r="C8" i="4"/>
  <c r="C12" i="4"/>
  <c r="C16" i="4"/>
  <c r="G18" i="4"/>
  <c r="G30" i="4"/>
  <c r="G5" i="4"/>
  <c r="C15" i="4"/>
  <c r="C19" i="4"/>
  <c r="C23" i="4"/>
  <c r="C31" i="4"/>
  <c r="C4" i="4"/>
  <c r="G14" i="4"/>
  <c r="C28" i="4"/>
  <c r="G9" i="4"/>
  <c r="C11" i="4"/>
  <c r="G13" i="4"/>
  <c r="G17" i="4"/>
  <c r="G25" i="4"/>
  <c r="D24" i="4"/>
  <c r="K12" i="4"/>
  <c r="D31" i="4"/>
  <c r="H15" i="4"/>
  <c r="H14" i="4"/>
  <c r="H22" i="4"/>
  <c r="D11" i="4"/>
  <c r="H4" i="4"/>
  <c r="K27" i="4"/>
  <c r="K16" i="4"/>
  <c r="D12" i="4"/>
  <c r="H3" i="4"/>
  <c r="K29" i="4"/>
  <c r="K19" i="4"/>
  <c r="K22" i="4"/>
  <c r="D30" i="4"/>
  <c r="K20" i="4"/>
  <c r="D13" i="4"/>
  <c r="K25" i="4"/>
  <c r="D27" i="4"/>
  <c r="K8" i="4"/>
  <c r="D26" i="4"/>
  <c r="K7" i="4"/>
  <c r="K21" i="4"/>
  <c r="D10" i="4"/>
  <c r="K30" i="4"/>
  <c r="H16" i="4"/>
  <c r="H18" i="4"/>
  <c r="D4" i="4"/>
  <c r="H28" i="4"/>
  <c r="K13" i="4"/>
  <c r="H13" i="4"/>
  <c r="H23" i="4"/>
  <c r="D21" i="4"/>
  <c r="D6" i="4"/>
  <c r="K18" i="4"/>
  <c r="K3" i="4"/>
  <c r="K31" i="4"/>
  <c r="D3" i="4"/>
  <c r="K14" i="4"/>
  <c r="H7" i="4"/>
  <c r="D8" i="4"/>
  <c r="K11" i="4"/>
  <c r="D18" i="4"/>
  <c r="H10" i="4"/>
  <c r="D20" i="4"/>
  <c r="K24" i="4"/>
  <c r="K10" i="4"/>
  <c r="K5" i="4"/>
  <c r="D28" i="4"/>
  <c r="D29" i="4"/>
  <c r="H29" i="4"/>
  <c r="R29" i="4" s="1"/>
  <c r="H9" i="4"/>
  <c r="H8" i="4"/>
  <c r="H19" i="4"/>
  <c r="D19" i="4"/>
  <c r="H21" i="4"/>
  <c r="D17" i="4"/>
  <c r="D7" i="4"/>
  <c r="H25" i="4"/>
  <c r="R25" i="4" s="1"/>
  <c r="H5" i="4"/>
  <c r="H20" i="4"/>
  <c r="H11" i="4"/>
  <c r="K28" i="4"/>
  <c r="D25" i="4"/>
  <c r="D14" i="4"/>
  <c r="H17" i="4"/>
  <c r="H30" i="4"/>
  <c r="R30" i="4" s="1"/>
  <c r="D15" i="4"/>
  <c r="H31" i="4"/>
  <c r="K9" i="4"/>
  <c r="H12" i="4"/>
  <c r="H26" i="4"/>
  <c r="K4" i="4"/>
  <c r="K26" i="4"/>
  <c r="D9" i="4"/>
  <c r="D23" i="4"/>
  <c r="K23" i="4"/>
  <c r="K15" i="4"/>
  <c r="H24" i="4"/>
  <c r="D16" i="4"/>
  <c r="H27" i="4"/>
  <c r="D5" i="4"/>
  <c r="R18" i="4"/>
  <c r="K6" i="4"/>
  <c r="H6" i="4"/>
  <c r="D22" i="4"/>
  <c r="K17" i="4"/>
  <c r="H16" i="1" l="1"/>
  <c r="K16" i="1" s="1"/>
  <c r="H19" i="1"/>
  <c r="K19" i="1" s="1"/>
  <c r="H21" i="1"/>
  <c r="K21" i="1" s="1"/>
  <c r="H15" i="1"/>
  <c r="K15" i="1" s="1"/>
  <c r="H11" i="1"/>
  <c r="K11" i="1" s="1"/>
  <c r="H3" i="1"/>
  <c r="K3" i="1" s="1"/>
  <c r="H24" i="1"/>
  <c r="K24" i="1" s="1"/>
  <c r="H20" i="1"/>
  <c r="K20" i="1" s="1"/>
  <c r="H17" i="1"/>
  <c r="K17" i="1" s="1"/>
  <c r="H31" i="1"/>
  <c r="K31" i="1" s="1"/>
  <c r="H27" i="1"/>
  <c r="K27" i="1" s="1"/>
  <c r="H5" i="1"/>
  <c r="K5" i="1" s="1"/>
  <c r="H8" i="1"/>
  <c r="K8" i="1" s="1"/>
  <c r="H4" i="1"/>
  <c r="K4" i="1" s="1"/>
  <c r="H29" i="1"/>
  <c r="K29" i="1" s="1"/>
  <c r="H23" i="1"/>
  <c r="K23" i="1" s="1"/>
  <c r="H28" i="1"/>
  <c r="K28" i="1" s="1"/>
  <c r="H25" i="1"/>
  <c r="K25" i="1" s="1"/>
  <c r="H12" i="1"/>
  <c r="K12" i="1" s="1"/>
  <c r="H9" i="1"/>
  <c r="K9" i="1" s="1"/>
  <c r="H13" i="1"/>
  <c r="K13" i="1" s="1"/>
  <c r="H7" i="1"/>
  <c r="K7" i="1" s="1"/>
  <c r="H30" i="1"/>
  <c r="K30" i="1" s="1"/>
  <c r="H22" i="1"/>
  <c r="K22" i="1" s="1"/>
  <c r="H14" i="1"/>
  <c r="K14" i="1" s="1"/>
  <c r="H6" i="1"/>
  <c r="K6" i="1" s="1"/>
  <c r="H26" i="1"/>
  <c r="K26" i="1" s="1"/>
  <c r="H18" i="1"/>
  <c r="K18" i="1" s="1"/>
  <c r="H10" i="1"/>
  <c r="K10" i="1" s="1"/>
  <c r="S30" i="4"/>
  <c r="T30" i="4" s="1"/>
  <c r="S18" i="4"/>
  <c r="T18" i="4" s="1"/>
  <c r="S29" i="4"/>
  <c r="T29" i="4" s="1"/>
  <c r="S25" i="4"/>
  <c r="T25" i="4" s="1"/>
  <c r="R28" i="4"/>
  <c r="R16" i="4"/>
  <c r="L29" i="4"/>
  <c r="R10" i="4"/>
  <c r="L5" i="4"/>
  <c r="R9" i="4"/>
  <c r="R12" i="4"/>
  <c r="L16" i="4"/>
  <c r="L22" i="4"/>
  <c r="L3" i="4"/>
  <c r="R15" i="4"/>
  <c r="L23" i="4"/>
  <c r="L25" i="4"/>
  <c r="R31" i="4"/>
  <c r="R21" i="4"/>
  <c r="L27" i="4"/>
  <c r="L20" i="4"/>
  <c r="L8" i="4"/>
  <c r="L12" i="4"/>
  <c r="L10" i="4"/>
  <c r="R17" i="4"/>
  <c r="R3" i="4"/>
  <c r="L24" i="4"/>
  <c r="L9" i="4"/>
  <c r="R23" i="4"/>
  <c r="L17" i="4"/>
  <c r="L7" i="4"/>
  <c r="L4" i="4"/>
  <c r="L15" i="4"/>
  <c r="R13" i="4"/>
  <c r="L18" i="4"/>
  <c r="R11" i="4"/>
  <c r="R4" i="4"/>
  <c r="L26" i="4"/>
  <c r="L13" i="4"/>
  <c r="R26" i="4"/>
  <c r="L19" i="4"/>
  <c r="R20" i="4"/>
  <c r="L11" i="4"/>
  <c r="L21" i="4"/>
  <c r="R8" i="4"/>
  <c r="R27" i="4"/>
  <c r="R22" i="4"/>
  <c r="L31" i="4"/>
  <c r="L6" i="4"/>
  <c r="R6" i="4"/>
  <c r="R5" i="4"/>
  <c r="L30" i="4"/>
  <c r="R7" i="4"/>
  <c r="R19" i="4"/>
  <c r="L28" i="4"/>
  <c r="R14" i="4"/>
  <c r="R24" i="4"/>
  <c r="L14" i="4"/>
  <c r="S21" i="4" l="1"/>
  <c r="T21" i="4" s="1"/>
  <c r="S28" i="4"/>
  <c r="T28" i="4" s="1"/>
  <c r="S15" i="4"/>
  <c r="T15" i="4" s="1"/>
  <c r="S19" i="4"/>
  <c r="T19" i="4" s="1"/>
  <c r="S17" i="4"/>
  <c r="T17" i="4" s="1"/>
  <c r="S12" i="4"/>
  <c r="T12" i="4" s="1"/>
  <c r="S14" i="4"/>
  <c r="T14" i="4" s="1"/>
  <c r="S11" i="4"/>
  <c r="T11" i="4" s="1"/>
  <c r="S22" i="4"/>
  <c r="T22" i="4" s="1"/>
  <c r="S13" i="4"/>
  <c r="T13" i="4" s="1"/>
  <c r="S27" i="4"/>
  <c r="T27" i="4" s="1"/>
  <c r="S24" i="4"/>
  <c r="T24" i="4" s="1"/>
  <c r="S9" i="4"/>
  <c r="T9" i="4" s="1"/>
  <c r="S20" i="4"/>
  <c r="T20" i="4" s="1"/>
  <c r="S6" i="4"/>
  <c r="T6" i="4" s="1"/>
  <c r="S5" i="4"/>
  <c r="T5" i="4" s="1"/>
  <c r="S31" i="4"/>
  <c r="T31" i="4" s="1"/>
  <c r="S8" i="4"/>
  <c r="T8" i="4" s="1"/>
  <c r="S7" i="4"/>
  <c r="T7" i="4" s="1"/>
  <c r="S10" i="4"/>
  <c r="T10" i="4" s="1"/>
  <c r="S16" i="4"/>
  <c r="T16" i="4" s="1"/>
  <c r="S23" i="4"/>
  <c r="T23" i="4" s="1"/>
  <c r="S26" i="4"/>
  <c r="T26" i="4" s="1"/>
  <c r="S3" i="4"/>
  <c r="T3" i="4" s="1"/>
  <c r="S4" i="4"/>
  <c r="T4" i="4" s="1"/>
  <c r="M4" i="4"/>
  <c r="N4" i="4" s="1"/>
  <c r="Q4" i="4" s="1"/>
  <c r="M8" i="4"/>
  <c r="N8" i="4" s="1"/>
  <c r="Q8" i="4" s="1"/>
  <c r="M15" i="4"/>
  <c r="N15" i="4" s="1"/>
  <c r="Q15" i="4" s="1"/>
  <c r="M24" i="4"/>
  <c r="N24" i="4" s="1"/>
  <c r="Q24" i="4" s="1"/>
  <c r="M31" i="4"/>
  <c r="N31" i="4" s="1"/>
  <c r="Q31" i="4" s="1"/>
  <c r="M14" i="4"/>
  <c r="N14" i="4" s="1"/>
  <c r="Q14" i="4" s="1"/>
  <c r="M21" i="4"/>
  <c r="N21" i="4" s="1"/>
  <c r="Q21" i="4" s="1"/>
  <c r="M30" i="4"/>
  <c r="N30" i="4" s="1"/>
  <c r="Q30" i="4" s="1"/>
  <c r="M9" i="4"/>
  <c r="N9" i="4" s="1"/>
  <c r="Q9" i="4" s="1"/>
  <c r="M17" i="4"/>
  <c r="N17" i="4" s="1"/>
  <c r="Q17" i="4" s="1"/>
  <c r="M25" i="4"/>
  <c r="N25" i="4" s="1"/>
  <c r="Q25" i="4" s="1"/>
  <c r="M6" i="4"/>
  <c r="N6" i="4" s="1"/>
  <c r="Q6" i="4" s="1"/>
  <c r="M16" i="4"/>
  <c r="N16" i="4" s="1"/>
  <c r="Q16" i="4" s="1"/>
  <c r="M23" i="4"/>
  <c r="N23" i="4" s="1"/>
  <c r="Q23" i="4" s="1"/>
  <c r="M5" i="4"/>
  <c r="N5" i="4" s="1"/>
  <c r="Q5" i="4" s="1"/>
  <c r="M11" i="4"/>
  <c r="N11" i="4" s="1"/>
  <c r="Q11" i="4" s="1"/>
  <c r="M20" i="4"/>
  <c r="N20" i="4" s="1"/>
  <c r="Q20" i="4" s="1"/>
  <c r="M27" i="4"/>
  <c r="N27" i="4" s="1"/>
  <c r="Q27" i="4" s="1"/>
  <c r="M10" i="4"/>
  <c r="N10" i="4" s="1"/>
  <c r="Q10" i="4" s="1"/>
  <c r="M18" i="4"/>
  <c r="N18" i="4" s="1"/>
  <c r="Q18" i="4" s="1"/>
  <c r="M26" i="4"/>
  <c r="N26" i="4" s="1"/>
  <c r="Q26" i="4" s="1"/>
  <c r="M3" i="4"/>
  <c r="N3" i="4" s="1"/>
  <c r="Q3" i="4" s="1"/>
  <c r="M7" i="4"/>
  <c r="N7" i="4" s="1"/>
  <c r="Q7" i="4" s="1"/>
  <c r="M13" i="4"/>
  <c r="N13" i="4" s="1"/>
  <c r="Q13" i="4" s="1"/>
  <c r="M22" i="4"/>
  <c r="N22" i="4" s="1"/>
  <c r="Q22" i="4" s="1"/>
  <c r="M29" i="4"/>
  <c r="N29" i="4" s="1"/>
  <c r="Q29" i="4" s="1"/>
  <c r="M12" i="4"/>
  <c r="N12" i="4" s="1"/>
  <c r="Q12" i="4" s="1"/>
  <c r="M19" i="4"/>
  <c r="N19" i="4" s="1"/>
  <c r="Q19" i="4" s="1"/>
  <c r="M28" i="4"/>
  <c r="N28" i="4" s="1"/>
  <c r="Q28" i="4" s="1"/>
  <c r="V2" i="1" l="1"/>
  <c r="W2" i="1"/>
  <c r="V1" i="1"/>
  <c r="W1" i="1"/>
  <c r="M1" i="1"/>
  <c r="N1" i="1"/>
  <c r="O1" i="1"/>
  <c r="P1" i="1"/>
  <c r="Q1" i="1"/>
  <c r="R1" i="1"/>
  <c r="S1" i="1"/>
  <c r="T1" i="1"/>
  <c r="U1" i="1"/>
  <c r="L1" i="1"/>
  <c r="L8" i="6"/>
  <c r="L9" i="6"/>
  <c r="I4" i="6"/>
  <c r="L15" i="6" l="1"/>
  <c r="I8" i="6"/>
  <c r="I5" i="6"/>
  <c r="L21" i="6"/>
  <c r="L22" i="6"/>
  <c r="L7" i="6"/>
  <c r="L18" i="6"/>
  <c r="L19" i="6" l="1"/>
  <c r="L20" i="6" s="1"/>
  <c r="I9" i="6"/>
  <c r="L23" i="6"/>
  <c r="L24" i="6" s="1"/>
  <c r="Q2" i="1" l="1"/>
  <c r="R2" i="1"/>
  <c r="S2" i="1"/>
  <c r="T2" i="1"/>
  <c r="U2" i="1"/>
  <c r="F9" i="6"/>
  <c r="F10" i="6"/>
  <c r="F12" i="6"/>
  <c r="F11" i="6"/>
  <c r="C13" i="6"/>
  <c r="C8" i="6"/>
  <c r="C14" i="6"/>
  <c r="C12" i="6"/>
  <c r="C9" i="6"/>
  <c r="C7" i="6"/>
  <c r="C15" i="6"/>
  <c r="C11" i="6"/>
  <c r="C16" i="6" l="1"/>
  <c r="C4" i="5"/>
  <c r="C18" i="6"/>
  <c r="C22" i="6"/>
  <c r="C21"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C2" i="4"/>
  <c r="G2" i="4"/>
  <c r="H2" i="4"/>
  <c r="D2" i="4"/>
  <c r="K2" i="4"/>
  <c r="G2" i="1" l="1"/>
  <c r="A2" i="1"/>
  <c r="F2" i="1"/>
  <c r="E2" i="1"/>
  <c r="D2" i="1"/>
  <c r="C2" i="1"/>
  <c r="B2" i="1"/>
  <c r="R2" i="4"/>
  <c r="L2" i="4"/>
  <c r="H2" i="1" l="1"/>
  <c r="K2" i="1" s="1"/>
  <c r="M2" i="4"/>
  <c r="N2" i="4" s="1"/>
  <c r="Q2" i="4" s="1"/>
  <c r="S2" i="4"/>
  <c r="T2" i="4" s="1"/>
</calcChain>
</file>

<file path=xl/sharedStrings.xml><?xml version="1.0" encoding="utf-8"?>
<sst xmlns="http://schemas.openxmlformats.org/spreadsheetml/2006/main" count="404" uniqueCount="281">
  <si>
    <t>code</t>
  </si>
  <si>
    <t>name</t>
  </si>
  <si>
    <t>stname</t>
  </si>
  <si>
    <t>tyr</t>
  </si>
  <si>
    <t>HisVol</t>
  </si>
  <si>
    <t>BS</t>
  </si>
  <si>
    <t>Delta</t>
  </si>
  <si>
    <t>Theta</t>
  </si>
  <si>
    <t>期权流逝</t>
  </si>
  <si>
    <t>溢价流逝</t>
  </si>
  <si>
    <t>113011.SH</t>
  </si>
  <si>
    <t>113013.SH</t>
  </si>
  <si>
    <t>113012.SH</t>
  </si>
  <si>
    <t>113009.SH</t>
  </si>
  <si>
    <t>128014.SZ</t>
  </si>
  <si>
    <t>110033.SH</t>
  </si>
  <si>
    <t>110034.SH</t>
  </si>
  <si>
    <t>110032.SH</t>
  </si>
  <si>
    <t>128010.SZ</t>
  </si>
  <si>
    <t>128015.SZ</t>
  </si>
  <si>
    <t>127004.SZ</t>
  </si>
  <si>
    <t>110030.SH</t>
  </si>
  <si>
    <t>123001.SZ</t>
  </si>
  <si>
    <t>113008.SH</t>
  </si>
  <si>
    <t>127003.SZ</t>
  </si>
  <si>
    <t>128012.SZ</t>
  </si>
  <si>
    <t>113010.SH</t>
  </si>
  <si>
    <t>128013.SZ</t>
  </si>
  <si>
    <t>110031.SH</t>
  </si>
  <si>
    <t>光大转债</t>
  </si>
  <si>
    <t>国君转债</t>
  </si>
  <si>
    <t>骆驼转债</t>
  </si>
  <si>
    <t>广汽转债</t>
  </si>
  <si>
    <t>永东转债</t>
  </si>
  <si>
    <t>国贸转债</t>
  </si>
  <si>
    <t>九州转债</t>
  </si>
  <si>
    <t>三一转债</t>
  </si>
  <si>
    <t>顺昌转债</t>
  </si>
  <si>
    <t>久其转债</t>
  </si>
  <si>
    <t>模塑转债</t>
  </si>
  <si>
    <t>格力转债</t>
  </si>
  <si>
    <t>蓝标转债</t>
  </si>
  <si>
    <t>电气转债</t>
  </si>
  <si>
    <t>海印转债</t>
  </si>
  <si>
    <t>辉丰转债</t>
  </si>
  <si>
    <t>江南转债</t>
  </si>
  <si>
    <t>洪涛转债</t>
  </si>
  <si>
    <t>航信转债</t>
  </si>
  <si>
    <t>光大银行</t>
  </si>
  <si>
    <t>国泰君安</t>
  </si>
  <si>
    <t>骆驼股份</t>
  </si>
  <si>
    <t>广汽集团</t>
  </si>
  <si>
    <t>永东股份</t>
  </si>
  <si>
    <t>厦门国贸</t>
  </si>
  <si>
    <t>九州通</t>
  </si>
  <si>
    <t>三一重工</t>
  </si>
  <si>
    <t>澳洋顺昌</t>
  </si>
  <si>
    <t>久其软件</t>
  </si>
  <si>
    <t>模塑科技</t>
  </si>
  <si>
    <t>格力地产</t>
  </si>
  <si>
    <t>蓝色光标</t>
  </si>
  <si>
    <t>上海电气</t>
  </si>
  <si>
    <t>海印股份</t>
  </si>
  <si>
    <t>辉丰股份</t>
  </si>
  <si>
    <t>江南水务</t>
  </si>
  <si>
    <t>洪涛股份</t>
  </si>
  <si>
    <t>航天信息</t>
  </si>
  <si>
    <t>ImpVol</t>
  </si>
  <si>
    <t>BT</t>
  </si>
  <si>
    <t>溢价率</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</si>
  <si>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</si>
  <si>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</si>
  <si>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</si>
  <si>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</si>
  <si>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</si>
  <si>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</si>
  <si>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</si>
  <si>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</si>
  <si>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</si>
  <si>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</si>
  <si>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</si>
  <si>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</si>
  <si>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</si>
  <si>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</si>
  <si>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</si>
  <si>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</si>
  <si>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</si>
  <si>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</si>
  <si>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</si>
  <si>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</si>
  <si>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</si>
  <si>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</si>
  <si>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</si>
  <si>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</si>
  <si>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</si>
  <si>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</si>
  <si>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</si>
  <si>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</si>
  <si>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</si>
  <si>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</si>
  <si>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</si>
  <si>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</si>
  <si>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</si>
  <si>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</si>
  <si>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</si>
  <si>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</si>
  <si>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BS定价核对无误。Delta核对无误。</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</si>
  <si>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</si>
  <si>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</si>
  <si>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</si>
  <si>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</si>
  <si>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</si>
  <si>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</si>
  <si>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</si>
  <si>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</si>
  <si>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</si>
  <si>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</si>
  <si>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</si>
  <si>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</si>
  <si>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</si>
  <si>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</si>
  <si>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</si>
  <si>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</si>
  <si>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</si>
  <si>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</si>
  <si>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</si>
  <si>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</si>
  <si>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</si>
  <si>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</si>
  <si>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</si>
  <si>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</si>
  <si>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</si>
  <si>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</si>
  <si>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</si>
  <si>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</si>
  <si>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</si>
  <si>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</si>
  <si>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</si>
  <si>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</si>
  <si>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</si>
  <si>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</si>
  <si>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</si>
  <si>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</si>
  <si>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</si>
  <si>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</si>
  <si>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</si>
  <si>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</si>
  <si>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</si>
  <si>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</si>
  <si>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</si>
  <si>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</si>
  <si>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期权</t>
    <phoneticPr fontId="1" type="noConversion"/>
  </si>
  <si>
    <t>基于BlackScholes的期权定价、溢价率、Delta、Gamma</t>
    <phoneticPr fontId="1" type="noConversion"/>
  </si>
  <si>
    <t>个券试算</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</si>
  <si>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</si>
  <si>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</si>
  <si>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</si>
  <si>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</si>
  <si>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128016.SZ</t>
  </si>
  <si>
    <t>v1.3</t>
    <phoneticPr fontId="1" type="noConversion"/>
  </si>
  <si>
    <t>雨虹转债</t>
  </si>
  <si>
    <t>东方雨虹</t>
  </si>
  <si>
    <t>剩余年数</t>
    <phoneticPr fontId="1" type="noConversion"/>
  </si>
  <si>
    <t>自动处理除权数据。支持首日上市的转债。自动增加数据行数和公式。</t>
    <phoneticPr fontId="1" type="noConversion"/>
  </si>
  <si>
    <t>优先配售</t>
    <phoneticPr fontId="1" type="noConversion"/>
  </si>
  <si>
    <t>每股配售面值</t>
    <phoneticPr fontId="1" type="noConversion"/>
  </si>
  <si>
    <t>预期收益率</t>
    <phoneticPr fontId="1" type="noConversion"/>
  </si>
  <si>
    <t>配售收益</t>
    <phoneticPr fontId="1" type="noConversion"/>
  </si>
  <si>
    <t>配售收益率</t>
    <phoneticPr fontId="1" type="noConversion"/>
  </si>
  <si>
    <t>林洋转债</t>
    <phoneticPr fontId="1" type="noConversion"/>
  </si>
  <si>
    <t>转债定价</t>
    <phoneticPr fontId="1" type="noConversion"/>
  </si>
  <si>
    <t>close</t>
  </si>
  <si>
    <t>stclose</t>
  </si>
  <si>
    <t>convprice</t>
  </si>
  <si>
    <t>strbvalue</t>
  </si>
  <si>
    <t>optvalue</t>
  </si>
  <si>
    <t>对冲比例</t>
  </si>
  <si>
    <t>v1.4</t>
    <phoneticPr fontId="1" type="noConversion"/>
  </si>
  <si>
    <t>转债弹性，在当前价格水平下，正股价格变动1%，转债价格变动Delta%。</t>
    <phoneticPr fontId="1" type="noConversion"/>
  </si>
  <si>
    <t>stcode</t>
  </si>
  <si>
    <t>600185.SH</t>
  </si>
  <si>
    <t>600271.SH</t>
  </si>
  <si>
    <t>600031.SH</t>
  </si>
  <si>
    <t>600755.SH</t>
  </si>
  <si>
    <t>600998.SH</t>
  </si>
  <si>
    <t>601727.SH</t>
  </si>
  <si>
    <t>601238.SH</t>
  </si>
  <si>
    <t>601199.SH</t>
  </si>
  <si>
    <t>601818.SH</t>
  </si>
  <si>
    <t>601311.SH</t>
  </si>
  <si>
    <t>601211.SH</t>
  </si>
  <si>
    <t>300058.SZ</t>
  </si>
  <si>
    <t>000861.SZ</t>
  </si>
  <si>
    <t>000700.SZ</t>
  </si>
  <si>
    <t>002245.SZ</t>
  </si>
  <si>
    <t>002496.SZ</t>
  </si>
  <si>
    <t>002325.SZ</t>
  </si>
  <si>
    <t>002753.SZ</t>
  </si>
  <si>
    <t>002279.SZ</t>
  </si>
  <si>
    <t>002271.SZ</t>
  </si>
  <si>
    <t>溢价率均值</t>
  </si>
  <si>
    <t>溢价率标准差</t>
  </si>
  <si>
    <t>远程数据自动更新。解决多工作簿冲突问题。解决缓存问题。</t>
    <phoneticPr fontId="1" type="noConversion"/>
  </si>
  <si>
    <t>转股价值</t>
    <phoneticPr fontId="1" type="noConversion"/>
  </si>
  <si>
    <t>113014.SH</t>
  </si>
  <si>
    <t>林洋转债</t>
  </si>
  <si>
    <t>601222.SH</t>
  </si>
  <si>
    <t>林洋能源</t>
  </si>
  <si>
    <t>113015.SH</t>
  </si>
  <si>
    <t>隆基转债</t>
  </si>
  <si>
    <t>601012.SH</t>
  </si>
  <si>
    <t>隆基股份</t>
  </si>
  <si>
    <t>128017.SZ</t>
  </si>
  <si>
    <t>金禾转债</t>
  </si>
  <si>
    <t>002597.SZ</t>
  </si>
  <si>
    <t>金禾实业</t>
  </si>
  <si>
    <t>002318.SZ</t>
    <phoneticPr fontId="1" type="noConversion"/>
  </si>
  <si>
    <t>002318.SZ</t>
    <phoneticPr fontId="1" type="noConversion"/>
  </si>
  <si>
    <t>时达转债</t>
  </si>
  <si>
    <t>小康转债</t>
  </si>
  <si>
    <t>601127.SH</t>
  </si>
  <si>
    <t>113016.SH</t>
  </si>
  <si>
    <t>128018.SZ</t>
  </si>
  <si>
    <t>002527.SZ</t>
  </si>
  <si>
    <t>新时达</t>
  </si>
  <si>
    <t>ver1.5</t>
  </si>
  <si>
    <t>久立特材</t>
  </si>
  <si>
    <t>久立转2</t>
  </si>
  <si>
    <t>小康股份</t>
  </si>
  <si>
    <t>v1.5</t>
    <phoneticPr fontId="1" type="noConversion"/>
  </si>
  <si>
    <t>打开时自动载入数据。增加新发转债提示功能</t>
    <phoneticPr fontId="1" type="noConversion"/>
  </si>
  <si>
    <t>公告日</t>
  </si>
  <si>
    <t>转债代码</t>
  </si>
  <si>
    <t>转债名称</t>
  </si>
  <si>
    <t>债底</t>
  </si>
  <si>
    <t>平价</t>
  </si>
  <si>
    <t>中枢定价</t>
  </si>
  <si>
    <t>IPO</t>
    <phoneticPr fontId="1" type="noConversion"/>
  </si>
  <si>
    <t>IPO数据跟踪</t>
    <phoneticPr fontId="1" type="noConversion"/>
  </si>
  <si>
    <t>嘉澳环保</t>
  </si>
  <si>
    <t>嘉澳转债</t>
  </si>
  <si>
    <t>济川药业</t>
  </si>
  <si>
    <t>济川转债</t>
  </si>
  <si>
    <t>申购日</t>
  </si>
  <si>
    <t>申购代码</t>
  </si>
  <si>
    <t>113502.SH</t>
  </si>
  <si>
    <t>603822.SH</t>
  </si>
  <si>
    <t>NA</t>
  </si>
  <si>
    <t>128019.SZ</t>
  </si>
  <si>
    <t>002318.SZ</t>
  </si>
  <si>
    <t>水晶光电</t>
  </si>
  <si>
    <t>水晶转债</t>
  </si>
  <si>
    <t>110038.SH</t>
  </si>
  <si>
    <t>600566.SH</t>
  </si>
  <si>
    <t>110039.SH</t>
  </si>
  <si>
    <t>宝信转债</t>
  </si>
  <si>
    <t>600845.SH</t>
  </si>
  <si>
    <t>宝信软件</t>
  </si>
  <si>
    <t>128020.SZ</t>
  </si>
  <si>
    <t>002273.SZ</t>
  </si>
  <si>
    <t>剩余期限</t>
  </si>
  <si>
    <t>正股代码</t>
  </si>
  <si>
    <t>正股名称</t>
  </si>
  <si>
    <t>正股市价</t>
  </si>
  <si>
    <t>网上额度 (亿元)</t>
  </si>
  <si>
    <t>申购户数 (万户)</t>
  </si>
  <si>
    <t>波动率 (%)</t>
  </si>
  <si>
    <t>发行规模 (亿元)</t>
  </si>
  <si>
    <t>每股配售 (元/股)</t>
  </si>
  <si>
    <t>股权稀释率 (%)</t>
  </si>
  <si>
    <t>前十大股东持股(%)</t>
  </si>
  <si>
    <t>预计网上配额占比(%)</t>
  </si>
  <si>
    <t>实际网上额度比例(%)</t>
  </si>
  <si>
    <t>配售权价值占比(%)</t>
  </si>
  <si>
    <t>中枢定价</t>
    <phoneticPr fontId="1" type="noConversion"/>
  </si>
  <si>
    <t>配售权价值</t>
    <phoneticPr fontId="1" type="noConversion"/>
  </si>
  <si>
    <t>数据载入完毕</t>
    <phoneticPr fontId="1" type="noConversion"/>
  </si>
  <si>
    <t>可转债工具使用说明</t>
    <phoneticPr fontId="1" type="noConversion"/>
  </si>
  <si>
    <t>v1.6</t>
    <phoneticPr fontId="1" type="noConversion"/>
  </si>
  <si>
    <t>新发转债数据自动更新。</t>
    <phoneticPr fontId="1" type="noConversion"/>
  </si>
  <si>
    <t>1.需要启用VBA宏和Wind插件，计算机联网，且Wind插件处于已登录状态。</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</si>
</sst>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
    <numFmt numFmtId="177" formatCode="0.0"/>
    <numFmt numFmtId="178" formatCode="0.00_);[Red]\(0.00\)"/>
    <numFmt numFmtId="179" formatCode="0.000_);[Red]\(0.000\)"/>
    <numFmt numFmtId="180" formatCode="###,###,##0.0000"/>
    <numFmt numFmtId="181" formatCode="0.0000"/>
    <numFmt numFmtId="182" formatCode="###,###,##0.00"/>
    <numFmt numFmtId="183" formatCode="yyyy/mm"/>
    <numFmt numFmtId="184" formatCode="0.00_ "/>
    <numFmt numFmtId="185" formatCode="yyyy\-mm\-dd"/>
    <numFmt numFmtId="186" formatCode="000000"/>
  </numFmts>
  <fonts count="14">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
      <sz val="11"/>
      <color rgb="FF000000"/>
      <name val="宋体"/>
      <family val="3"/>
      <charset val="134"/>
    </font>
  </fonts>
  <fills count="3">
    <fill>
      <patternFill patternType="none"/>
    </fill>
    <fill>
      <patternFill patternType="gray125"/>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0" fillId="0" borderId="1" xfId="0" applyBorder="1" applyAlignment="1">
      <alignment horizontal="center" vertical="center"/>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3" fillId="0" borderId="2" xfId="0" applyFont="1" applyBorder="1" applyAlignment="1">
      <alignment horizontal="center" vertical="center" wrapText="1"/>
    </xf>
    <xf numFmtId="9" fontId="8" fillId="2" borderId="8" xfId="1" applyFont="1" applyFill="1" applyBorder="1" applyAlignment="1">
      <alignment horizontal="center" vertical="center"/>
    </xf>
    <xf numFmtId="0" fontId="0" fillId="0" borderId="7" xfId="0" applyFill="1" applyBorder="1" applyAlignment="1">
      <alignment horizontal="center" vertical="center"/>
    </xf>
    <xf numFmtId="0" fontId="0" fillId="0" borderId="8" xfId="0" applyBorder="1">
      <alignment vertical="center"/>
    </xf>
    <xf numFmtId="0" fontId="0" fillId="0" borderId="9" xfId="0" applyFill="1" applyBorder="1" applyAlignment="1">
      <alignment horizontal="center" vertical="center"/>
    </xf>
    <xf numFmtId="10" fontId="0" fillId="0" borderId="10" xfId="1" applyNumberFormat="1" applyFont="1" applyBorder="1">
      <alignment vertical="center"/>
    </xf>
    <xf numFmtId="17" fontId="0" fillId="0" borderId="0" xfId="0" applyNumberFormat="1">
      <alignment vertical="center"/>
    </xf>
    <xf numFmtId="0" fontId="3" fillId="0" borderId="1" xfId="0" applyFont="1" applyFill="1" applyBorder="1" applyAlignment="1">
      <alignment horizontal="center" vertical="center" wrapText="1"/>
    </xf>
    <xf numFmtId="0" fontId="0" fillId="0" borderId="1" xfId="0" applyFill="1" applyBorder="1" applyAlignment="1">
      <alignment vertical="center" wrapText="1"/>
    </xf>
    <xf numFmtId="183" fontId="0" fillId="0" borderId="0" xfId="1" applyNumberFormat="1" applyFont="1">
      <alignment vertical="center"/>
    </xf>
    <xf numFmtId="0" fontId="0" fillId="0" borderId="1" xfId="0" applyBorder="1" applyAlignment="1">
      <alignment horizontal="center" vertical="center" wrapText="1"/>
    </xf>
    <xf numFmtId="0" fontId="10" fillId="0" borderId="1" xfId="0" applyFont="1" applyFill="1" applyBorder="1">
      <alignment vertical="center"/>
    </xf>
    <xf numFmtId="0" fontId="10" fillId="0" borderId="1" xfId="0" applyNumberFormat="1" applyFont="1" applyBorder="1" applyAlignment="1">
      <alignment horizontal="center" vertical="center" wrapText="1"/>
    </xf>
    <xf numFmtId="184" fontId="0" fillId="0" borderId="0" xfId="0" applyNumberFormat="1">
      <alignment vertical="center"/>
    </xf>
    <xf numFmtId="184" fontId="0" fillId="0" borderId="1" xfId="0" applyNumberFormat="1" applyBorder="1">
      <alignment vertical="center"/>
    </xf>
    <xf numFmtId="184" fontId="0" fillId="0" borderId="1" xfId="0" applyNumberFormat="1" applyBorder="1" applyAlignment="1">
      <alignment horizontal="center" vertical="center" wrapText="1"/>
    </xf>
    <xf numFmtId="184" fontId="0" fillId="0" borderId="4" xfId="0" applyNumberFormat="1" applyBorder="1">
      <alignment vertical="center"/>
    </xf>
    <xf numFmtId="0" fontId="3" fillId="0" borderId="1" xfId="0" applyFont="1" applyBorder="1" applyAlignment="1">
      <alignment horizontal="center" vertical="center" wrapText="1"/>
    </xf>
    <xf numFmtId="185" fontId="0" fillId="0" borderId="0" xfId="0" applyNumberFormat="1" applyAlignment="1">
      <alignment horizontal="center" vertical="center" wrapText="1"/>
    </xf>
    <xf numFmtId="186" fontId="0" fillId="0" borderId="0" xfId="0" applyNumberFormat="1" applyAlignment="1">
      <alignment horizontal="center" vertical="center" wrapText="1"/>
    </xf>
    <xf numFmtId="0" fontId="0" fillId="0" borderId="0" xfId="0" applyAlignment="1">
      <alignment horizontal="center" vertical="center" wrapText="1"/>
    </xf>
    <xf numFmtId="2" fontId="0" fillId="0" borderId="0" xfId="0" applyNumberFormat="1" applyAlignment="1">
      <alignment horizontal="center" vertical="center" wrapText="1"/>
    </xf>
    <xf numFmtId="185" fontId="0" fillId="0" borderId="1" xfId="0" applyNumberFormat="1" applyBorder="1" applyAlignment="1">
      <alignment horizontal="center" vertical="center" wrapText="1"/>
    </xf>
    <xf numFmtId="186"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4" xfId="0" applyFont="1" applyFill="1" applyBorder="1" applyAlignment="1">
      <alignment horizontal="center" vertical="center" wrapText="1"/>
    </xf>
    <xf numFmtId="0" fontId="0" fillId="0" borderId="4" xfId="0" applyFill="1" applyBorder="1" applyAlignment="1">
      <alignment vertical="center" wrapText="1"/>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0</v>
        <stp/>
        <stp>113015.SH</stp>
        <stp>LastPrice</stp>
        <stp>RT_Price</stp>
        <tr r="C24" s="4"/>
      </tp>
      <tp>
        <v>117.21000000000001</v>
        <stp/>
        <stp>128016.SZ</stp>
        <stp>LastPrice</stp>
        <stp>RT_Price</stp>
        <tr r="C21" s="4"/>
        <tr r="C12" s="6"/>
        <tr r="C12" s="6"/>
      </tp>
      <tp>
        <v>5.58</v>
        <stp/>
        <stp>002325.SZ</stp>
        <stp>LastPrice</stp>
        <stp>RT_Price</stp>
        <tr r="G14" s="4"/>
      </tp>
      <tp>
        <v>9.85</v>
        <stp/>
        <stp>002245.SZ</stp>
        <stp>LastPrice</stp>
        <stp>RT_Price</stp>
        <tr r="G10" s="4"/>
      </tp>
      <tp>
        <v>124.5</v>
        <stp/>
        <stp>113014.SH</stp>
        <stp>LastPrice</stp>
        <stp>RT_Price</stp>
        <tr r="C22" s="4"/>
      </tp>
      <tp>
        <v>5.87</v>
        <stp/>
        <stp>600185.SH</stp>
        <stp>LastPrice</stp>
        <stp>RT_Price</stp>
        <tr r="G2" s="4"/>
      </tp>
      <tp>
        <v>121</v>
        <stp/>
        <stp>110034.SH</stp>
        <stp>LastPrice</stp>
        <stp>RT_Price</stp>
        <tr r="C8" s="4"/>
      </tp>
      <tp>
        <v>10.4</v>
        <stp/>
        <stp>600755.SH</stp>
        <stp>LastPrice</stp>
        <stp>RT_Price</stp>
        <tr r="G7" s="4"/>
      </tp>
      <tp>
        <v>18.79</v>
        <stp/>
        <stp>600845.SH</stp>
        <stp>LastPrice</stp>
        <stp>RT_Price</stp>
        <tr r="G30" s="4"/>
      </tp>
      <tp>
        <v>0</v>
        <stp/>
        <stp>128017.SZ</stp>
        <stp>LastPrice</stp>
        <stp>RT_Price</stp>
        <tr r="C23" s="4"/>
      </tp>
      <tp>
        <v>5.48</v>
        <stp/>
        <stp>002496.SZ</stp>
        <stp>LastPrice</stp>
        <stp>RT_Price</stp>
        <tr r="G12" s="4"/>
      </tp>
      <tp>
        <v>40.17</v>
        <stp/>
        <stp>600566.SH</stp>
        <stp>LastPrice</stp>
        <stp>RT_Price</stp>
        <tr r="G29" s="4"/>
      </tp>
      <tp>
        <v>101.8</v>
        <stp/>
        <stp>127004.SZ</stp>
        <stp>LastPrice</stp>
        <stp>RT_Price</stp>
        <tr r="C18" s="4"/>
      </tp>
      <tp>
        <v>114.989</v>
        <stp/>
        <stp>128014.SZ</stp>
        <stp>LastPrice</stp>
        <stp>RT_Price</stp>
        <tr r="C17" s="4"/>
      </tp>
      <tp>
        <v>11.92</v>
        <stp/>
        <stp>002527.SZ</stp>
        <stp>LastPrice</stp>
        <stp>RT_Price</stp>
        <tr r="G26" s="4"/>
      </tp>
      <tp>
        <v>24.95</v>
        <stp/>
        <stp>002597.SZ</stp>
        <stp>LastPrice</stp>
        <stp>RT_Price</stp>
        <tr r="G23" s="4"/>
      </tp>
      <tp>
        <v>0</v>
        <stp/>
        <stp>113016.SH</stp>
        <stp>LastPrice</stp>
        <stp>RT_Price</stp>
        <tr r="C25" s="4"/>
      </tp>
      <tp>
        <v>24.02</v>
        <stp/>
        <stp>601127.SH</stp>
        <stp>LastPrice</stp>
        <stp>RT_Price</stp>
        <tr r="G25" s="4"/>
      </tp>
      <tp>
        <v>7.73</v>
        <stp/>
        <stp>601727.SH</stp>
        <stp>LastPrice</stp>
        <stp>RT_Price</stp>
        <tr r="G3" s="4"/>
      </tp>
      <tp>
        <v>109.85000000000001</v>
        <stp/>
        <stp>128015.SZ</stp>
        <stp>LastPrice</stp>
        <stp>RT_Price</stp>
        <tr r="C19" s="4"/>
      </tp>
      <tp>
        <v>108.9</v>
        <stp/>
        <stp>113011.SH</stp>
        <stp>LastPrice</stp>
        <stp>RT_Price</stp>
        <tr r="C15" s="4"/>
      </tp>
      <tp>
        <v>104.71000000000001</v>
        <stp/>
        <stp>110031.SH</stp>
        <stp>LastPrice</stp>
        <stp>RT_Price</stp>
        <tr r="C4" s="4"/>
      </tp>
      <tp>
        <v>6.4</v>
        <stp/>
        <stp>000700.SZ</stp>
        <stp>LastPrice</stp>
        <stp>RT_Price</stp>
        <tr r="G18" s="4"/>
      </tp>
      <tp>
        <v>101.58800000000001</v>
        <stp/>
        <stp>128012.SZ</stp>
        <stp>LastPrice</stp>
        <stp>RT_Price</stp>
        <tr r="C12" s="4"/>
      </tp>
      <tp>
        <v>38.380000000000003</v>
        <stp/>
        <stp>002271.SZ</stp>
        <stp>LastPrice</stp>
        <stp>RT_Price</stp>
        <tr r="G21" s="4"/>
        <tr r="C8" s="6"/>
      </tp>
      <tp>
        <v>104.41</v>
        <stp/>
        <stp>113010.SH</stp>
        <stp>LastPrice</stp>
        <stp>RT_Price</stp>
        <tr r="C11" s="4"/>
      </tp>
      <tp>
        <v>108.49000000000001</v>
        <stp/>
        <stp>110030.SH</stp>
        <stp>LastPrice</stp>
        <stp>RT_Price</stp>
        <tr r="C2" s="4"/>
      </tp>
      <tp>
        <v>8.35</v>
        <stp/>
        <stp>600031.SH</stp>
        <stp>LastPrice</stp>
        <stp>RT_Price</stp>
        <tr r="G6" s="4"/>
      </tp>
      <tp>
        <v>20.29</v>
        <stp/>
        <stp>600271.SH</stp>
        <stp>LastPrice</stp>
        <stp>RT_Price</stp>
        <tr r="G4" s="4"/>
      </tp>
      <tp>
        <v>3.46</v>
        <stp/>
        <stp>000861.SZ</stp>
        <stp>LastPrice</stp>
        <stp>RT_Price</stp>
        <tr r="G13" s="4"/>
      </tp>
      <tp>
        <v>13.86</v>
        <stp/>
        <stp>601311.SH</stp>
        <stp>LastPrice</stp>
        <stp>RT_Price</stp>
        <tr r="G16" s="4"/>
      </tp>
      <tp>
        <v>19.990000000000002</v>
        <stp/>
        <stp>601211.SH</stp>
        <stp>LastPrice</stp>
        <stp>RT_Price</stp>
        <tr r="G20" s="4"/>
      </tp>
      <tp>
        <v>98.89</v>
        <stp/>
        <stp>127003.SZ</stp>
        <stp>LastPrice</stp>
        <stp>RT_Price</stp>
        <tr r="C13" s="4"/>
      </tp>
      <tp>
        <v>98.8</v>
        <stp/>
        <stp>128013.SZ</stp>
        <stp>LastPrice</stp>
        <stp>RT_Price</stp>
        <tr r="C14" s="4"/>
      </tp>
      <tp>
        <v>118</v>
        <stp/>
        <stp>113013.SH</stp>
        <stp>LastPrice</stp>
        <stp>RT_Price</stp>
        <tr r="C20" s="4"/>
      </tp>
      <tp>
        <v>42.96</v>
        <stp/>
        <stp>603822.SH</stp>
        <stp>LastPrice</stp>
        <stp>RT_Price</stp>
        <tr r="G28" s="4"/>
      </tp>
      <tp>
        <v>125.01</v>
        <stp/>
        <stp>110033.SH</stp>
        <stp>LastPrice</stp>
        <stp>RT_Price</stp>
        <tr r="C7" s="4"/>
      </tp>
      <tp>
        <v>37.910000000000004</v>
        <stp/>
        <stp>601012.SH</stp>
        <stp>LastPrice</stp>
        <stp>RT_Price</stp>
        <tr r="G24" s="4"/>
      </tp>
      <tp>
        <v>10.4</v>
        <stp/>
        <stp>601222.SH</stp>
        <stp>LastPrice</stp>
        <stp>RT_Price</stp>
        <tr r="G22" s="4"/>
      </tp>
      <tp>
        <v>118.033</v>
        <stp/>
        <stp>128010.SZ</stp>
        <stp>LastPrice</stp>
        <stp>RT_Price</stp>
        <tr r="C10" s="4"/>
      </tp>
      <tp>
        <v>0</v>
        <stp/>
        <stp>128020.SZ</stp>
        <stp>LastPrice</stp>
        <stp>RT_Price</stp>
        <tr r="C31" s="4"/>
      </tp>
      <tp>
        <v>29.91</v>
        <stp/>
        <stp>002273.SZ</stp>
        <stp>LastPrice</stp>
        <stp>RT_Price</stp>
        <tr r="G31" s="4"/>
      </tp>
      <tp>
        <v>21.09</v>
        <stp/>
        <stp>002753.SZ</stp>
        <stp>LastPrice</stp>
        <stp>RT_Price</stp>
        <tr r="G17" s="4"/>
      </tp>
      <tp>
        <v>107.92</v>
        <stp/>
        <stp>113012.SH</stp>
        <stp>LastPrice</stp>
        <stp>RT_Price</stp>
        <tr r="C16" s="4"/>
      </tp>
      <tp>
        <v>101.8</v>
        <stp/>
        <stp>123001.SZ</stp>
        <stp>LastPrice</stp>
        <stp>RT_Price</stp>
        <tr r="C5" s="4"/>
      </tp>
      <tp>
        <v>0</v>
        <stp/>
        <stp>113502.SH</stp>
        <stp>LastPrice</stp>
        <stp>RT_Price</stp>
        <tr r="C28" s="4"/>
      </tp>
      <tp>
        <v>120.76</v>
        <stp/>
        <stp>110032.SH</stp>
        <stp>LastPrice</stp>
        <stp>RT_Price</stp>
        <tr r="C6" s="4"/>
      </tp>
      <tp>
        <v>8.14</v>
        <stp/>
        <stp>002318.SZ</stp>
        <stp>LastPrice</stp>
        <stp>RT_Price</stp>
        <tr r="G27" s="4"/>
        <tr r="I5" s="6"/>
        <tr r="L8" s="6"/>
      </tp>
      <tp>
        <v>129.80000000000001</v>
        <stp/>
        <stp>113009.SH</stp>
        <stp>LastPrice</stp>
        <stp>RT_Price</stp>
        <tr r="C9" s="4"/>
      </tp>
      <tp>
        <v>0</v>
        <stp/>
        <stp>110039.SH</stp>
        <stp>LastPrice</stp>
        <stp>RT_Price</stp>
        <tr r="C30" s="4"/>
      </tp>
      <tp>
        <v>6.94</v>
        <stp/>
        <stp>300058.SZ</stp>
        <stp>LastPrice</stp>
        <stp>RT_Price</stp>
        <tr r="G5" s="4"/>
      </tp>
      <tp>
        <v>20.150000000000002</v>
        <stp/>
        <stp>600998.SH</stp>
        <stp>LastPrice</stp>
        <stp>RT_Price</stp>
        <tr r="G8" s="4"/>
      </tp>
      <tp>
        <v>27.42</v>
        <stp/>
        <stp>601238.SH</stp>
        <stp>LastPrice</stp>
        <stp>RT_Price</stp>
        <tr r="G9" s="4"/>
      </tp>
      <tp>
        <v>4.0200000000000005</v>
        <stp/>
        <stp>601818.SH</stp>
        <stp>LastPrice</stp>
        <stp>RT_Price</stp>
        <tr r="G15" s="4"/>
      </tp>
      <tp>
        <v>12</v>
        <stp/>
        <stp>002279.SZ</stp>
        <stp>LastPrice</stp>
        <stp>RT_Price</stp>
        <tr r="G19" s="4"/>
      </tp>
      <tp>
        <v>103</v>
        <stp/>
        <stp>113008.SH</stp>
        <stp>LastPrice</stp>
        <stp>RT_Price</stp>
        <tr r="C3" s="4"/>
      </tp>
      <tp>
        <v>0</v>
        <stp/>
        <stp>110038.SH</stp>
        <stp>LastPrice</stp>
        <stp>RT_Price</stp>
        <tr r="C29" s="4"/>
      </tp>
      <tp>
        <v>5.98</v>
        <stp/>
        <stp>601199.SH</stp>
        <stp>LastPrice</stp>
        <stp>RT_Price</stp>
        <tr r="G11" s="4"/>
      </tp>
      <tp>
        <v>0</v>
        <stp/>
        <stp>128018.SZ</stp>
        <stp>LastPrice</stp>
        <stp>RT_Price</stp>
        <tr r="C26" s="4"/>
      </tp>
      <tp>
        <v>0</v>
        <stp/>
        <stp>128019.SZ</stp>
        <stp>LastPrice</stp>
        <stp>RT_Price</stp>
        <tr r="C27" s="4"/>
      </tp>
    </main>
  </volType>
</volTypes>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2</xdr:row>
          <xdr:rowOff>28575</xdr:rowOff>
        </xdr:from>
        <xdr:to>
          <xdr:col>3</xdr:col>
          <xdr:colOff>1362075</xdr:colOff>
          <xdr:row>2</xdr:row>
          <xdr:rowOff>342900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1466850</xdr:colOff>
          <xdr:row>2</xdr:row>
          <xdr:rowOff>28575</xdr:rowOff>
        </xdr:from>
        <xdr:to>
          <xdr:col>3</xdr:col>
          <xdr:colOff>2781300</xdr:colOff>
          <xdr:row>2</xdr:row>
          <xdr:rowOff>352425</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下载远程数据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2886075</xdr:colOff>
          <xdr:row>2</xdr:row>
          <xdr:rowOff>28575</xdr:rowOff>
        </xdr:from>
        <xdr:to>
          <xdr:col>3</xdr:col>
          <xdr:colOff>4286250</xdr:colOff>
          <xdr:row>2</xdr:row>
          <xdr:rowOff>352425</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载入本地远程数据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4352925</xdr:colOff>
          <xdr:row>2</xdr:row>
          <xdr:rowOff>19050</xdr:rowOff>
        </xdr:from>
        <xdr:to>
          <xdr:col>3</xdr:col>
          <xdr:colOff>5524500</xdr:colOff>
          <xdr:row>2</xdr:row>
          <xdr:rowOff>352425</xdr:rowOff>
        </xdr:to>
        <xdr:sp macro="" textlink="">
          <xdr:nvSpPr>
            <xdr:cNvPr id="1029" name="Button 5"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重开工作表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342900</xdr:colOff>
          <xdr:row>2</xdr:row>
          <xdr:rowOff>47625</xdr:rowOff>
        </xdr:from>
        <xdr:to>
          <xdr:col>14</xdr:col>
          <xdr:colOff>457200</xdr:colOff>
          <xdr:row>3</xdr:row>
          <xdr:rowOff>323850</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格式化IPO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0</xdr:row>
          <xdr:rowOff>85725</xdr:rowOff>
        </xdr:from>
        <xdr:to>
          <xdr:col>14</xdr:col>
          <xdr:colOff>466725</xdr:colOff>
          <xdr:row>1</xdr:row>
          <xdr:rowOff>371475</xdr:rowOff>
        </xdr:to>
        <xdr:sp macro="" textlink="">
          <xdr:nvSpPr>
            <xdr:cNvPr id="2051" name="Button 1" hidden="1">
              <a:extLst>
                <a:ext uri="{63B3BB69-23CF-44E3-9099-C40C66FF867C}">
                  <a14:compatExt spid="_x0000_s2051"/>
                </a:ext>
                <a:ext uri="{FF2B5EF4-FFF2-40B4-BE49-F238E27FC236}">
                  <a16:creationId xmlns:a16="http://schemas.microsoft.com/office/drawing/2014/main" xmlns=""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重载本地数据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github.com/liquanbao/hazc"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4"/>
  <sheetViews>
    <sheetView tabSelected="1" workbookViewId="0">
      <selection activeCell="D7" sqref="D7"/>
    </sheetView>
  </sheetViews>
  <sheetFormatPr defaultRowHeight="13.5"/>
  <cols>
    <col min="1" max="1" width="2.875" customWidth="1"/>
    <col min="2" max="2" width="12.625" customWidth="1"/>
    <col min="3" max="3" width="14.625" bestFit="1" customWidth="1"/>
    <col min="4" max="4" width="74.25" customWidth="1"/>
  </cols>
  <sheetData>
    <row r="2" spans="2:4" ht="42" customHeight="1">
      <c r="B2" s="60" t="s">
        <v>277</v>
      </c>
      <c r="C2" s="60"/>
      <c r="D2" s="60"/>
    </row>
    <row r="3" spans="2:4" ht="30" hidden="1" customHeight="1">
      <c r="B3" s="30" t="s">
        <v>157</v>
      </c>
      <c r="C3" s="44">
        <v>1.6</v>
      </c>
      <c r="D3" s="33"/>
    </row>
    <row r="4" spans="2:4" ht="30" customHeight="1">
      <c r="B4" s="29" t="s">
        <v>104</v>
      </c>
      <c r="C4" s="12">
        <f>Data!A2</f>
        <v>43053</v>
      </c>
      <c r="D4" s="45" t="s">
        <v>276</v>
      </c>
    </row>
    <row r="5" spans="2:4" ht="30" customHeight="1">
      <c r="B5" s="31" t="s">
        <v>154</v>
      </c>
      <c r="C5" s="46">
        <v>1.6</v>
      </c>
      <c r="D5" s="32" t="str">
        <f>IF(C5=C3,"已更新至最新版","点此下载：最新版本 "&amp;C3&amp;"")</f>
        <v>已更新至最新版</v>
      </c>
    </row>
    <row r="6" spans="2:4" ht="34.5" customHeight="1">
      <c r="B6" s="34" t="s">
        <v>100</v>
      </c>
      <c r="C6" s="64" t="s">
        <v>280</v>
      </c>
      <c r="D6" s="65"/>
    </row>
    <row r="7" spans="2:4" ht="30" customHeight="1">
      <c r="B7" s="59" t="s">
        <v>101</v>
      </c>
      <c r="C7" s="10" t="s">
        <v>92</v>
      </c>
      <c r="D7" s="9" t="s">
        <v>122</v>
      </c>
    </row>
    <row r="8" spans="2:4" ht="30" customHeight="1">
      <c r="B8" s="59"/>
      <c r="C8" s="10" t="s">
        <v>102</v>
      </c>
      <c r="D8" s="9" t="s">
        <v>123</v>
      </c>
    </row>
    <row r="9" spans="2:4" ht="30" customHeight="1">
      <c r="B9" s="59"/>
      <c r="C9" s="10" t="s">
        <v>103</v>
      </c>
      <c r="D9" s="9" t="s">
        <v>121</v>
      </c>
    </row>
    <row r="10" spans="2:4" ht="30" customHeight="1">
      <c r="B10" s="59"/>
      <c r="C10" s="13" t="s">
        <v>153</v>
      </c>
      <c r="D10" s="9" t="s">
        <v>152</v>
      </c>
    </row>
    <row r="11" spans="2:4" ht="30" customHeight="1">
      <c r="B11" s="59"/>
      <c r="C11" s="10" t="s">
        <v>237</v>
      </c>
      <c r="D11" s="9" t="s">
        <v>238</v>
      </c>
    </row>
    <row r="12" spans="2:4" ht="30" customHeight="1">
      <c r="B12" s="61" t="s">
        <v>108</v>
      </c>
      <c r="C12" s="10" t="s">
        <v>109</v>
      </c>
      <c r="D12" s="9" t="s">
        <v>110</v>
      </c>
    </row>
    <row r="13" spans="2:4" ht="30" customHeight="1">
      <c r="B13" s="62"/>
      <c r="C13" s="10" t="s">
        <v>111</v>
      </c>
      <c r="D13" s="9" t="s">
        <v>124</v>
      </c>
    </row>
    <row r="14" spans="2:4" ht="30" customHeight="1">
      <c r="B14" s="62"/>
      <c r="C14" s="11" t="s">
        <v>118</v>
      </c>
      <c r="D14" s="9" t="s">
        <v>178</v>
      </c>
    </row>
    <row r="15" spans="2:4" ht="30" customHeight="1">
      <c r="B15" s="62"/>
      <c r="C15" s="10" t="s">
        <v>112</v>
      </c>
      <c r="D15" s="9" t="s">
        <v>115</v>
      </c>
    </row>
    <row r="16" spans="2:4" ht="30" customHeight="1">
      <c r="B16" s="62"/>
      <c r="C16" s="10" t="s">
        <v>113</v>
      </c>
      <c r="D16" s="9" t="s">
        <v>114</v>
      </c>
    </row>
    <row r="17" spans="2:4" ht="30" customHeight="1">
      <c r="B17" s="63"/>
      <c r="C17" s="11" t="s">
        <v>119</v>
      </c>
      <c r="D17" s="9" t="s">
        <v>120</v>
      </c>
    </row>
    <row r="18" spans="2:4" ht="30" customHeight="1">
      <c r="B18" s="61" t="s">
        <v>117</v>
      </c>
      <c r="C18" s="51" t="s">
        <v>105</v>
      </c>
      <c r="D18" s="9" t="s">
        <v>106</v>
      </c>
    </row>
    <row r="19" spans="2:4" ht="30" customHeight="1">
      <c r="B19" s="62"/>
      <c r="C19" s="51" t="s">
        <v>116</v>
      </c>
      <c r="D19" s="9" t="s">
        <v>107</v>
      </c>
    </row>
    <row r="20" spans="2:4" ht="30" customHeight="1">
      <c r="B20" s="62"/>
      <c r="C20" s="51" t="s">
        <v>155</v>
      </c>
      <c r="D20" s="9" t="s">
        <v>156</v>
      </c>
    </row>
    <row r="21" spans="2:4" ht="30" customHeight="1">
      <c r="B21" s="62"/>
      <c r="C21" s="41" t="s">
        <v>159</v>
      </c>
      <c r="D21" s="42" t="s">
        <v>163</v>
      </c>
    </row>
    <row r="22" spans="2:4" ht="30" customHeight="1">
      <c r="B22" s="62"/>
      <c r="C22" s="41" t="s">
        <v>177</v>
      </c>
      <c r="D22" s="42" t="s">
        <v>202</v>
      </c>
    </row>
    <row r="23" spans="2:4" ht="30" customHeight="1">
      <c r="B23" s="62"/>
      <c r="C23" s="41" t="s">
        <v>229</v>
      </c>
      <c r="D23" s="42" t="s">
        <v>230</v>
      </c>
    </row>
    <row r="24" spans="2:4" ht="27.75" customHeight="1">
      <c r="B24" s="63"/>
      <c r="C24" s="68" t="s">
        <v>278</v>
      </c>
      <c r="D24" s="69" t="s">
        <v>279</v>
      </c>
    </row>
  </sheetData>
  <mergeCells count="5">
    <mergeCell ref="B7:B11"/>
    <mergeCell ref="B2:D2"/>
    <mergeCell ref="B12:B17"/>
    <mergeCell ref="C6:D6"/>
    <mergeCell ref="B18:B24"/>
  </mergeCells>
  <phoneticPr fontId="1" type="noConversion"/>
  <hyperlinks>
    <hyperlink ref="D5" r:id="rId1" tooltip="打开Github下载页面，点击Download下载" display="https://github.com/liquanbao/hazc"/>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cal_Click">
                <anchor moveWithCells="1" sizeWithCells="1">
                  <from>
                    <xdr:col>3</xdr:col>
                    <xdr:colOff>47625</xdr:colOff>
                    <xdr:row>2</xdr:row>
                    <xdr:rowOff>28575</xdr:rowOff>
                  </from>
                  <to>
                    <xdr:col>3</xdr:col>
                    <xdr:colOff>1362075</xdr:colOff>
                    <xdr:row>2</xdr:row>
                    <xdr:rowOff>342900</xdr:rowOff>
                  </to>
                </anchor>
              </controlPr>
            </control>
          </mc:Choice>
        </mc:AlternateContent>
        <mc:AlternateContent xmlns:mc="http://schemas.openxmlformats.org/markup-compatibility/2006">
          <mc:Choice Requires="x14">
            <control shapeId="1027" r:id="rId6" name="Button 3">
              <controlPr defaultSize="0" print="0" autoFill="0" autoPict="0" macro="[0]!remote_Click">
                <anchor moveWithCells="1" sizeWithCells="1">
                  <from>
                    <xdr:col>3</xdr:col>
                    <xdr:colOff>1466850</xdr:colOff>
                    <xdr:row>2</xdr:row>
                    <xdr:rowOff>28575</xdr:rowOff>
                  </from>
                  <to>
                    <xdr:col>3</xdr:col>
                    <xdr:colOff>2781300</xdr:colOff>
                    <xdr:row>2</xdr:row>
                    <xdr:rowOff>352425</xdr:rowOff>
                  </to>
                </anchor>
              </controlPr>
            </control>
          </mc:Choice>
        </mc:AlternateContent>
        <mc:AlternateContent xmlns:mc="http://schemas.openxmlformats.org/markup-compatibility/2006">
          <mc:Choice Requires="x14">
            <control shapeId="1028" r:id="rId7" name="Button 4">
              <controlPr defaultSize="0" print="0" autoFill="0" autoPict="0" macro="[0]!csv_load">
                <anchor moveWithCells="1" sizeWithCells="1">
                  <from>
                    <xdr:col>3</xdr:col>
                    <xdr:colOff>2886075</xdr:colOff>
                    <xdr:row>2</xdr:row>
                    <xdr:rowOff>28575</xdr:rowOff>
                  </from>
                  <to>
                    <xdr:col>3</xdr:col>
                    <xdr:colOff>4286250</xdr:colOff>
                    <xdr:row>2</xdr:row>
                    <xdr:rowOff>352425</xdr:rowOff>
                  </to>
                </anchor>
              </controlPr>
            </control>
          </mc:Choice>
        </mc:AlternateContent>
        <mc:AlternateContent xmlns:mc="http://schemas.openxmlformats.org/markup-compatibility/2006">
          <mc:Choice Requires="x14">
            <control shapeId="1029" r:id="rId8" name="Button 5">
              <controlPr defaultSize="0" print="0" autoFill="0" autoPict="0" macro="[0]!重新打开工作表">
                <anchor moveWithCells="1" sizeWithCells="1">
                  <from>
                    <xdr:col>3</xdr:col>
                    <xdr:colOff>4352925</xdr:colOff>
                    <xdr:row>2</xdr:row>
                    <xdr:rowOff>19050</xdr:rowOff>
                  </from>
                  <to>
                    <xdr:col>3</xdr:col>
                    <xdr:colOff>5524500</xdr:colOff>
                    <xdr:row>2</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1"/>
  <sheetViews>
    <sheetView workbookViewId="0">
      <selection activeCell="C36" sqref="C36"/>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70</v>
      </c>
      <c r="B1" t="s">
        <v>70</v>
      </c>
      <c r="C1" t="s">
        <v>82</v>
      </c>
      <c r="D1" t="s">
        <v>90</v>
      </c>
      <c r="E1" t="s">
        <v>72</v>
      </c>
      <c r="F1" t="s">
        <v>73</v>
      </c>
      <c r="G1" t="s">
        <v>83</v>
      </c>
      <c r="H1" t="s">
        <v>85</v>
      </c>
      <c r="I1" t="s">
        <v>86</v>
      </c>
      <c r="J1" t="s">
        <v>87</v>
      </c>
      <c r="K1" s="2" t="s">
        <v>162</v>
      </c>
      <c r="L1" t="s">
        <v>84</v>
      </c>
      <c r="M1" t="s">
        <v>91</v>
      </c>
      <c r="N1" s="2" t="s">
        <v>92</v>
      </c>
      <c r="O1" s="2" t="s">
        <v>93</v>
      </c>
      <c r="P1" s="2" t="s">
        <v>94</v>
      </c>
      <c r="Q1" s="2" t="s">
        <v>95</v>
      </c>
      <c r="R1" s="5" t="s">
        <v>96</v>
      </c>
      <c r="S1" s="4" t="s">
        <v>98</v>
      </c>
      <c r="T1" s="2" t="s">
        <v>99</v>
      </c>
    </row>
    <row r="2" spans="1:20">
      <c r="A2" t="str">
        <f>Data!B2</f>
        <v>110030.SH</v>
      </c>
      <c r="B2" t="str">
        <f>Data!C2</f>
        <v>格力转债</v>
      </c>
      <c r="C2" s="8">
        <f>RTD("wdf.rtq", ,A2, "LastPrice","RT_Price")</f>
        <v>108.49000000000001</v>
      </c>
      <c r="D2" s="8">
        <f>[1]!cb_anal_straightbondvalue(A2,"")</f>
        <v>97.971000000000004</v>
      </c>
      <c r="E2" t="str">
        <f>Data!E2</f>
        <v>600185.SH</v>
      </c>
      <c r="F2" t="str">
        <f>Data!F2</f>
        <v>格力地产</v>
      </c>
      <c r="G2" s="7">
        <f>RTD("wdf.rtq", ,E2, "LastPrice","RT_Price")</f>
        <v>5.87</v>
      </c>
      <c r="H2" s="7">
        <f>[1]!cb_anal_convprice(A2,"")</f>
        <v>7.24</v>
      </c>
      <c r="I2" s="2">
        <f>Data!J2</f>
        <v>0.25059684167540602</v>
      </c>
      <c r="J2" s="2">
        <f>IF(I2=0,0.3,I2)</f>
        <v>0.25059684167540602</v>
      </c>
      <c r="K2" s="7">
        <f ca="1">([1]!cb_info_maturitydate(A2)-TODAY())/365</f>
        <v>2.1095890410958904</v>
      </c>
      <c r="L2" s="6">
        <f ca="1">BlackScholes(G2,H2,0.015,K2,0,J2,"C",0,0)*100/H2</f>
        <v>6.4329522809866839</v>
      </c>
      <c r="M2" s="6">
        <f ca="1">L2+D2</f>
        <v>104.40395228098669</v>
      </c>
      <c r="N2" s="2">
        <f ca="1">C2/M2-1</f>
        <v>3.9136906503466129E-2</v>
      </c>
      <c r="O2" s="2">
        <f>IF(Data!V2=0,"",Data!V2)</f>
        <v>2.94507231996557E-2</v>
      </c>
      <c r="P2" s="2">
        <f>IF(Data!W2=0,"",Data!W2)</f>
        <v>5.3663834915574998E-2</v>
      </c>
      <c r="Q2" s="2">
        <f ca="1">IFERROR(_xlfn.NORM.DIST(N2,O2,P2,TRUE),"")</f>
        <v>0.5716189569021396</v>
      </c>
      <c r="R2" s="5">
        <f ca="1">BlackScholes(G2,H2,0.015,K2,0,J2,"C",0,1)</f>
        <v>0.37927338345454353</v>
      </c>
      <c r="S2" s="3">
        <f ca="1">R2*100/H2</f>
        <v>5.2385826443997718</v>
      </c>
      <c r="T2" t="str">
        <f ca="1">ROUND(10*C2,0)&amp;":"&amp;ROUND(G2*S2*10,0)</f>
        <v>1085:308</v>
      </c>
    </row>
    <row r="3" spans="1:20">
      <c r="A3" t="str">
        <f>Data!B3</f>
        <v>113008.SH</v>
      </c>
      <c r="B3" t="str">
        <f>Data!C3</f>
        <v>电气转债</v>
      </c>
      <c r="C3" s="8">
        <f>RTD("wdf.rtq", ,A3, "LastPrice","RT_Price")</f>
        <v>103</v>
      </c>
      <c r="D3" s="8">
        <f>[1]!cb_anal_straightbondvalue(A3,"")</f>
        <v>94.636799999999994</v>
      </c>
      <c r="E3" t="str">
        <f>Data!E3</f>
        <v>601727.SH</v>
      </c>
      <c r="F3" t="str">
        <f>Data!F3</f>
        <v>上海电气</v>
      </c>
      <c r="G3" s="7">
        <f>RTD("wdf.rtq", ,E3, "LastPrice","RT_Price")</f>
        <v>7.73</v>
      </c>
      <c r="H3" s="7">
        <f>[1]!cb_anal_convprice(A3,"")</f>
        <v>10.37</v>
      </c>
      <c r="I3" s="2">
        <f>Data!J3</f>
        <v>0.27264217591343398</v>
      </c>
      <c r="J3" s="2">
        <f t="shared" ref="J3:J31" si="0">IF(I3=0,0.3,I3)</f>
        <v>0.27264217591343398</v>
      </c>
      <c r="K3" s="7">
        <f ca="1">([1]!cb_info_maturitydate(A3)-TODAY())/365</f>
        <v>3.2191780821917808</v>
      </c>
      <c r="L3" s="6">
        <f t="shared" ref="L3:L31" ca="1" si="1">BlackScholes(G3,H3,0.015,K3,0,J3,"C",0,0)*100/H3</f>
        <v>8.0073535108526457</v>
      </c>
      <c r="M3" s="6">
        <f t="shared" ref="M3:M31" ca="1" si="2">L3+D3</f>
        <v>102.64415351085265</v>
      </c>
      <c r="N3" s="2">
        <f t="shared" ref="N3:N31" ca="1" si="3">C3/M3-1</f>
        <v>3.4667974451143557E-3</v>
      </c>
      <c r="O3" s="2">
        <f>IF(Data!V3=0,"",Data!V3)</f>
        <v>9.0923976653645697E-2</v>
      </c>
      <c r="P3" s="2">
        <f>IF(Data!W3=0,"",Data!W3)</f>
        <v>8.20259790438429E-2</v>
      </c>
      <c r="Q3" s="2">
        <f t="shared" ref="Q3:Q31" ca="1" si="4">IFERROR(_xlfn.NORM.DIST(N3,O3,P3,TRUE),"")</f>
        <v>0.14316364481671187</v>
      </c>
      <c r="R3" s="5">
        <f t="shared" ref="R3:R31" ca="1" si="5">BlackScholes(G3,H3,0.015,K3,0,J3,"C",0,1)</f>
        <v>0.39846681975148174</v>
      </c>
      <c r="S3" s="3">
        <f t="shared" ref="S3:S31" ca="1" si="6">R3*100/H3</f>
        <v>3.842495851026825</v>
      </c>
      <c r="T3" t="str">
        <f t="shared" ref="T3:T31" ca="1" si="7">ROUND(10*C3,0)&amp;":"&amp;ROUND(G3*S3*10,0)</f>
        <v>1030:297</v>
      </c>
    </row>
    <row r="4" spans="1:20">
      <c r="A4" t="str">
        <f>Data!B4</f>
        <v>110031.SH</v>
      </c>
      <c r="B4" t="str">
        <f>Data!C4</f>
        <v>航信转债</v>
      </c>
      <c r="C4" s="8">
        <f>RTD("wdf.rtq", ,A4, "LastPrice","RT_Price")</f>
        <v>104.71000000000001</v>
      </c>
      <c r="D4" s="8">
        <f>[1]!cb_anal_straightbondvalue(A4,"")</f>
        <v>93.269199999999998</v>
      </c>
      <c r="E4" t="str">
        <f>Data!E4</f>
        <v>600271.SH</v>
      </c>
      <c r="F4" t="str">
        <f>Data!F4</f>
        <v>航天信息</v>
      </c>
      <c r="G4" s="7">
        <f>RTD("wdf.rtq", ,E4, "LastPrice","RT_Price")</f>
        <v>20.29</v>
      </c>
      <c r="H4" s="7">
        <f>[1]!cb_anal_convprice(A4,"")</f>
        <v>42.8</v>
      </c>
      <c r="I4" s="2">
        <f>Data!J4</f>
        <v>0.22583188254685599</v>
      </c>
      <c r="J4" s="2">
        <f t="shared" si="0"/>
        <v>0.22583188254685599</v>
      </c>
      <c r="K4" s="7">
        <f ca="1">([1]!cb_info_maturitydate(A4)-TODAY())/365</f>
        <v>3.5753424657534247</v>
      </c>
      <c r="L4" s="6">
        <f t="shared" ca="1" si="1"/>
        <v>0.62039313469204938</v>
      </c>
      <c r="M4" s="6">
        <f t="shared" ca="1" si="2"/>
        <v>93.889593134692049</v>
      </c>
      <c r="N4" s="2">
        <f t="shared" ca="1" si="3"/>
        <v>0.11524607258426633</v>
      </c>
      <c r="O4" s="2">
        <f>IF(Data!V4=0,"",Data!V4)</f>
        <v>0.117255024625045</v>
      </c>
      <c r="P4" s="2">
        <f>IF(Data!W4=0,"",Data!W4)</f>
        <v>2.6060999130432499E-2</v>
      </c>
      <c r="Q4" s="2">
        <f t="shared" ca="1" si="4"/>
        <v>0.46927735355294042</v>
      </c>
      <c r="R4" s="5">
        <f t="shared" ca="1" si="5"/>
        <v>7.9437299951274326E-2</v>
      </c>
      <c r="S4" s="3">
        <f t="shared" ca="1" si="6"/>
        <v>0.18560116811045405</v>
      </c>
      <c r="T4" t="str">
        <f t="shared" ca="1" si="7"/>
        <v>1047:38</v>
      </c>
    </row>
    <row r="5" spans="1:20">
      <c r="A5" t="str">
        <f>Data!B5</f>
        <v>123001.SZ</v>
      </c>
      <c r="B5" t="str">
        <f>Data!C5</f>
        <v>蓝标转债</v>
      </c>
      <c r="C5" s="8">
        <f>RTD("wdf.rtq", ,A5, "LastPrice","RT_Price")</f>
        <v>101.8</v>
      </c>
      <c r="D5" s="8">
        <f>[1]!cb_anal_straightbondvalue(A5,"")</f>
        <v>92.604699999999994</v>
      </c>
      <c r="E5" t="str">
        <f>Data!E5</f>
        <v>300058.SZ</v>
      </c>
      <c r="F5" t="str">
        <f>Data!F5</f>
        <v>蓝色光标</v>
      </c>
      <c r="G5" s="7">
        <f>RTD("wdf.rtq", ,E5, "LastPrice","RT_Price")</f>
        <v>6.94</v>
      </c>
      <c r="H5" s="7">
        <f>[1]!cb_anal_convprice(A5,"")</f>
        <v>9.77</v>
      </c>
      <c r="I5" s="2">
        <f>Data!J5</f>
        <v>0.29952380057570799</v>
      </c>
      <c r="J5" s="2">
        <f t="shared" si="0"/>
        <v>0.29952380057570799</v>
      </c>
      <c r="K5" s="7">
        <f ca="1">([1]!cb_info_maturitydate(A5)-TODAY())/365</f>
        <v>4.0931506849315067</v>
      </c>
      <c r="L5" s="6">
        <f t="shared" ca="1" si="1"/>
        <v>10.138775700585443</v>
      </c>
      <c r="M5" s="6">
        <f t="shared" ca="1" si="2"/>
        <v>102.74347570058544</v>
      </c>
      <c r="N5" s="2">
        <f t="shared" ca="1" si="3"/>
        <v>-9.1828283416740542E-3</v>
      </c>
      <c r="O5" s="2">
        <f>IF(Data!V5=0,"",Data!V5)</f>
        <v>3.6386181864523102E-2</v>
      </c>
      <c r="P5" s="2">
        <f>IF(Data!W5=0,"",Data!W5)</f>
        <v>3.2978312001959102E-2</v>
      </c>
      <c r="Q5" s="2">
        <f t="shared" ca="1" si="4"/>
        <v>8.3518521448448083E-2</v>
      </c>
      <c r="R5" s="5">
        <f t="shared" ca="1" si="5"/>
        <v>0.43640628024439188</v>
      </c>
      <c r="S5" s="3">
        <f t="shared" ca="1" si="6"/>
        <v>4.4667991836682894</v>
      </c>
      <c r="T5" t="str">
        <f t="shared" ca="1" si="7"/>
        <v>1018:310</v>
      </c>
    </row>
    <row r="6" spans="1:20">
      <c r="A6" t="str">
        <f>Data!B6</f>
        <v>110032.SH</v>
      </c>
      <c r="B6" t="str">
        <f>Data!C6</f>
        <v>三一转债</v>
      </c>
      <c r="C6" s="8">
        <f>RTD("wdf.rtq", ,A6, "LastPrice","RT_Price")</f>
        <v>120.76</v>
      </c>
      <c r="D6" s="8">
        <f>[1]!cb_anal_straightbondvalue(A6,"")</f>
        <v>90.393299999999996</v>
      </c>
      <c r="E6" t="str">
        <f>Data!E6</f>
        <v>600031.SH</v>
      </c>
      <c r="F6" t="str">
        <f>Data!F6</f>
        <v>三一重工</v>
      </c>
      <c r="G6" s="7">
        <f>RTD("wdf.rtq", ,E6, "LastPrice","RT_Price")</f>
        <v>8.35</v>
      </c>
      <c r="H6" s="7">
        <f>[1]!cb_anal_convprice(A6,"")</f>
        <v>7.43</v>
      </c>
      <c r="I6" s="2">
        <f>Data!J6</f>
        <v>0.30119854654873002</v>
      </c>
      <c r="J6" s="2">
        <f t="shared" si="0"/>
        <v>0.30119854654873002</v>
      </c>
      <c r="K6" s="7">
        <f ca="1">([1]!cb_info_maturitydate(A6)-TODAY())/365</f>
        <v>4.13972602739726</v>
      </c>
      <c r="L6" s="6">
        <f t="shared" ca="1" si="1"/>
        <v>35.052395806843222</v>
      </c>
      <c r="M6" s="6">
        <f t="shared" ca="1" si="2"/>
        <v>125.44569580684322</v>
      </c>
      <c r="N6" s="2">
        <f t="shared" ca="1" si="3"/>
        <v>-3.735238404718233E-2</v>
      </c>
      <c r="O6" s="2">
        <f>IF(Data!V6=0,"",Data!V6)</f>
        <v>-2.42807682909436E-4</v>
      </c>
      <c r="P6" s="2">
        <f>IF(Data!W6=0,"",Data!W6)</f>
        <v>3.05674175447774E-2</v>
      </c>
      <c r="Q6" s="2">
        <f t="shared" ca="1" si="4"/>
        <v>0.11236929321866668</v>
      </c>
      <c r="R6" s="5">
        <f t="shared" ca="1" si="5"/>
        <v>0.72515597590998837</v>
      </c>
      <c r="S6" s="3">
        <f t="shared" ca="1" si="6"/>
        <v>9.75983816837131</v>
      </c>
      <c r="T6" t="str">
        <f t="shared" ca="1" si="7"/>
        <v>1208:815</v>
      </c>
    </row>
    <row r="7" spans="1:20">
      <c r="A7" t="str">
        <f>Data!B7</f>
        <v>110033.SH</v>
      </c>
      <c r="B7" t="str">
        <f>Data!C7</f>
        <v>国贸转债</v>
      </c>
      <c r="C7" s="8">
        <f>RTD("wdf.rtq", ,A7, "LastPrice","RT_Price")</f>
        <v>125.01</v>
      </c>
      <c r="D7" s="8">
        <f>[1]!cb_anal_straightbondvalue(A7,"")</f>
        <v>91.892300000000006</v>
      </c>
      <c r="E7" t="str">
        <f>Data!E7</f>
        <v>600755.SH</v>
      </c>
      <c r="F7" t="str">
        <f>Data!F7</f>
        <v>厦门国贸</v>
      </c>
      <c r="G7" s="7">
        <f>RTD("wdf.rtq", ,E7, "LastPrice","RT_Price")</f>
        <v>10.4</v>
      </c>
      <c r="H7" s="7">
        <f>[1]!cb_anal_convprice(A7,"")</f>
        <v>8.81</v>
      </c>
      <c r="I7" s="2">
        <f>Data!J7</f>
        <v>0.44526513541229501</v>
      </c>
      <c r="J7" s="2">
        <f t="shared" si="0"/>
        <v>0.44526513541229501</v>
      </c>
      <c r="K7" s="7">
        <f ca="1">([1]!cb_info_maturitydate(A7)-TODAY())/365</f>
        <v>4.1424657534246574</v>
      </c>
      <c r="L7" s="6">
        <f t="shared" ca="1" si="1"/>
        <v>50.175106057659441</v>
      </c>
      <c r="M7" s="6">
        <f t="shared" ca="1" si="2"/>
        <v>142.06740605765944</v>
      </c>
      <c r="N7" s="2">
        <f t="shared" ca="1" si="3"/>
        <v>-0.12006558387316879</v>
      </c>
      <c r="O7" s="2">
        <f>IF(Data!V7=0,"",Data!V7)</f>
        <v>-3.0766368185621801E-2</v>
      </c>
      <c r="P7" s="2">
        <f>IF(Data!W7=0,"",Data!W7)</f>
        <v>5.8540067687781701E-2</v>
      </c>
      <c r="Q7" s="2">
        <f t="shared" ca="1" si="4"/>
        <v>6.3575003161824323E-2</v>
      </c>
      <c r="R7" s="5">
        <f t="shared" ca="1" si="5"/>
        <v>0.75952404024752052</v>
      </c>
      <c r="S7" s="3">
        <f t="shared" ca="1" si="6"/>
        <v>8.6211582320944444</v>
      </c>
      <c r="T7" t="str">
        <f t="shared" ca="1" si="7"/>
        <v>1250:897</v>
      </c>
    </row>
    <row r="8" spans="1:20">
      <c r="A8" t="str">
        <f>Data!B8</f>
        <v>110034.SH</v>
      </c>
      <c r="B8" t="str">
        <f>Data!C8</f>
        <v>九州转债</v>
      </c>
      <c r="C8" s="8">
        <f>RTD("wdf.rtq", ,A8, "LastPrice","RT_Price")</f>
        <v>121</v>
      </c>
      <c r="D8" s="8">
        <f>[1]!cb_anal_straightbondvalue(A8,"")</f>
        <v>90.758200000000002</v>
      </c>
      <c r="E8" t="str">
        <f>Data!E8</f>
        <v>600998.SH</v>
      </c>
      <c r="F8" t="str">
        <f>Data!F8</f>
        <v>九州通</v>
      </c>
      <c r="G8" s="7">
        <f>RTD("wdf.rtq", ,E8, "LastPrice","RT_Price")</f>
        <v>20.150000000000002</v>
      </c>
      <c r="H8" s="7">
        <f>[1]!cb_anal_convprice(A8,"")</f>
        <v>18.649999999999999</v>
      </c>
      <c r="I8" s="2">
        <f>Data!J8</f>
        <v>0.223904033483735</v>
      </c>
      <c r="J8" s="2">
        <f t="shared" si="0"/>
        <v>0.223904033483735</v>
      </c>
      <c r="K8" s="7">
        <f ca="1">([1]!cb_info_maturitydate(A8)-TODAY())/365</f>
        <v>4.1698630136986301</v>
      </c>
      <c r="L8" s="6">
        <f t="shared" ca="1" si="1"/>
        <v>26.146700263084746</v>
      </c>
      <c r="M8" s="6">
        <f t="shared" ca="1" si="2"/>
        <v>116.90490026308476</v>
      </c>
      <c r="N8" s="2">
        <f t="shared" ca="1" si="3"/>
        <v>3.5029324927351668E-2</v>
      </c>
      <c r="O8" s="2">
        <f>IF(Data!V8=0,"",Data!V8)</f>
        <v>1.93105707333928E-2</v>
      </c>
      <c r="P8" s="2">
        <f>IF(Data!W8=0,"",Data!W8)</f>
        <v>4.3881823295449998E-2</v>
      </c>
      <c r="Q8" s="2">
        <f t="shared" ca="1" si="4"/>
        <v>0.63990560715425571</v>
      </c>
      <c r="R8" s="5">
        <f t="shared" ca="1" si="5"/>
        <v>0.70353791986512559</v>
      </c>
      <c r="S8" s="3">
        <f t="shared" ca="1" si="6"/>
        <v>3.7723212861400839</v>
      </c>
      <c r="T8" t="str">
        <f t="shared" ca="1" si="7"/>
        <v>1210:760</v>
      </c>
    </row>
    <row r="9" spans="1:20">
      <c r="A9" t="str">
        <f>Data!B9</f>
        <v>113009.SH</v>
      </c>
      <c r="B9" t="str">
        <f>Data!C9</f>
        <v>广汽转债</v>
      </c>
      <c r="C9" s="8">
        <f>RTD("wdf.rtq", ,A9, "LastPrice","RT_Price")</f>
        <v>129.80000000000001</v>
      </c>
      <c r="D9" s="8">
        <f>[1]!cb_anal_straightbondvalue(A9,"")</f>
        <v>90.069000000000003</v>
      </c>
      <c r="E9" t="str">
        <f>Data!E9</f>
        <v>601238.SH</v>
      </c>
      <c r="F9" t="str">
        <f>Data!F9</f>
        <v>广汽集团</v>
      </c>
      <c r="G9" s="7">
        <f>RTD("wdf.rtq", ,E9, "LastPrice","RT_Price")</f>
        <v>27.42</v>
      </c>
      <c r="H9" s="7">
        <f>[1]!cb_anal_convprice(A9,"")</f>
        <v>21.43</v>
      </c>
      <c r="I9" s="2">
        <f>Data!J9</f>
        <v>0.219209294092436</v>
      </c>
      <c r="J9" s="2">
        <f t="shared" si="0"/>
        <v>0.219209294092436</v>
      </c>
      <c r="K9" s="7">
        <f ca="1">([1]!cb_info_maturitydate(A9)-TODAY())/365</f>
        <v>4.1890410958904107</v>
      </c>
      <c r="L9" s="6">
        <f t="shared" ca="1" si="1"/>
        <v>41.09491452568372</v>
      </c>
      <c r="M9" s="6">
        <f t="shared" ca="1" si="2"/>
        <v>131.16391452568371</v>
      </c>
      <c r="N9" s="2">
        <f t="shared" ca="1" si="3"/>
        <v>-1.0398550017479247E-2</v>
      </c>
      <c r="O9" s="2">
        <f>IF(Data!V9=0,"",Data!V9)</f>
        <v>-3.5962539087340997E-2</v>
      </c>
      <c r="P9" s="2">
        <f>IF(Data!W9=0,"",Data!W9)</f>
        <v>2.5191332693925799E-2</v>
      </c>
      <c r="Q9" s="2">
        <f t="shared" ca="1" si="4"/>
        <v>0.84489775376938825</v>
      </c>
      <c r="R9" s="5">
        <f t="shared" ca="1" si="5"/>
        <v>0.81957695476244352</v>
      </c>
      <c r="S9" s="3">
        <f t="shared" ca="1" si="6"/>
        <v>3.8244374930585328</v>
      </c>
      <c r="T9" t="str">
        <f t="shared" ca="1" si="7"/>
        <v>1298:1049</v>
      </c>
    </row>
    <row r="10" spans="1:20">
      <c r="A10" t="str">
        <f>Data!B10</f>
        <v>128010.SZ</v>
      </c>
      <c r="B10" t="str">
        <f>Data!C10</f>
        <v>顺昌转债</v>
      </c>
      <c r="C10" s="8">
        <f>RTD("wdf.rtq", ,A10, "LastPrice","RT_Price")</f>
        <v>118.033</v>
      </c>
      <c r="D10" s="8">
        <f>[1]!cb_anal_straightbondvalue(A10,"")</f>
        <v>92.065299999999993</v>
      </c>
      <c r="E10" t="str">
        <f>Data!E10</f>
        <v>002245.SZ</v>
      </c>
      <c r="F10" t="str">
        <f>Data!F10</f>
        <v>澳洋顺昌</v>
      </c>
      <c r="G10" s="7">
        <f>RTD("wdf.rtq", ,E10, "LastPrice","RT_Price")</f>
        <v>9.85</v>
      </c>
      <c r="H10" s="7">
        <f>[1]!cb_anal_convprice(A10,"")</f>
        <v>9.32</v>
      </c>
      <c r="I10" s="2">
        <f>Data!J10</f>
        <v>0.296463541842023</v>
      </c>
      <c r="J10" s="2">
        <f t="shared" si="0"/>
        <v>0.296463541842023</v>
      </c>
      <c r="K10" s="7">
        <f ca="1">([1]!cb_info_maturitydate(A10)-TODAY())/365</f>
        <v>4.1890410958904107</v>
      </c>
      <c r="L10" s="6">
        <f t="shared" ca="1" si="1"/>
        <v>30.1162725263722</v>
      </c>
      <c r="M10" s="6">
        <f t="shared" ca="1" si="2"/>
        <v>122.18157252637219</v>
      </c>
      <c r="N10" s="2">
        <f t="shared" ca="1" si="3"/>
        <v>-3.3954158884939467E-2</v>
      </c>
      <c r="O10" s="2">
        <f>IF(Data!V10=0,"",Data!V10)</f>
        <v>-3.44323021464642E-2</v>
      </c>
      <c r="P10" s="2">
        <f>IF(Data!W10=0,"",Data!W10)</f>
        <v>4.5228278797690702E-2</v>
      </c>
      <c r="Q10" s="2">
        <f t="shared" ca="1" si="4"/>
        <v>0.50421745012406982</v>
      </c>
      <c r="R10" s="5">
        <f t="shared" ca="1" si="5"/>
        <v>0.69079200362803495</v>
      </c>
      <c r="S10" s="3">
        <f t="shared" ca="1" si="6"/>
        <v>7.4119313693995164</v>
      </c>
      <c r="T10" t="str">
        <f t="shared" ca="1" si="7"/>
        <v>1180:730</v>
      </c>
    </row>
    <row r="11" spans="1:20">
      <c r="A11" t="str">
        <f>Data!B11</f>
        <v>113010.SH</v>
      </c>
      <c r="B11" t="str">
        <f>Data!C11</f>
        <v>江南转债</v>
      </c>
      <c r="C11" s="8">
        <f>RTD("wdf.rtq", ,A11, "LastPrice","RT_Price")</f>
        <v>104.41</v>
      </c>
      <c r="D11" s="8">
        <f>[1]!cb_anal_straightbondvalue(A11,"")</f>
        <v>91.241</v>
      </c>
      <c r="E11" t="str">
        <f>Data!E11</f>
        <v>601199.SH</v>
      </c>
      <c r="F11" t="str">
        <f>Data!F11</f>
        <v>江南水务</v>
      </c>
      <c r="G11" s="7">
        <f>RTD("wdf.rtq", ,E11, "LastPrice","RT_Price")</f>
        <v>5.98</v>
      </c>
      <c r="H11" s="7">
        <f>[1]!cb_anal_convprice(A11,"")</f>
        <v>9.3000000000000007</v>
      </c>
      <c r="I11" s="2">
        <f>Data!J11</f>
        <v>0.14904625769986299</v>
      </c>
      <c r="J11" s="2">
        <f t="shared" si="0"/>
        <v>0.14904625769986299</v>
      </c>
      <c r="K11" s="7">
        <f ca="1">([1]!cb_info_maturitydate(A11)-TODAY())/365</f>
        <v>4.3397260273972602</v>
      </c>
      <c r="L11" s="6">
        <f t="shared" ca="1" si="1"/>
        <v>1.3068919387426714</v>
      </c>
      <c r="M11" s="6">
        <f t="shared" ca="1" si="2"/>
        <v>92.547891938742666</v>
      </c>
      <c r="N11" s="2">
        <f t="shared" ca="1" si="3"/>
        <v>0.12817264459258393</v>
      </c>
      <c r="O11" s="2">
        <f>IF(Data!V11=0,"",Data!V11)</f>
        <v>5.8936155911028E-2</v>
      </c>
      <c r="P11" s="2">
        <f>IF(Data!W11=0,"",Data!W11)</f>
        <v>4.1391896438369498E-2</v>
      </c>
      <c r="Q11" s="2">
        <f t="shared" ca="1" si="4"/>
        <v>0.95280744231491676</v>
      </c>
      <c r="R11" s="5">
        <f t="shared" ca="1" si="5"/>
        <v>0.1451797560499079</v>
      </c>
      <c r="S11" s="3">
        <f t="shared" ca="1" si="6"/>
        <v>1.5610726456979342</v>
      </c>
      <c r="T11" t="str">
        <f t="shared" ca="1" si="7"/>
        <v>1044:93</v>
      </c>
    </row>
    <row r="12" spans="1:20">
      <c r="A12" t="str">
        <f>Data!B12</f>
        <v>128012.SZ</v>
      </c>
      <c r="B12" t="str">
        <f>Data!C12</f>
        <v>辉丰转债</v>
      </c>
      <c r="C12" s="8">
        <f>RTD("wdf.rtq", ,A12, "LastPrice","RT_Price")</f>
        <v>101.58800000000001</v>
      </c>
      <c r="D12" s="8">
        <f>[1]!cb_anal_straightbondvalue(A12,"")</f>
        <v>86.389799999999994</v>
      </c>
      <c r="E12" t="str">
        <f>Data!E12</f>
        <v>002496.SZ</v>
      </c>
      <c r="F12" t="str">
        <f>Data!F12</f>
        <v>辉丰股份</v>
      </c>
      <c r="G12" s="7">
        <f>RTD("wdf.rtq", ,E12, "LastPrice","RT_Price")</f>
        <v>5.48</v>
      </c>
      <c r="H12" s="7">
        <f>[1]!cb_anal_convprice(A12,"")</f>
        <v>7.74</v>
      </c>
      <c r="I12" s="2">
        <f>Data!J12</f>
        <v>0.29883124532335598</v>
      </c>
      <c r="J12" s="2">
        <f t="shared" si="0"/>
        <v>0.29883124532335598</v>
      </c>
      <c r="K12" s="7">
        <f ca="1">([1]!cb_info_maturitydate(A12)-TODAY())/365</f>
        <v>4.4328767123287669</v>
      </c>
      <c r="L12" s="6">
        <f t="shared" ca="1" si="1"/>
        <v>10.791629304745308</v>
      </c>
      <c r="M12" s="6">
        <f t="shared" ca="1" si="2"/>
        <v>97.181429304745308</v>
      </c>
      <c r="N12" s="2">
        <f t="shared" ca="1" si="3"/>
        <v>4.5343752677647897E-2</v>
      </c>
      <c r="O12" s="2">
        <f>IF(Data!V12=0,"",Data!V12)</f>
        <v>0.122165196891485</v>
      </c>
      <c r="P12" s="2">
        <f>IF(Data!W12=0,"",Data!W12)</f>
        <v>3.5456240597755699E-2</v>
      </c>
      <c r="Q12" s="2">
        <f t="shared" ca="1" si="4"/>
        <v>1.5130581641697224E-2</v>
      </c>
      <c r="R12" s="5">
        <f t="shared" ca="1" si="5"/>
        <v>0.44885983250682976</v>
      </c>
      <c r="S12" s="3">
        <f t="shared" ca="1" si="6"/>
        <v>5.7992226422071029</v>
      </c>
      <c r="T12" t="str">
        <f t="shared" ca="1" si="7"/>
        <v>1016:318</v>
      </c>
    </row>
    <row r="13" spans="1:20">
      <c r="A13" t="str">
        <f>Data!B13</f>
        <v>127003.SZ</v>
      </c>
      <c r="B13" t="str">
        <f>Data!C13</f>
        <v>海印转债</v>
      </c>
      <c r="C13" s="8">
        <f>RTD("wdf.rtq", ,A13, "LastPrice","RT_Price")</f>
        <v>98.89</v>
      </c>
      <c r="D13" s="8">
        <f>[1]!cb_anal_straightbondvalue(A13,"")</f>
        <v>91.955799999999996</v>
      </c>
      <c r="E13" t="str">
        <f>Data!E13</f>
        <v>000861.SZ</v>
      </c>
      <c r="F13" t="str">
        <f>Data!F13</f>
        <v>海印股份</v>
      </c>
      <c r="G13" s="7">
        <f>RTD("wdf.rtq", ,E13, "LastPrice","RT_Price")</f>
        <v>3.46</v>
      </c>
      <c r="H13" s="7">
        <f>[1]!cb_anal_convprice(A13,"")</f>
        <v>5.25</v>
      </c>
      <c r="I13" s="2">
        <f>Data!J13</f>
        <v>0.188162901721902</v>
      </c>
      <c r="J13" s="2">
        <f t="shared" si="0"/>
        <v>0.188162901721902</v>
      </c>
      <c r="K13" s="7">
        <f ca="1">([1]!cb_info_maturitydate(A13)-TODAY())/365</f>
        <v>4.5643835616438357</v>
      </c>
      <c r="L13" s="6">
        <f t="shared" ca="1" si="1"/>
        <v>3.3231640806079517</v>
      </c>
      <c r="M13" s="6">
        <f t="shared" ca="1" si="2"/>
        <v>95.278964080607949</v>
      </c>
      <c r="N13" s="2">
        <f t="shared" ca="1" si="3"/>
        <v>3.7899613563567414E-2</v>
      </c>
      <c r="O13" s="2">
        <f>IF(Data!V13=0,"",Data!V13)</f>
        <v>1.8295040818209801E-2</v>
      </c>
      <c r="P13" s="2">
        <f>IF(Data!W13=0,"",Data!W13)</f>
        <v>3.2088595545394498E-2</v>
      </c>
      <c r="Q13" s="2">
        <f t="shared" ca="1" si="4"/>
        <v>0.7293841262404378</v>
      </c>
      <c r="R13" s="5">
        <f t="shared" ca="1" si="5"/>
        <v>0.25273678858633553</v>
      </c>
      <c r="S13" s="3">
        <f t="shared" ca="1" si="6"/>
        <v>4.8140340683111527</v>
      </c>
      <c r="T13" t="str">
        <f t="shared" ca="1" si="7"/>
        <v>989:167</v>
      </c>
    </row>
    <row r="14" spans="1:20">
      <c r="A14" t="str">
        <f>Data!B14</f>
        <v>128013.SZ</v>
      </c>
      <c r="B14" t="str">
        <f>Data!C14</f>
        <v>洪涛转债</v>
      </c>
      <c r="C14" s="8">
        <f>RTD("wdf.rtq", ,A14, "LastPrice","RT_Price")</f>
        <v>98.8</v>
      </c>
      <c r="D14" s="8">
        <f>[1]!cb_anal_straightbondvalue(A14,"")</f>
        <v>89.625</v>
      </c>
      <c r="E14" t="str">
        <f>Data!E14</f>
        <v>002325.SZ</v>
      </c>
      <c r="F14" t="str">
        <f>Data!F14</f>
        <v>洪涛股份</v>
      </c>
      <c r="G14" s="7">
        <f>RTD("wdf.rtq", ,E14, "LastPrice","RT_Price")</f>
        <v>5.58</v>
      </c>
      <c r="H14" s="7">
        <f>[1]!cb_anal_convprice(A14,"")</f>
        <v>10.029999999999999</v>
      </c>
      <c r="I14" s="2">
        <f>Data!J14</f>
        <v>0.31684548243271898</v>
      </c>
      <c r="J14" s="2">
        <f t="shared" si="0"/>
        <v>0.31684548243271898</v>
      </c>
      <c r="K14" s="7">
        <f ca="1">([1]!cb_info_maturitydate(A14)-TODAY())/365</f>
        <v>4.7041095890410958</v>
      </c>
      <c r="L14" s="6">
        <f t="shared" ca="1" si="1"/>
        <v>6.2664036056191827</v>
      </c>
      <c r="M14" s="6">
        <f t="shared" ca="1" si="2"/>
        <v>95.891403605619189</v>
      </c>
      <c r="N14" s="2">
        <f t="shared" ca="1" si="3"/>
        <v>3.0332191260263874E-2</v>
      </c>
      <c r="O14" s="2">
        <f>IF(Data!V14=0,"",Data!V14)</f>
        <v>1.86501891673981E-2</v>
      </c>
      <c r="P14" s="2">
        <f>IF(Data!W14=0,"",Data!W14)</f>
        <v>2.13724888727184E-2</v>
      </c>
      <c r="Q14" s="2">
        <f t="shared" ca="1" si="4"/>
        <v>0.70766999502685135</v>
      </c>
      <c r="R14" s="5">
        <f t="shared" ca="1" si="5"/>
        <v>0.34199730240373233</v>
      </c>
      <c r="S14" s="3">
        <f t="shared" ca="1" si="6"/>
        <v>3.4097437926593455</v>
      </c>
      <c r="T14" t="str">
        <f t="shared" ca="1" si="7"/>
        <v>988:190</v>
      </c>
    </row>
    <row r="15" spans="1:20">
      <c r="A15" t="str">
        <f>Data!B15</f>
        <v>113011.SH</v>
      </c>
      <c r="B15" t="str">
        <f>Data!C15</f>
        <v>光大转债</v>
      </c>
      <c r="C15" s="8">
        <f>RTD("wdf.rtq", ,A15, "LastPrice","RT_Price")</f>
        <v>108.9</v>
      </c>
      <c r="D15" s="8">
        <f>[1]!cb_anal_straightbondvalue(A15,"")</f>
        <v>84.648899999999998</v>
      </c>
      <c r="E15" t="str">
        <f>Data!E15</f>
        <v>601818.SH</v>
      </c>
      <c r="F15" t="str">
        <f>Data!F15</f>
        <v>光大银行</v>
      </c>
      <c r="G15" s="7">
        <f>RTD("wdf.rtq", ,E15, "LastPrice","RT_Price")</f>
        <v>4.0200000000000005</v>
      </c>
      <c r="H15" s="7">
        <f>[1]!cb_anal_convprice(A15,"")</f>
        <v>4.26</v>
      </c>
      <c r="I15" s="2">
        <f>Data!J15</f>
        <v>0.134857352344257</v>
      </c>
      <c r="J15" s="2">
        <f t="shared" si="0"/>
        <v>0.134857352344257</v>
      </c>
      <c r="K15" s="7">
        <f ca="1">([1]!cb_info_maturitydate(A15)-TODAY())/365</f>
        <v>5.3369863013698629</v>
      </c>
      <c r="L15" s="6">
        <f t="shared" ca="1" si="1"/>
        <v>12.612489423532484</v>
      </c>
      <c r="M15" s="6">
        <f t="shared" ca="1" si="2"/>
        <v>97.261389423532478</v>
      </c>
      <c r="N15" s="2">
        <f t="shared" ca="1" si="3"/>
        <v>0.11966321523319268</v>
      </c>
      <c r="O15" s="2">
        <f>IF(Data!V15=0,"",Data!V15)</f>
        <v>9.0453545030386606E-2</v>
      </c>
      <c r="P15" s="2">
        <f>IF(Data!W15=0,"",Data!W15)</f>
        <v>4.08602103383073E-2</v>
      </c>
      <c r="Q15" s="2">
        <f t="shared" ca="1" si="4"/>
        <v>0.76265479504348876</v>
      </c>
      <c r="R15" s="5">
        <f t="shared" ca="1" si="5"/>
        <v>0.58963472355477853</v>
      </c>
      <c r="S15" s="3">
        <f t="shared" ca="1" si="6"/>
        <v>13.841190693774145</v>
      </c>
      <c r="T15" t="str">
        <f t="shared" ca="1" si="7"/>
        <v>1089:556</v>
      </c>
    </row>
    <row r="16" spans="1:20">
      <c r="A16" t="str">
        <f>Data!B16</f>
        <v>113012.SH</v>
      </c>
      <c r="B16" t="str">
        <f>Data!C16</f>
        <v>骆驼转债</v>
      </c>
      <c r="C16" s="8">
        <f>RTD("wdf.rtq", ,A16, "LastPrice","RT_Price")</f>
        <v>107.92</v>
      </c>
      <c r="D16" s="8">
        <f>[1]!cb_anal_straightbondvalue(A16,"")</f>
        <v>84.269599999999997</v>
      </c>
      <c r="E16" t="str">
        <f>Data!E16</f>
        <v>601311.SH</v>
      </c>
      <c r="F16" t="str">
        <f>Data!F16</f>
        <v>骆驼股份</v>
      </c>
      <c r="G16" s="7">
        <f>RTD("wdf.rtq", ,E16, "LastPrice","RT_Price")</f>
        <v>13.86</v>
      </c>
      <c r="H16" s="7">
        <f>[1]!cb_anal_convprice(A16,"")</f>
        <v>16.72</v>
      </c>
      <c r="I16" s="2">
        <f>Data!J16</f>
        <v>0.26703003990899998</v>
      </c>
      <c r="J16" s="2">
        <f t="shared" si="0"/>
        <v>0.26703003990899998</v>
      </c>
      <c r="K16" s="7">
        <f ca="1">([1]!cb_info_maturitydate(A16)-TODAY())/365</f>
        <v>5.3561643835616435</v>
      </c>
      <c r="L16" s="6">
        <f t="shared" ca="1" si="1"/>
        <v>16.871774498601614</v>
      </c>
      <c r="M16" s="6">
        <f t="shared" ca="1" si="2"/>
        <v>101.14137449860161</v>
      </c>
      <c r="N16" s="2">
        <f t="shared" ca="1" si="3"/>
        <v>6.7021291088862123E-2</v>
      </c>
      <c r="O16" s="2">
        <f>IF(Data!V16=0,"",Data!V16)</f>
        <v>5.6874346420905601E-2</v>
      </c>
      <c r="P16" s="2">
        <f>IF(Data!W16=0,"",Data!W16)</f>
        <v>5.4977328104883399E-2</v>
      </c>
      <c r="Q16" s="2">
        <f t="shared" ca="1" si="4"/>
        <v>0.57321526588941363</v>
      </c>
      <c r="R16" s="5">
        <f t="shared" ca="1" si="5"/>
        <v>0.55386989750360216</v>
      </c>
      <c r="S16" s="3">
        <f t="shared" ca="1" si="6"/>
        <v>3.3126190042081469</v>
      </c>
      <c r="T16" t="str">
        <f t="shared" ca="1" si="7"/>
        <v>1079:459</v>
      </c>
    </row>
    <row r="17" spans="1:20">
      <c r="A17" t="str">
        <f>Data!B17</f>
        <v>128014.SZ</v>
      </c>
      <c r="B17" t="str">
        <f>Data!C17</f>
        <v>永东转债</v>
      </c>
      <c r="C17" s="8">
        <f>RTD("wdf.rtq", ,A17, "LastPrice","RT_Price")</f>
        <v>114.989</v>
      </c>
      <c r="D17" s="8">
        <f>[1]!cb_anal_straightbondvalue(A17,"")</f>
        <v>87.072199999999995</v>
      </c>
      <c r="E17" t="str">
        <f>Data!E17</f>
        <v>002753.SZ</v>
      </c>
      <c r="F17" t="str">
        <f>Data!F17</f>
        <v>永东股份</v>
      </c>
      <c r="G17" s="7">
        <f>RTD("wdf.rtq", ,E17, "LastPrice","RT_Price")</f>
        <v>21.09</v>
      </c>
      <c r="H17" s="7">
        <f>[1]!cb_anal_convprice(A17,"")</f>
        <v>20.46</v>
      </c>
      <c r="I17" s="2">
        <f>Data!J17</f>
        <v>0.549208579393903</v>
      </c>
      <c r="J17" s="2">
        <f t="shared" si="0"/>
        <v>0.549208579393903</v>
      </c>
      <c r="K17" s="7">
        <f ca="1">([1]!cb_info_maturitydate(A17)-TODAY())/365</f>
        <v>5.4219178082191783</v>
      </c>
      <c r="L17" s="6">
        <f t="shared" ca="1" si="1"/>
        <v>52.214726948492327</v>
      </c>
      <c r="M17" s="6">
        <f t="shared" ca="1" si="2"/>
        <v>139.28692694849232</v>
      </c>
      <c r="N17" s="2">
        <f t="shared" ca="1" si="3"/>
        <v>-0.1744451362436733</v>
      </c>
      <c r="O17" s="2">
        <f>IF(Data!V17=0,"",Data!V17)</f>
        <v>-0.166372334813923</v>
      </c>
      <c r="P17" s="2">
        <f>IF(Data!W17=0,"",Data!W17)</f>
        <v>4.0087142213766198E-2</v>
      </c>
      <c r="Q17" s="2">
        <f t="shared" ca="1" si="4"/>
        <v>0.4202002120415998</v>
      </c>
      <c r="R17" s="5">
        <f t="shared" ca="1" si="5"/>
        <v>0.7663034812453372</v>
      </c>
      <c r="S17" s="3">
        <f t="shared" ca="1" si="6"/>
        <v>3.7453738086282367</v>
      </c>
      <c r="T17" t="str">
        <f t="shared" ca="1" si="7"/>
        <v>1150:790</v>
      </c>
    </row>
    <row r="18" spans="1:20">
      <c r="A18" t="str">
        <f>Data!B18</f>
        <v>127004.SZ</v>
      </c>
      <c r="B18" t="str">
        <f>Data!C18</f>
        <v>模塑转债</v>
      </c>
      <c r="C18" s="8">
        <f>RTD("wdf.rtq", ,A18, "LastPrice","RT_Price")</f>
        <v>101.8</v>
      </c>
      <c r="D18" s="8">
        <f>[1]!cb_anal_straightbondvalue(A18,"")</f>
        <v>88.057100000000005</v>
      </c>
      <c r="E18" t="str">
        <f>Data!E18</f>
        <v>000700.SZ</v>
      </c>
      <c r="F18" t="str">
        <f>Data!F18</f>
        <v>模塑科技</v>
      </c>
      <c r="G18" s="7">
        <f>RTD("wdf.rtq", ,E18, "LastPrice","RT_Price")</f>
        <v>6.4</v>
      </c>
      <c r="H18" s="7">
        <f>[1]!cb_anal_convprice(A18,"")</f>
        <v>8</v>
      </c>
      <c r="I18" s="2">
        <f>Data!J18</f>
        <v>0.292499843973624</v>
      </c>
      <c r="J18" s="2">
        <f t="shared" si="0"/>
        <v>0.292499843973624</v>
      </c>
      <c r="K18" s="7">
        <f ca="1">([1]!cb_info_maturitydate(A18)-TODAY())/365</f>
        <v>5.5479452054794525</v>
      </c>
      <c r="L18" s="6">
        <f t="shared" ca="1" si="1"/>
        <v>17.629636473425787</v>
      </c>
      <c r="M18" s="6">
        <f t="shared" ca="1" si="2"/>
        <v>105.6867364734258</v>
      </c>
      <c r="N18" s="2">
        <f t="shared" ca="1" si="3"/>
        <v>-3.6776009962263267E-2</v>
      </c>
      <c r="O18" s="2">
        <f>IF(Data!V18=0,"",Data!V18)</f>
        <v>-2.1463240328932098E-2</v>
      </c>
      <c r="P18" s="2">
        <f>IF(Data!W18=0,"",Data!W18)</f>
        <v>2.96636935213235E-2</v>
      </c>
      <c r="Q18" s="2">
        <f t="shared" ca="1" si="4"/>
        <v>0.30285299757685025</v>
      </c>
      <c r="R18" s="5">
        <f t="shared" ca="1" si="5"/>
        <v>0.55621593481040899</v>
      </c>
      <c r="S18" s="3">
        <f t="shared" ca="1" si="6"/>
        <v>6.9526991851301121</v>
      </c>
      <c r="T18" t="str">
        <f t="shared" ca="1" si="7"/>
        <v>1018:445</v>
      </c>
    </row>
    <row r="19" spans="1:20">
      <c r="A19" t="str">
        <f>Data!B19</f>
        <v>128015.SZ</v>
      </c>
      <c r="B19" t="str">
        <f>Data!C19</f>
        <v>久其转债</v>
      </c>
      <c r="C19" s="8">
        <f>RTD("wdf.rtq", ,A19, "LastPrice","RT_Price")</f>
        <v>109.85000000000001</v>
      </c>
      <c r="D19" s="8">
        <f>[1]!cb_anal_straightbondvalue(A19,"")</f>
        <v>85.701599999999999</v>
      </c>
      <c r="E19" t="str">
        <f>Data!E19</f>
        <v>002279.SZ</v>
      </c>
      <c r="F19" t="str">
        <f>Data!F19</f>
        <v>久其软件</v>
      </c>
      <c r="G19" s="7">
        <f>RTD("wdf.rtq", ,E19, "LastPrice","RT_Price")</f>
        <v>12</v>
      </c>
      <c r="H19" s="7">
        <f>[1]!cb_anal_convprice(A19,"")</f>
        <v>12.9</v>
      </c>
      <c r="I19" s="2">
        <f>Data!J19</f>
        <v>0.28309109420818002</v>
      </c>
      <c r="J19" s="2">
        <f t="shared" si="0"/>
        <v>0.28309109420818002</v>
      </c>
      <c r="K19" s="7">
        <f ca="1">([1]!cb_info_maturitydate(A19)-TODAY())/365</f>
        <v>5.5643835616438357</v>
      </c>
      <c r="L19" s="6">
        <f t="shared" ca="1" si="1"/>
        <v>24.713057338608532</v>
      </c>
      <c r="M19" s="6">
        <f t="shared" ca="1" si="2"/>
        <v>110.41465733860854</v>
      </c>
      <c r="N19" s="2">
        <f t="shared" ca="1" si="3"/>
        <v>-5.1139708460706812E-3</v>
      </c>
      <c r="O19" s="2">
        <f>IF(Data!V19=0,"",Data!V19)</f>
        <v>-2.74549438299641E-2</v>
      </c>
      <c r="P19" s="2">
        <f>IF(Data!W19=0,"",Data!W19)</f>
        <v>5.4589632961689998E-2</v>
      </c>
      <c r="Q19" s="2">
        <f t="shared" ca="1" si="4"/>
        <v>0.65882301133086996</v>
      </c>
      <c r="R19" s="5">
        <f t="shared" ca="1" si="5"/>
        <v>0.63704854472599504</v>
      </c>
      <c r="S19" s="3">
        <f t="shared" ca="1" si="6"/>
        <v>4.9383608118294191</v>
      </c>
      <c r="T19" t="str">
        <f t="shared" ca="1" si="7"/>
        <v>1099:593</v>
      </c>
    </row>
    <row r="20" spans="1:20">
      <c r="A20" t="str">
        <f>Data!B20</f>
        <v>113013.SH</v>
      </c>
      <c r="B20" t="str">
        <f>Data!C20</f>
        <v>国君转债</v>
      </c>
      <c r="C20" s="8">
        <f>RTD("wdf.rtq", ,A20, "LastPrice","RT_Price")</f>
        <v>118</v>
      </c>
      <c r="D20" s="8">
        <f>[1]!cb_anal_straightbondvalue(A20,"")</f>
        <v>83.406999999999996</v>
      </c>
      <c r="E20" t="str">
        <f>Data!E20</f>
        <v>601211.SH</v>
      </c>
      <c r="F20" t="str">
        <f>Data!F20</f>
        <v>国泰君安</v>
      </c>
      <c r="G20" s="7">
        <f>RTD("wdf.rtq", ,E20, "LastPrice","RT_Price")</f>
        <v>19.990000000000002</v>
      </c>
      <c r="H20" s="7">
        <f>[1]!cb_anal_convprice(A20,"")</f>
        <v>20.2</v>
      </c>
      <c r="I20" s="2">
        <f>Data!J20</f>
        <v>0.20774622706844201</v>
      </c>
      <c r="J20" s="2">
        <f t="shared" si="0"/>
        <v>0.20774622706844201</v>
      </c>
      <c r="K20" s="7">
        <f ca="1">([1]!cb_info_maturitydate(A20)-TODAY())/365</f>
        <v>5.6438356164383565</v>
      </c>
      <c r="L20" s="6">
        <f t="shared" ca="1" si="1"/>
        <v>22.343238563828262</v>
      </c>
      <c r="M20" s="6">
        <f t="shared" ca="1" si="2"/>
        <v>105.75023856382826</v>
      </c>
      <c r="N20" s="2">
        <f t="shared" ca="1" si="3"/>
        <v>0.11583672625738872</v>
      </c>
      <c r="O20" s="2">
        <f>IF(Data!V20=0,"",Data!V20)</f>
        <v>0.114192728213261</v>
      </c>
      <c r="P20" s="2">
        <f>IF(Data!W20=0,"",Data!W20)</f>
        <v>6.3667454682007504E-2</v>
      </c>
      <c r="Q20" s="2">
        <f t="shared" ca="1" si="4"/>
        <v>0.5103001989951399</v>
      </c>
      <c r="R20" s="5">
        <f t="shared" ca="1" si="5"/>
        <v>0.65436284209451512</v>
      </c>
      <c r="S20" s="3">
        <f t="shared" ca="1" si="6"/>
        <v>3.239420010368887</v>
      </c>
      <c r="T20" t="str">
        <f t="shared" ca="1" si="7"/>
        <v>1180:648</v>
      </c>
    </row>
    <row r="21" spans="1:20">
      <c r="A21" t="str">
        <f>Data!B21</f>
        <v>128016.SZ</v>
      </c>
      <c r="B21" t="str">
        <f>Data!C21</f>
        <v>雨虹转债</v>
      </c>
      <c r="C21" s="8">
        <f>RTD("wdf.rtq", ,A21, "LastPrice","RT_Price")</f>
        <v>117.21000000000001</v>
      </c>
      <c r="D21" s="8">
        <f>[1]!cb_anal_straightbondvalue(A21,"")</f>
        <v>82.997900000000001</v>
      </c>
      <c r="E21" t="str">
        <f>Data!E21</f>
        <v>002271.SZ</v>
      </c>
      <c r="F21" t="str">
        <f>Data!F21</f>
        <v>东方雨虹</v>
      </c>
      <c r="G21" s="7">
        <f>RTD("wdf.rtq", ,E21, "LastPrice","RT_Price")</f>
        <v>38.380000000000003</v>
      </c>
      <c r="H21" s="7">
        <f>[1]!cb_anal_convprice(A21,"")</f>
        <v>38.479999999999997</v>
      </c>
      <c r="I21" s="2">
        <f>Data!J21</f>
        <v>0.33955762913784898</v>
      </c>
      <c r="J21" s="2">
        <f t="shared" si="0"/>
        <v>0.33955762913784898</v>
      </c>
      <c r="K21" s="7">
        <f ca="1">([1]!cb_info_maturitydate(A21)-TODAY())/365</f>
        <v>5.8630136986301373</v>
      </c>
      <c r="L21" s="6">
        <f t="shared" ca="1" si="1"/>
        <v>34.750168361022368</v>
      </c>
      <c r="M21" s="6">
        <f t="shared" ca="1" si="2"/>
        <v>117.74806836102238</v>
      </c>
      <c r="N21" s="2">
        <f t="shared" ca="1" si="3"/>
        <v>-4.5696576471438988E-3</v>
      </c>
      <c r="O21" s="2">
        <f>IF(Data!V21=0,"",Data!V21)</f>
        <v>-7.46412933516587E-2</v>
      </c>
      <c r="P21" s="2">
        <f>IF(Data!W21=0,"",Data!W21)</f>
        <v>8.0022651414644902E-2</v>
      </c>
      <c r="Q21" s="2">
        <f t="shared" ca="1" si="4"/>
        <v>0.80938915642185771</v>
      </c>
      <c r="R21" s="5">
        <f t="shared" ca="1" si="5"/>
        <v>0.69668712983173342</v>
      </c>
      <c r="S21" s="3">
        <f t="shared" ca="1" si="6"/>
        <v>1.8105174891677063</v>
      </c>
      <c r="T21" t="str">
        <f t="shared" ca="1" si="7"/>
        <v>1172:695</v>
      </c>
    </row>
    <row r="22" spans="1:20">
      <c r="A22" t="str">
        <f>Data!B22</f>
        <v>113014.SH</v>
      </c>
      <c r="B22" t="str">
        <f>Data!C22</f>
        <v>林洋转债</v>
      </c>
      <c r="C22" s="8">
        <f>RTD("wdf.rtq", ,A22, "LastPrice","RT_Price")</f>
        <v>124.5</v>
      </c>
      <c r="D22" s="8">
        <f>[1]!cb_anal_straightbondvalue(A22,"")</f>
        <v>83.052499999999995</v>
      </c>
      <c r="E22" t="str">
        <f>Data!E22</f>
        <v>601222.SH</v>
      </c>
      <c r="F22" t="str">
        <f>Data!F22</f>
        <v>林洋能源</v>
      </c>
      <c r="G22" s="7">
        <f>RTD("wdf.rtq", ,E22, "LastPrice","RT_Price")</f>
        <v>10.4</v>
      </c>
      <c r="H22" s="7">
        <f>[1]!cb_anal_convprice(A22,"")</f>
        <v>8.8000000000000007</v>
      </c>
      <c r="I22" s="2">
        <f>Data!J22</f>
        <v>0.33636809030430997</v>
      </c>
      <c r="J22" s="2">
        <f t="shared" si="0"/>
        <v>0.33636809030430997</v>
      </c>
      <c r="K22" s="7">
        <f ca="1">([1]!cb_info_maturitydate(A22)-TODAY())/365</f>
        <v>5.9506849315068493</v>
      </c>
      <c r="L22" s="6">
        <f t="shared" ca="1" si="1"/>
        <v>48.250893091226644</v>
      </c>
      <c r="M22" s="6">
        <f t="shared" ca="1" si="2"/>
        <v>131.30339309122664</v>
      </c>
      <c r="N22" s="2">
        <f t="shared" ca="1" si="3"/>
        <v>-5.1814297643472118E-2</v>
      </c>
      <c r="O22" s="2">
        <f>IF(Data!V22=0,"",Data!V22)</f>
        <v>-0.12105616521377301</v>
      </c>
      <c r="P22" s="2">
        <f>IF(Data!W22=0,"",Data!W22)</f>
        <v>3.0089053589685801E-2</v>
      </c>
      <c r="Q22" s="2">
        <f t="shared" ca="1" si="4"/>
        <v>0.98931071563698836</v>
      </c>
      <c r="R22" s="5">
        <f t="shared" ca="1" si="5"/>
        <v>0.76505020687826053</v>
      </c>
      <c r="S22" s="3">
        <f t="shared" ca="1" si="6"/>
        <v>8.6937523508893229</v>
      </c>
      <c r="T22" t="str">
        <f t="shared" ca="1" si="7"/>
        <v>1245:904</v>
      </c>
    </row>
    <row r="23" spans="1:20">
      <c r="A23" t="str">
        <f>Data!B23</f>
        <v>128017.SZ</v>
      </c>
      <c r="B23" t="str">
        <f>Data!C23</f>
        <v>金禾转债</v>
      </c>
      <c r="C23" s="8">
        <f>RTD("wdf.rtq", ,A23, "LastPrice","RT_Price")</f>
        <v>0</v>
      </c>
      <c r="D23" s="8">
        <f>[1]!cb_anal_straightbondvalue(A23,"")</f>
        <v>82.597700000000003</v>
      </c>
      <c r="E23" t="str">
        <f>Data!E23</f>
        <v>002597.SZ</v>
      </c>
      <c r="F23" t="str">
        <f>Data!F23</f>
        <v>金禾实业</v>
      </c>
      <c r="G23" s="7">
        <f>RTD("wdf.rtq", ,E23, "LastPrice","RT_Price")</f>
        <v>24.95</v>
      </c>
      <c r="H23" s="7">
        <f>[1]!cb_anal_convprice(A23,"")</f>
        <v>23.92</v>
      </c>
      <c r="I23" s="2">
        <f>Data!J23</f>
        <v>0.27209280776584299</v>
      </c>
      <c r="J23" s="2">
        <f t="shared" si="0"/>
        <v>0.27209280776584299</v>
      </c>
      <c r="K23" s="7">
        <f ca="1">([1]!cb_info_maturitydate(A23)-TODAY())/365</f>
        <v>5.9643835616438352</v>
      </c>
      <c r="L23" s="6">
        <f t="shared" ca="1" si="1"/>
        <v>32.388094712308096</v>
      </c>
      <c r="M23" s="6">
        <f t="shared" ca="1" si="2"/>
        <v>114.98579471230809</v>
      </c>
      <c r="N23" s="2">
        <f t="shared" ca="1" si="3"/>
        <v>-1</v>
      </c>
      <c r="O23" s="2">
        <f>IF(Data!V23=0,"",Data!V23)</f>
        <v>-0.10985157766451201</v>
      </c>
      <c r="P23" s="2">
        <f>IF(Data!W23=0,"",Data!W23)</f>
        <v>1.41984638345164E-2</v>
      </c>
      <c r="Q23" s="2">
        <f t="shared" ca="1" si="4"/>
        <v>0</v>
      </c>
      <c r="R23" s="5">
        <f t="shared" ca="1" si="5"/>
        <v>0.70205919906420855</v>
      </c>
      <c r="S23" s="3">
        <f t="shared" ca="1" si="6"/>
        <v>2.9350300964222766</v>
      </c>
      <c r="T23" t="str">
        <f t="shared" ca="1" si="7"/>
        <v>0:732</v>
      </c>
    </row>
    <row r="24" spans="1:20">
      <c r="A24" t="str">
        <f>Data!B24</f>
        <v>113015.SH</v>
      </c>
      <c r="B24" t="str">
        <f>Data!C24</f>
        <v>隆基转债</v>
      </c>
      <c r="C24" s="8">
        <f>RTD("wdf.rtq", ,A24, "LastPrice","RT_Price")</f>
        <v>0</v>
      </c>
      <c r="D24" s="8">
        <f>[1]!cb_anal_straightbondvalue(A24,"")</f>
        <v>82.586500000000001</v>
      </c>
      <c r="E24" t="str">
        <f>Data!E24</f>
        <v>601012.SH</v>
      </c>
      <c r="F24" t="str">
        <f>Data!F24</f>
        <v>隆基股份</v>
      </c>
      <c r="G24" s="7">
        <f>RTD("wdf.rtq", ,E24, "LastPrice","RT_Price")</f>
        <v>37.910000000000004</v>
      </c>
      <c r="H24" s="7">
        <f>[1]!cb_anal_convprice(A24,"")</f>
        <v>32.35</v>
      </c>
      <c r="I24" s="2">
        <f>Data!J24</f>
        <v>0.44773670978075802</v>
      </c>
      <c r="J24" s="2">
        <f t="shared" si="0"/>
        <v>0.44773670978075802</v>
      </c>
      <c r="K24" s="7">
        <f ca="1">([1]!cb_info_maturitydate(A24)-TODAY())/365</f>
        <v>5.9671232876712326</v>
      </c>
      <c r="L24" s="6">
        <f t="shared" ca="1" si="1"/>
        <v>57.216578386755856</v>
      </c>
      <c r="M24" s="6">
        <f t="shared" ca="1" si="2"/>
        <v>139.80307838675586</v>
      </c>
      <c r="N24" s="2">
        <f t="shared" ca="1" si="3"/>
        <v>-1</v>
      </c>
      <c r="O24" s="2">
        <f>IF(Data!V24=0,"",Data!V24)</f>
        <v>-0.246236540729596</v>
      </c>
      <c r="P24" s="2">
        <f>IF(Data!W24=0,"",Data!W24)</f>
        <v>4.5198557423848797E-2</v>
      </c>
      <c r="Q24" s="2">
        <f t="shared" ca="1" si="4"/>
        <v>9.6787607878871268E-63</v>
      </c>
      <c r="R24" s="5">
        <f t="shared" ca="1" si="5"/>
        <v>0.78044793200195461</v>
      </c>
      <c r="S24" s="3">
        <f t="shared" ca="1" si="6"/>
        <v>2.4125129273630743</v>
      </c>
      <c r="T24" t="str">
        <f t="shared" ca="1" si="7"/>
        <v>0:915</v>
      </c>
    </row>
    <row r="25" spans="1:20">
      <c r="A25" t="str">
        <f>Data!B25</f>
        <v>113016.SH</v>
      </c>
      <c r="B25" t="str">
        <f>Data!C25</f>
        <v>小康转债</v>
      </c>
      <c r="C25" s="8">
        <f>RTD("wdf.rtq", ,A25, "LastPrice","RT_Price")</f>
        <v>0</v>
      </c>
      <c r="D25" s="8">
        <f>[1]!cb_anal_straightbondvalue(A25,"")</f>
        <v>82.9392</v>
      </c>
      <c r="E25" t="str">
        <f>Data!E25</f>
        <v>601127.SH</v>
      </c>
      <c r="F25" t="str">
        <f>Data!F25</f>
        <v>小康股份</v>
      </c>
      <c r="G25" s="7">
        <f>RTD("wdf.rtq", ,E25, "LastPrice","RT_Price")</f>
        <v>24.02</v>
      </c>
      <c r="H25" s="7">
        <f>[1]!cb_anal_convprice(A25,"")</f>
        <v>23</v>
      </c>
      <c r="I25" s="2">
        <f>Data!J25</f>
        <v>0.39884872562260199</v>
      </c>
      <c r="J25" s="2">
        <f t="shared" si="0"/>
        <v>0.39884872562260199</v>
      </c>
      <c r="K25" s="7">
        <f ca="1">([1]!cb_info_maturitydate(A25)-TODAY())/365</f>
        <v>5.978082191780822</v>
      </c>
      <c r="L25" s="6">
        <f t="shared" ca="1" si="1"/>
        <v>43.461074640375294</v>
      </c>
      <c r="M25" s="6">
        <f t="shared" ca="1" si="2"/>
        <v>126.4002746403753</v>
      </c>
      <c r="N25" s="2">
        <f t="shared" ca="1" si="3"/>
        <v>-1</v>
      </c>
      <c r="O25" s="2">
        <f>IF(Data!V25=0,"",Data!V25)</f>
        <v>-0.20664455321897601</v>
      </c>
      <c r="P25" s="2">
        <f>IF(Data!W25=0,"",Data!W25)</f>
        <v>9.7618967112689005E-3</v>
      </c>
      <c r="Q25" s="2">
        <f t="shared" ca="1" si="4"/>
        <v>0</v>
      </c>
      <c r="R25" s="5">
        <f t="shared" ca="1" si="5"/>
        <v>0.73370067647728421</v>
      </c>
      <c r="S25" s="3">
        <f t="shared" ca="1" si="6"/>
        <v>3.1900029412055835</v>
      </c>
      <c r="T25" t="str">
        <f t="shared" ca="1" si="7"/>
        <v>0:766</v>
      </c>
    </row>
    <row r="26" spans="1:20">
      <c r="A26" t="str">
        <f>Data!B26</f>
        <v>128018.SZ</v>
      </c>
      <c r="B26" t="str">
        <f>Data!C26</f>
        <v>时达转债</v>
      </c>
      <c r="C26" s="8">
        <f>RTD("wdf.rtq", ,A26, "LastPrice","RT_Price")</f>
        <v>0</v>
      </c>
      <c r="D26" s="8">
        <f>[1]!cb_anal_straightbondvalue(A26,"")</f>
        <v>82.9392</v>
      </c>
      <c r="E26" t="str">
        <f>Data!E26</f>
        <v>002527.SZ</v>
      </c>
      <c r="F26" t="str">
        <f>Data!F26</f>
        <v>新时达</v>
      </c>
      <c r="G26" s="7">
        <f>RTD("wdf.rtq", ,E26, "LastPrice","RT_Price")</f>
        <v>11.92</v>
      </c>
      <c r="H26" s="7">
        <f>[1]!cb_anal_convprice(A26,"")</f>
        <v>11.9</v>
      </c>
      <c r="I26" s="2">
        <f>Data!J26</f>
        <v>0.28627478139435403</v>
      </c>
      <c r="J26" s="2">
        <f t="shared" si="0"/>
        <v>0.28627478139435403</v>
      </c>
      <c r="K26" s="7">
        <f ca="1">([1]!cb_info_maturitydate(A26)-TODAY())/365</f>
        <v>5.978082191780822</v>
      </c>
      <c r="L26" s="6">
        <f t="shared" ca="1" si="1"/>
        <v>30.799825144202185</v>
      </c>
      <c r="M26" s="6">
        <f t="shared" ca="1" si="2"/>
        <v>113.73902514420219</v>
      </c>
      <c r="N26" s="2">
        <f t="shared" ca="1" si="3"/>
        <v>-1</v>
      </c>
      <c r="O26" s="2">
        <f>IF(Data!V26=0,"",Data!V26)</f>
        <v>-0.10423067395628299</v>
      </c>
      <c r="P26" s="2">
        <f>IF(Data!W26=0,"",Data!W26)</f>
        <v>1.79836870301836E-2</v>
      </c>
      <c r="Q26" s="2">
        <f t="shared" ca="1" si="4"/>
        <v>0</v>
      </c>
      <c r="R26" s="5">
        <f t="shared" ca="1" si="5"/>
        <v>0.68455819057177392</v>
      </c>
      <c r="S26" s="3">
        <f t="shared" ca="1" si="6"/>
        <v>5.7525898367375961</v>
      </c>
      <c r="T26" t="str">
        <f t="shared" ca="1" si="7"/>
        <v>0:686</v>
      </c>
    </row>
    <row r="27" spans="1:20">
      <c r="A27" t="str">
        <f>Data!B27</f>
        <v>128019.SZ</v>
      </c>
      <c r="B27" t="str">
        <f>Data!C27</f>
        <v>久立转2</v>
      </c>
      <c r="C27" s="8">
        <f>RTD("wdf.rtq", ,A27, "LastPrice","RT_Price")</f>
        <v>0</v>
      </c>
      <c r="D27" s="8">
        <f>[1]!cb_anal_straightbondvalue(A27,"")</f>
        <v>82.518900000000002</v>
      </c>
      <c r="E27" t="str">
        <f>Data!E27</f>
        <v>002318.SZ</v>
      </c>
      <c r="F27" t="str">
        <f>Data!F27</f>
        <v>久立特材</v>
      </c>
      <c r="G27" s="7">
        <f>RTD("wdf.rtq", ,E27, "LastPrice","RT_Price")</f>
        <v>8.14</v>
      </c>
      <c r="H27" s="7">
        <f>[1]!cb_anal_convprice(A27,"")</f>
        <v>8.3699999999999992</v>
      </c>
      <c r="I27" s="2">
        <f>Data!J27</f>
        <v>0.27166629659765701</v>
      </c>
      <c r="J27" s="2">
        <f t="shared" si="0"/>
        <v>0.27166629659765701</v>
      </c>
      <c r="K27" s="7">
        <f ca="1">([1]!cb_info_maturitydate(A27)-TODAY())/365</f>
        <v>5.9835616438356167</v>
      </c>
      <c r="L27" s="6">
        <f t="shared" ca="1" si="1"/>
        <v>27.576924040304132</v>
      </c>
      <c r="M27" s="6">
        <f t="shared" ca="1" si="2"/>
        <v>110.09582404030414</v>
      </c>
      <c r="N27" s="2">
        <f t="shared" ca="1" si="3"/>
        <v>-1</v>
      </c>
      <c r="O27" s="2">
        <f>IF(Data!V27=0,"",Data!V27)</f>
        <v>-8.7507742809223896E-2</v>
      </c>
      <c r="P27" s="2">
        <f>IF(Data!W27=0,"",Data!W27)</f>
        <v>1.98970619830902E-2</v>
      </c>
      <c r="Q27" s="2">
        <f t="shared" ca="1" si="4"/>
        <v>0</v>
      </c>
      <c r="R27" s="5">
        <f t="shared" ca="1" si="5"/>
        <v>0.66472695604901255</v>
      </c>
      <c r="S27" s="3">
        <f t="shared" ca="1" si="6"/>
        <v>7.9417796421626363</v>
      </c>
      <c r="T27" t="str">
        <f t="shared" ca="1" si="7"/>
        <v>0:646</v>
      </c>
    </row>
    <row r="28" spans="1:20">
      <c r="A28" t="str">
        <f>Data!B28</f>
        <v>113502.SH</v>
      </c>
      <c r="B28" t="str">
        <f>Data!C28</f>
        <v>嘉澳转债</v>
      </c>
      <c r="C28" s="8">
        <f>RTD("wdf.rtq", ,A28, "LastPrice","RT_Price")</f>
        <v>0</v>
      </c>
      <c r="D28" s="8">
        <f>[1]!cb_anal_straightbondvalue(A28,"")</f>
        <v>84.5642</v>
      </c>
      <c r="E28" t="str">
        <f>Data!E28</f>
        <v>603822.SH</v>
      </c>
      <c r="F28" t="str">
        <f>Data!F28</f>
        <v>嘉澳环保</v>
      </c>
      <c r="G28" s="7">
        <f>RTD("wdf.rtq", ,E28, "LastPrice","RT_Price")</f>
        <v>42.96</v>
      </c>
      <c r="H28" s="7">
        <f>[1]!cb_anal_convprice(A28,"")</f>
        <v>45.48</v>
      </c>
      <c r="I28" s="2">
        <f>Data!J28</f>
        <v>0.52857031299967305</v>
      </c>
      <c r="J28" s="2">
        <f t="shared" si="0"/>
        <v>0.52857031299967305</v>
      </c>
      <c r="K28" s="7">
        <f ca="1">([1]!cb_info_maturitydate(A28)-TODAY())/365</f>
        <v>5.9890410958904106</v>
      </c>
      <c r="L28" s="6">
        <f t="shared" ca="1" si="1"/>
        <v>46.352525625577066</v>
      </c>
      <c r="M28" s="6">
        <f t="shared" ca="1" si="2"/>
        <v>130.91672562557707</v>
      </c>
      <c r="N28" s="2">
        <f t="shared" ca="1" si="3"/>
        <v>-1</v>
      </c>
      <c r="O28" s="2">
        <f>IF(Data!V28=0,"",Data!V28)</f>
        <v>-0.25856164778801799</v>
      </c>
      <c r="P28" s="2">
        <f>IF(Data!W28=0,"",Data!W28)</f>
        <v>1.5698084634226998E-2</v>
      </c>
      <c r="Q28" s="2">
        <f t="shared" ca="1" si="4"/>
        <v>0</v>
      </c>
      <c r="R28" s="5">
        <f t="shared" ca="1" si="5"/>
        <v>0.74925718110736783</v>
      </c>
      <c r="S28" s="3">
        <f t="shared" ca="1" si="6"/>
        <v>1.6474432302272821</v>
      </c>
      <c r="T28" t="str">
        <f t="shared" ca="1" si="7"/>
        <v>0:708</v>
      </c>
    </row>
    <row r="29" spans="1:20">
      <c r="A29" t="str">
        <f>Data!B29</f>
        <v>110038.SH</v>
      </c>
      <c r="B29" t="str">
        <f>Data!C29</f>
        <v>济川转债</v>
      </c>
      <c r="C29" s="8">
        <f>RTD("wdf.rtq", ,A29, "LastPrice","RT_Price")</f>
        <v>0</v>
      </c>
      <c r="D29" s="8">
        <f>[1]!cb_anal_straightbondvalue(A29,"")</f>
        <v>85.064899999999994</v>
      </c>
      <c r="E29" t="str">
        <f>Data!E29</f>
        <v>600566.SH</v>
      </c>
      <c r="F29" t="str">
        <f>Data!F29</f>
        <v>济川药业</v>
      </c>
      <c r="G29" s="7">
        <f>RTD("wdf.rtq", ,E29, "LastPrice","RT_Price")</f>
        <v>40.17</v>
      </c>
      <c r="H29" s="7">
        <f>[1]!cb_anal_convprice(A29,"")</f>
        <v>41.04</v>
      </c>
      <c r="I29" s="2">
        <f>Data!J29</f>
        <v>0.27518665592126001</v>
      </c>
      <c r="J29" s="2">
        <f t="shared" si="0"/>
        <v>0.27518665592126001</v>
      </c>
      <c r="K29" s="7">
        <f ca="1">([1]!cb_info_maturitydate(A29)-TODAY())/365</f>
        <v>4.9972602739726026</v>
      </c>
      <c r="L29" s="6">
        <f t="shared" ca="1" si="1"/>
        <v>25.666993560736877</v>
      </c>
      <c r="M29" s="6">
        <f t="shared" ca="1" si="2"/>
        <v>110.73189356073686</v>
      </c>
      <c r="N29" s="2">
        <f t="shared" ca="1" si="3"/>
        <v>-1</v>
      </c>
      <c r="O29" s="2">
        <f>IF(Data!V29=0,"",Data!V29)</f>
        <v>-0.112399665506489</v>
      </c>
      <c r="P29" s="2">
        <f>IF(Data!W29=0,"",Data!W29)</f>
        <v>1.4743553504171201E-2</v>
      </c>
      <c r="Q29" s="2">
        <f t="shared" ca="1" si="4"/>
        <v>0</v>
      </c>
      <c r="R29" s="5">
        <f t="shared" ca="1" si="5"/>
        <v>0.65343248747063987</v>
      </c>
      <c r="S29" s="3">
        <f t="shared" ca="1" si="6"/>
        <v>1.5921844236614031</v>
      </c>
      <c r="T29" t="str">
        <f t="shared" ca="1" si="7"/>
        <v>0:640</v>
      </c>
    </row>
    <row r="30" spans="1:20">
      <c r="A30" t="str">
        <f>Data!B30</f>
        <v>110039.SH</v>
      </c>
      <c r="B30" t="str">
        <f>Data!C30</f>
        <v>宝信转债</v>
      </c>
      <c r="C30" s="8">
        <f>RTD("wdf.rtq", ,A30, "LastPrice","RT_Price")</f>
        <v>0</v>
      </c>
      <c r="D30" s="8">
        <f>[1]!cb_anal_straightbondvalue(A30,"")</f>
        <v>0</v>
      </c>
      <c r="E30" t="str">
        <f>Data!E30</f>
        <v>600845.SH</v>
      </c>
      <c r="F30" t="str">
        <f>Data!F30</f>
        <v>宝信软件</v>
      </c>
      <c r="G30" s="7">
        <f>RTD("wdf.rtq", ,E30, "LastPrice","RT_Price")</f>
        <v>18.79</v>
      </c>
      <c r="H30" s="7">
        <f>[1]!cb_anal_convprice(A30,"")</f>
        <v>0</v>
      </c>
      <c r="I30" s="2">
        <f>Data!J30</f>
        <v>0.32329916605115899</v>
      </c>
      <c r="J30" s="2">
        <f t="shared" si="0"/>
        <v>0.32329916605115899</v>
      </c>
      <c r="K30" s="7">
        <f ca="1">([1]!cb_info_maturitydate(A30)-TODAY())/365</f>
        <v>6.0082191780821921</v>
      </c>
      <c r="L30" s="6" t="e">
        <f t="shared" ca="1" si="1"/>
        <v>#VALUE!</v>
      </c>
      <c r="M30" s="6" t="e">
        <f t="shared" ca="1" si="2"/>
        <v>#VALUE!</v>
      </c>
      <c r="N30" s="2" t="e">
        <f t="shared" ca="1" si="3"/>
        <v>#VALUE!</v>
      </c>
      <c r="O30" s="2" t="str">
        <f>IF(Data!V30=0,"",Data!V30)</f>
        <v>NA</v>
      </c>
      <c r="P30" s="2" t="str">
        <f>IF(Data!W30=0,"",Data!W30)</f>
        <v>NA</v>
      </c>
      <c r="Q30" s="2" t="str">
        <f t="shared" ca="1" si="4"/>
        <v/>
      </c>
      <c r="R30" s="5" t="e">
        <f t="shared" ca="1" si="5"/>
        <v>#VALUE!</v>
      </c>
      <c r="S30" s="3" t="e">
        <f t="shared" ca="1" si="6"/>
        <v>#VALUE!</v>
      </c>
      <c r="T30" t="e">
        <f t="shared" ca="1" si="7"/>
        <v>#VALUE!</v>
      </c>
    </row>
    <row r="31" spans="1:20">
      <c r="A31" t="str">
        <f>Data!B31</f>
        <v>128020.SZ</v>
      </c>
      <c r="B31" t="str">
        <f>Data!C31</f>
        <v>水晶转债</v>
      </c>
      <c r="C31" s="8">
        <f>RTD("wdf.rtq", ,A31, "LastPrice","RT_Price")</f>
        <v>0</v>
      </c>
      <c r="D31" s="8">
        <f>[1]!cb_anal_straightbondvalue(A31,"")</f>
        <v>0</v>
      </c>
      <c r="E31" t="str">
        <f>Data!E31</f>
        <v>002273.SZ</v>
      </c>
      <c r="F31" t="str">
        <f>Data!F31</f>
        <v>水晶光电</v>
      </c>
      <c r="G31" s="7">
        <f>RTD("wdf.rtq", ,E31, "LastPrice","RT_Price")</f>
        <v>29.91</v>
      </c>
      <c r="H31" s="7">
        <f>[1]!cb_anal_convprice(A31,"")</f>
        <v>0</v>
      </c>
      <c r="I31" s="2">
        <f>Data!J31</f>
        <v>0.416685743864252</v>
      </c>
      <c r="J31" s="2">
        <f t="shared" si="0"/>
        <v>0.416685743864252</v>
      </c>
      <c r="K31" s="7">
        <f ca="1">([1]!cb_info_maturitydate(A31)-TODAY())/365</f>
        <v>6.0082191780821921</v>
      </c>
      <c r="L31" s="6" t="e">
        <f t="shared" ca="1" si="1"/>
        <v>#VALUE!</v>
      </c>
      <c r="M31" s="6" t="e">
        <f t="shared" ca="1" si="2"/>
        <v>#VALUE!</v>
      </c>
      <c r="N31" s="2" t="e">
        <f t="shared" ca="1" si="3"/>
        <v>#VALUE!</v>
      </c>
      <c r="O31" s="2" t="str">
        <f>IF(Data!V31=0,"",Data!V31)</f>
        <v>NA</v>
      </c>
      <c r="P31" s="2" t="str">
        <f>IF(Data!W31=0,"",Data!W31)</f>
        <v>NA</v>
      </c>
      <c r="Q31" s="2" t="str">
        <f t="shared" ca="1" si="4"/>
        <v/>
      </c>
      <c r="R31" s="5" t="e">
        <f t="shared" ca="1" si="5"/>
        <v>#VALUE!</v>
      </c>
      <c r="S31" s="3" t="e">
        <f t="shared" ca="1" si="6"/>
        <v>#VALUE!</v>
      </c>
      <c r="T31" t="e">
        <f t="shared" ca="1" si="7"/>
        <v>#VALUE!</v>
      </c>
    </row>
  </sheetData>
  <phoneticPr fontId="1" type="noConversion"/>
  <conditionalFormatting sqref="R2:R31">
    <cfRule type="cellIs" dxfId="1" priority="3" operator="greaterThan">
      <formula>0.6</formula>
    </cfRule>
  </conditionalFormatting>
  <conditionalFormatting sqref="Q2:Q31">
    <cfRule type="colorScale" priority="5">
      <colorScale>
        <cfvo type="min"/>
        <cfvo type="percentile" val="50"/>
        <cfvo type="max"/>
        <color rgb="FF5A8AC6"/>
        <color rgb="FFFCFCFF"/>
        <color rgb="FFF8696B"/>
      </colorScale>
    </cfRule>
  </conditionalFormatting>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1"/>
  <sheetViews>
    <sheetView workbookViewId="0">
      <selection activeCell="E30" sqref="E30"/>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3">
      <c r="A1" t="s">
        <v>76</v>
      </c>
      <c r="B1" t="s">
        <v>71</v>
      </c>
      <c r="C1" t="s">
        <v>70</v>
      </c>
      <c r="D1" t="s">
        <v>72</v>
      </c>
      <c r="E1" t="s">
        <v>73</v>
      </c>
      <c r="F1" t="s">
        <v>74</v>
      </c>
      <c r="G1" t="s">
        <v>75</v>
      </c>
      <c r="H1" s="2" t="s">
        <v>77</v>
      </c>
      <c r="I1" s="2" t="s">
        <v>78</v>
      </c>
      <c r="J1" s="2" t="s">
        <v>79</v>
      </c>
      <c r="K1" s="2" t="s">
        <v>80</v>
      </c>
      <c r="L1" s="43">
        <f>Data!X1</f>
        <v>43040</v>
      </c>
      <c r="M1" s="43">
        <f>Data!Y1</f>
        <v>43009</v>
      </c>
      <c r="N1" s="43">
        <f>Data!Z1</f>
        <v>42979</v>
      </c>
      <c r="O1" s="43">
        <f>Data!AA1</f>
        <v>42948</v>
      </c>
      <c r="P1" s="43">
        <f>Data!AB1</f>
        <v>42917</v>
      </c>
      <c r="Q1" s="43">
        <f>Data!AC1</f>
        <v>42887</v>
      </c>
      <c r="R1" s="43">
        <f>Data!AD1</f>
        <v>42856</v>
      </c>
      <c r="S1" s="43">
        <f>Data!AE1</f>
        <v>42826</v>
      </c>
      <c r="T1" s="43">
        <f>Data!AF1</f>
        <v>42795</v>
      </c>
      <c r="U1" s="43">
        <f>Data!AG1</f>
        <v>42767</v>
      </c>
      <c r="V1" s="43">
        <f>Data!AH1</f>
        <v>42736</v>
      </c>
      <c r="W1" s="43">
        <f>Data!AI1</f>
        <v>42705</v>
      </c>
    </row>
    <row r="2" spans="1:23">
      <c r="A2" s="1">
        <f>Data!A2</f>
        <v>43053</v>
      </c>
      <c r="B2" t="str">
        <f>Data!B2</f>
        <v>110030.SH</v>
      </c>
      <c r="C2" t="str">
        <f>Data!C2</f>
        <v>格力转债</v>
      </c>
      <c r="D2" t="str">
        <f>Data!E2</f>
        <v>600185.SH</v>
      </c>
      <c r="E2" t="str">
        <f>Data!F2</f>
        <v>格力地产</v>
      </c>
      <c r="F2" s="6">
        <f>Data!D2</f>
        <v>108.0996</v>
      </c>
      <c r="G2" s="6">
        <f>Data!N2</f>
        <v>104.817704549696</v>
      </c>
      <c r="H2" s="2">
        <f t="shared" ref="H2" si="0">F2/G2-1</f>
        <v>3.1310506792752602E-2</v>
      </c>
      <c r="I2" s="2">
        <f>IF(Data!V2=0,"",Data!V2)</f>
        <v>2.94507231996557E-2</v>
      </c>
      <c r="J2" s="2">
        <f>IF(Data!W2=0,"",Data!W2)</f>
        <v>5.3663834915574998E-2</v>
      </c>
      <c r="K2" s="2">
        <f>IFERROR(_xlfn.NORM.DIST(H2,I2,J2,TRUE),"")</f>
        <v>0.51382304891906116</v>
      </c>
      <c r="L2" s="2">
        <f>IF(Data!X2=0,"",Data!X2)</f>
        <v>2.91860737993733E-2</v>
      </c>
      <c r="M2" s="2">
        <f>IF(Data!Y2=0,"",Data!Y2)</f>
        <v>1.98612178537232E-2</v>
      </c>
      <c r="N2" s="2">
        <f>IF(Data!Z2=0,"",Data!Z2)</f>
        <v>-1.0999949155109301E-2</v>
      </c>
      <c r="O2" s="2">
        <f>IF(Data!AA2=0,"",Data!AA2)</f>
        <v>-4.4162782571601699E-3</v>
      </c>
      <c r="P2" s="2">
        <f>IF(Data!AB2=0,"",Data!AB2)</f>
        <v>-2.0310357975370098E-2</v>
      </c>
      <c r="Q2" s="2">
        <f>IF(Data!AC2=0,"",Data!AC2)</f>
        <v>-3.04867066181033E-2</v>
      </c>
      <c r="R2" s="2">
        <f>IF(Data!AD2=0,"",Data!AD2)</f>
        <v>-3.1702029444165898E-2</v>
      </c>
      <c r="S2" s="2">
        <f>IF(Data!AE2=0,"",Data!AE2)</f>
        <v>-1.1882925561995099E-3</v>
      </c>
      <c r="T2" s="2">
        <f>IF(Data!AF2=0,"",Data!AF2)</f>
        <v>9.68683107413989E-2</v>
      </c>
      <c r="U2" s="2">
        <f>IF(Data!AG2=0,"",Data!AG2)</f>
        <v>0.10321850095285801</v>
      </c>
      <c r="V2" s="2">
        <f>IF(Data!AH2=0,"",Data!AH2)</f>
        <v>8.8020786037979401E-2</v>
      </c>
      <c r="W2" s="2">
        <f>IF(Data!AI2=0,"",Data!AI2)</f>
        <v>7.6202758445646404E-2</v>
      </c>
    </row>
    <row r="3" spans="1:23">
      <c r="A3" s="1">
        <f>Data!A3</f>
        <v>43053</v>
      </c>
      <c r="B3" t="str">
        <f>Data!B3</f>
        <v>113008.SH</v>
      </c>
      <c r="C3" t="str">
        <f>Data!C3</f>
        <v>电气转债</v>
      </c>
      <c r="D3" t="str">
        <f>Data!E3</f>
        <v>601727.SH</v>
      </c>
      <c r="E3" t="str">
        <f>Data!F3</f>
        <v>上海电气</v>
      </c>
      <c r="F3" s="6">
        <f>Data!D3</f>
        <v>103.5564</v>
      </c>
      <c r="G3" s="6">
        <f>Data!N3</f>
        <v>103.82810360990101</v>
      </c>
      <c r="H3" s="2">
        <f t="shared" ref="H3:H31" si="1">F3/G3-1</f>
        <v>-2.6168599873676035E-3</v>
      </c>
      <c r="I3" s="2">
        <f>IF(Data!V3=0,"",Data!V3)</f>
        <v>9.0923976653645697E-2</v>
      </c>
      <c r="J3" s="2">
        <f>IF(Data!W3=0,"",Data!W3)</f>
        <v>8.20259790438429E-2</v>
      </c>
      <c r="K3" s="2">
        <f t="shared" ref="K3:K31" si="2">IFERROR(_xlfn.NORM.DIST(H3,I3,J3,TRUE),"")</f>
        <v>0.12706388215292164</v>
      </c>
      <c r="L3" s="2">
        <f>IF(Data!X3=0,"",Data!X3)</f>
        <v>-4.3981928450640998E-3</v>
      </c>
      <c r="M3" s="2">
        <f>IF(Data!Y3=0,"",Data!Y3)</f>
        <v>-7.3798584651534301E-3</v>
      </c>
      <c r="N3" s="2">
        <f>IF(Data!Z3=0,"",Data!Z3)</f>
        <v>1.53530979599321E-2</v>
      </c>
      <c r="O3" s="2">
        <f>IF(Data!AA3=0,"",Data!AA3)</f>
        <v>2.9908850391212601E-2</v>
      </c>
      <c r="P3" s="2">
        <f>IF(Data!AB3=0,"",Data!AB3)</f>
        <v>2.5170476882899102E-2</v>
      </c>
      <c r="Q3" s="2">
        <f>IF(Data!AC3=0,"",Data!AC3)</f>
        <v>3.2709084849055797E-2</v>
      </c>
      <c r="R3" s="2">
        <f>IF(Data!AD3=0,"",Data!AD3)</f>
        <v>7.2390257272774497E-2</v>
      </c>
      <c r="S3" s="2">
        <f>IF(Data!AE3=0,"",Data!AE3)</f>
        <v>0.212094534929579</v>
      </c>
      <c r="T3" s="2">
        <f>IF(Data!AF3=0,"",Data!AF3)</f>
        <v>0.210663563858528</v>
      </c>
      <c r="U3" s="2">
        <f>IF(Data!AG3=0,"",Data!AG3)</f>
        <v>0.200646833126604</v>
      </c>
      <c r="V3" s="2">
        <f>IF(Data!AH3=0,"",Data!AH3)</f>
        <v>0.153627027705101</v>
      </c>
      <c r="W3" s="2">
        <f>IF(Data!AI3=0,"",Data!AI3)</f>
        <v>0.12471743336642301</v>
      </c>
    </row>
    <row r="4" spans="1:23">
      <c r="A4" s="1">
        <f>Data!A4</f>
        <v>43053</v>
      </c>
      <c r="B4" t="str">
        <f>Data!B4</f>
        <v>110031.SH</v>
      </c>
      <c r="C4" t="str">
        <f>Data!C4</f>
        <v>航信转债</v>
      </c>
      <c r="D4" t="str">
        <f>Data!E4</f>
        <v>600271.SH</v>
      </c>
      <c r="E4" t="str">
        <f>Data!F4</f>
        <v>航天信息</v>
      </c>
      <c r="F4" s="6">
        <f>Data!D4</f>
        <v>104.8926</v>
      </c>
      <c r="G4" s="6">
        <f>Data!N4</f>
        <v>93.905184463960595</v>
      </c>
      <c r="H4" s="2">
        <f t="shared" si="1"/>
        <v>0.11700541986855062</v>
      </c>
      <c r="I4" s="2">
        <f>IF(Data!V4=0,"",Data!V4)</f>
        <v>0.117255024625045</v>
      </c>
      <c r="J4" s="2">
        <f>IF(Data!W4=0,"",Data!W4)</f>
        <v>2.6060999130432499E-2</v>
      </c>
      <c r="K4" s="2">
        <f t="shared" si="2"/>
        <v>0.49617910396087467</v>
      </c>
      <c r="L4" s="2">
        <f>IF(Data!X4=0,"",Data!X4)</f>
        <v>0.109277795041825</v>
      </c>
      <c r="M4" s="2">
        <f>IF(Data!Y4=0,"",Data!Y4)</f>
        <v>9.9952505798544006E-2</v>
      </c>
      <c r="N4" s="2">
        <f>IF(Data!Z4=0,"",Data!Z4)</f>
        <v>0.112719456072401</v>
      </c>
      <c r="O4" s="2">
        <f>IF(Data!AA4=0,"",Data!AA4)</f>
        <v>0.108338930474654</v>
      </c>
      <c r="P4" s="2">
        <f>IF(Data!AB4=0,"",Data!AB4)</f>
        <v>9.4417217173604601E-2</v>
      </c>
      <c r="Q4" s="2">
        <f>IF(Data!AC4=0,"",Data!AC4)</f>
        <v>8.9282236244095106E-2</v>
      </c>
      <c r="R4" s="2">
        <f>IF(Data!AD4=0,"",Data!AD4)</f>
        <v>8.5762347337165007E-2</v>
      </c>
      <c r="S4" s="2">
        <f>IF(Data!AE4=0,"",Data!AE4)</f>
        <v>0.105492961776879</v>
      </c>
      <c r="T4" s="2">
        <f>IF(Data!AF4=0,"",Data!AF4)</f>
        <v>0.126250402104889</v>
      </c>
      <c r="U4" s="2">
        <f>IF(Data!AG4=0,"",Data!AG4)</f>
        <v>0.14316997745384299</v>
      </c>
      <c r="V4" s="2">
        <f>IF(Data!AH4=0,"",Data!AH4)</f>
        <v>0.13684804718208399</v>
      </c>
      <c r="W4" s="2">
        <f>IF(Data!AI4=0,"",Data!AI4)</f>
        <v>0.15620618634939501</v>
      </c>
    </row>
    <row r="5" spans="1:23">
      <c r="A5" s="1">
        <f>Data!A5</f>
        <v>43053</v>
      </c>
      <c r="B5" t="str">
        <f>Data!B5</f>
        <v>123001.SZ</v>
      </c>
      <c r="C5" t="str">
        <f>Data!C5</f>
        <v>蓝标转债</v>
      </c>
      <c r="D5" t="str">
        <f>Data!E5</f>
        <v>300058.SZ</v>
      </c>
      <c r="E5" t="str">
        <f>Data!F5</f>
        <v>蓝色光标</v>
      </c>
      <c r="F5" s="6">
        <f>Data!D5</f>
        <v>101.16330000000001</v>
      </c>
      <c r="G5" s="6">
        <f>Data!N5</f>
        <v>102.641731569314</v>
      </c>
      <c r="H5" s="2">
        <f t="shared" si="1"/>
        <v>-1.4403805807929215E-2</v>
      </c>
      <c r="I5" s="2">
        <f>IF(Data!V5=0,"",Data!V5)</f>
        <v>3.6386181864523102E-2</v>
      </c>
      <c r="J5" s="2">
        <f>IF(Data!W5=0,"",Data!W5)</f>
        <v>3.2978312001959102E-2</v>
      </c>
      <c r="K5" s="2">
        <f t="shared" si="2"/>
        <v>6.1767659707964676E-2</v>
      </c>
      <c r="L5" s="2">
        <f>IF(Data!X5=0,"",Data!X5)</f>
        <v>-2.0525653087546801E-2</v>
      </c>
      <c r="M5" s="2">
        <f>IF(Data!Y5=0,"",Data!Y5)</f>
        <v>-8.6366833054221104E-3</v>
      </c>
      <c r="N5" s="2">
        <f>IF(Data!Z5=0,"",Data!Z5)</f>
        <v>2.4132806278960899E-2</v>
      </c>
      <c r="O5" s="2">
        <f>IF(Data!AA5=0,"",Data!AA5)</f>
        <v>2.9963335357149901E-2</v>
      </c>
      <c r="P5" s="2">
        <f>IF(Data!AB5=0,"",Data!AB5)</f>
        <v>2.2447290882494801E-2</v>
      </c>
      <c r="Q5" s="2">
        <f>IF(Data!AC5=0,"",Data!AC5)</f>
        <v>-1.4637245990820001E-2</v>
      </c>
      <c r="R5" s="2">
        <f>IF(Data!AD5=0,"",Data!AD5)</f>
        <v>9.1862859932826002E-2</v>
      </c>
      <c r="S5" s="2">
        <f>IF(Data!AE5=0,"",Data!AE5)</f>
        <v>5.69680068294501E-2</v>
      </c>
      <c r="T5" s="2">
        <f>IF(Data!AF5=0,"",Data!AF5)</f>
        <v>5.7123385538063898E-2</v>
      </c>
      <c r="U5" s="2">
        <f>IF(Data!AG5=0,"",Data!AG5)</f>
        <v>6.6915032294544194E-2</v>
      </c>
      <c r="V5" s="2">
        <f>IF(Data!AH5=0,"",Data!AH5)</f>
        <v>5.2888827629906099E-2</v>
      </c>
      <c r="W5" s="2">
        <f>IF(Data!AI5=0,"",Data!AI5)</f>
        <v>5.5624180137661398E-2</v>
      </c>
    </row>
    <row r="6" spans="1:23">
      <c r="A6" s="1">
        <f>Data!A6</f>
        <v>43053</v>
      </c>
      <c r="B6" t="str">
        <f>Data!B6</f>
        <v>110032.SH</v>
      </c>
      <c r="C6" t="str">
        <f>Data!C6</f>
        <v>三一转债</v>
      </c>
      <c r="D6" t="str">
        <f>Data!E6</f>
        <v>600031.SH</v>
      </c>
      <c r="E6" t="str">
        <f>Data!F6</f>
        <v>三一重工</v>
      </c>
      <c r="F6" s="6">
        <f>Data!D6</f>
        <v>123.91849999999999</v>
      </c>
      <c r="G6" s="6">
        <f>Data!N6</f>
        <v>127.700948753628</v>
      </c>
      <c r="H6" s="2">
        <f t="shared" si="1"/>
        <v>-2.9619582239169051E-2</v>
      </c>
      <c r="I6" s="2">
        <f>IF(Data!V6=0,"",Data!V6)</f>
        <v>-2.42807682909436E-4</v>
      </c>
      <c r="J6" s="2">
        <f>IF(Data!W6=0,"",Data!W6)</f>
        <v>3.05674175447774E-2</v>
      </c>
      <c r="K6" s="2">
        <f t="shared" si="2"/>
        <v>0.16826386011472669</v>
      </c>
      <c r="L6" s="2">
        <f>IF(Data!X6=0,"",Data!X6)</f>
        <v>-2.5851498780233299E-2</v>
      </c>
      <c r="M6" s="2">
        <f>IF(Data!Y6=0,"",Data!Y6)</f>
        <v>-1.9399478675016301E-2</v>
      </c>
      <c r="N6" s="2">
        <f>IF(Data!Z6=0,"",Data!Z6)</f>
        <v>5.5073564302949001E-3</v>
      </c>
      <c r="O6" s="2">
        <f>IF(Data!AA6=0,"",Data!AA6)</f>
        <v>2.2473262858482301E-3</v>
      </c>
      <c r="P6" s="2">
        <f>IF(Data!AB6=0,"",Data!AB6)</f>
        <v>3.1683511917336401E-3</v>
      </c>
      <c r="Q6" s="2">
        <f>IF(Data!AC6=0,"",Data!AC6)</f>
        <v>-9.6802411506005208E-3</v>
      </c>
      <c r="R6" s="2">
        <f>IF(Data!AD6=0,"",Data!AD6)</f>
        <v>-2.7939873355004499E-2</v>
      </c>
      <c r="S6" s="2">
        <f>IF(Data!AE6=0,"",Data!AE6)</f>
        <v>-3.2919365968413002E-2</v>
      </c>
      <c r="T6" s="2">
        <f>IF(Data!AF6=0,"",Data!AF6)</f>
        <v>-2.6486184615949E-2</v>
      </c>
      <c r="U6" s="2">
        <f>IF(Data!AG6=0,"",Data!AG6)</f>
        <v>-9.9573817750234096E-3</v>
      </c>
      <c r="V6" s="2">
        <f>IF(Data!AH6=0,"",Data!AH6)</f>
        <v>1.7310622110111199E-2</v>
      </c>
      <c r="W6" s="2">
        <f>IF(Data!AI6=0,"",Data!AI6)</f>
        <v>4.0978118997344E-2</v>
      </c>
    </row>
    <row r="7" spans="1:23">
      <c r="A7" s="1">
        <f>Data!A7</f>
        <v>43053</v>
      </c>
      <c r="B7" t="str">
        <f>Data!B7</f>
        <v>110033.SH</v>
      </c>
      <c r="C7" t="str">
        <f>Data!C7</f>
        <v>国贸转债</v>
      </c>
      <c r="D7" t="str">
        <f>Data!E7</f>
        <v>600755.SH</v>
      </c>
      <c r="E7" t="str">
        <f>Data!F7</f>
        <v>厦门国贸</v>
      </c>
      <c r="F7" s="6">
        <f>Data!D7</f>
        <v>126.7899</v>
      </c>
      <c r="G7" s="6">
        <f>Data!N7</f>
        <v>142.91888523613</v>
      </c>
      <c r="H7" s="2">
        <f t="shared" si="1"/>
        <v>-0.11285412147933949</v>
      </c>
      <c r="I7" s="2">
        <f>IF(Data!V7=0,"",Data!V7)</f>
        <v>-3.0766368185621801E-2</v>
      </c>
      <c r="J7" s="2">
        <f>IF(Data!W7=0,"",Data!W7)</f>
        <v>5.8540067687781701E-2</v>
      </c>
      <c r="K7" s="2">
        <f t="shared" si="2"/>
        <v>8.0420447124246827E-2</v>
      </c>
      <c r="L7" s="2">
        <f>IF(Data!X7=0,"",Data!X7)</f>
        <v>-0.121988296999457</v>
      </c>
      <c r="M7" s="2">
        <f>IF(Data!Y7=0,"",Data!Y7)</f>
        <v>-0.12818413546063301</v>
      </c>
      <c r="N7" s="2">
        <f>IF(Data!Z7=0,"",Data!Z7)</f>
        <v>-0.116538159412252</v>
      </c>
      <c r="O7" s="2">
        <f>IF(Data!AA7=0,"",Data!AA7)</f>
        <v>-0.107712213167208</v>
      </c>
      <c r="P7" s="2">
        <f>IF(Data!AB7=0,"",Data!AB7)</f>
        <v>-1.6612917395293601E-2</v>
      </c>
      <c r="Q7" s="2">
        <f>IF(Data!AC7=0,"",Data!AC7)</f>
        <v>2.0811501808504301E-2</v>
      </c>
      <c r="R7" s="2">
        <f>IF(Data!AD7=0,"",Data!AD7)</f>
        <v>1.2922738508990999E-3</v>
      </c>
      <c r="S7" s="2">
        <f>IF(Data!AE7=0,"",Data!AE7)</f>
        <v>7.2467886166285101E-3</v>
      </c>
      <c r="T7" s="2">
        <f>IF(Data!AF7=0,"",Data!AF7)</f>
        <v>1.6617069338039001E-2</v>
      </c>
      <c r="U7" s="2">
        <f>IF(Data!AG7=0,"",Data!AG7)</f>
        <v>4.1497909251196202E-3</v>
      </c>
      <c r="V7" s="2">
        <f>IF(Data!AH7=0,"",Data!AH7)</f>
        <v>-1.5726783071867601E-3</v>
      </c>
      <c r="W7" s="2">
        <f>IF(Data!AI7=0,"",Data!AI7)</f>
        <v>-1.18618275260804E-2</v>
      </c>
    </row>
    <row r="8" spans="1:23">
      <c r="A8" s="1">
        <f>Data!A8</f>
        <v>43053</v>
      </c>
      <c r="B8" t="str">
        <f>Data!B8</f>
        <v>110034.SH</v>
      </c>
      <c r="C8" t="str">
        <f>Data!C8</f>
        <v>九州转债</v>
      </c>
      <c r="D8" t="str">
        <f>Data!E8</f>
        <v>600998.SH</v>
      </c>
      <c r="E8" t="str">
        <f>Data!F8</f>
        <v>九州通</v>
      </c>
      <c r="F8" s="6">
        <f>Data!D8</f>
        <v>121.0568</v>
      </c>
      <c r="G8" s="6">
        <f>Data!N8</f>
        <v>116.66652404705999</v>
      </c>
      <c r="H8" s="2">
        <f t="shared" si="1"/>
        <v>3.7630982741622576E-2</v>
      </c>
      <c r="I8" s="2">
        <f>IF(Data!V8=0,"",Data!V8)</f>
        <v>1.93105707333928E-2</v>
      </c>
      <c r="J8" s="2">
        <f>IF(Data!W8=0,"",Data!W8)</f>
        <v>4.3881823295449998E-2</v>
      </c>
      <c r="K8" s="2">
        <f t="shared" si="2"/>
        <v>0.66184156123896964</v>
      </c>
      <c r="L8" s="2">
        <f>IF(Data!X8=0,"",Data!X8)</f>
        <v>3.4509458276807799E-2</v>
      </c>
      <c r="M8" s="2">
        <f>IF(Data!Y8=0,"",Data!Y8)</f>
        <v>3.52057890935688E-2</v>
      </c>
      <c r="N8" s="2">
        <f>IF(Data!Z8=0,"",Data!Z8)</f>
        <v>5.8060109896420402E-2</v>
      </c>
      <c r="O8" s="2">
        <f>IF(Data!AA8=0,"",Data!AA8)</f>
        <v>7.5709902237097906E-2</v>
      </c>
      <c r="P8" s="2">
        <f>IF(Data!AB8=0,"",Data!AB8)</f>
        <v>6.2768589053650098E-2</v>
      </c>
      <c r="Q8" s="2">
        <f>IF(Data!AC8=0,"",Data!AC8)</f>
        <v>5.0143257076448997E-2</v>
      </c>
      <c r="R8" s="2">
        <f>IF(Data!AD8=0,"",Data!AD8)</f>
        <v>4.37460965637032E-2</v>
      </c>
      <c r="S8" s="2">
        <f>IF(Data!AE8=0,"",Data!AE8)</f>
        <v>1.7152545870630701E-2</v>
      </c>
      <c r="T8" s="2">
        <f>IF(Data!AF8=0,"",Data!AF8)</f>
        <v>2.7710333635327499E-3</v>
      </c>
      <c r="U8" s="2">
        <f>IF(Data!AG8=0,"",Data!AG8)</f>
        <v>-2.7410293362618E-2</v>
      </c>
      <c r="V8" s="2">
        <f>IF(Data!AH8=0,"",Data!AH8)</f>
        <v>-4.4745861251948703E-2</v>
      </c>
      <c r="W8" s="2">
        <f>IF(Data!AI8=0,"",Data!AI8)</f>
        <v>-4.5192246508211999E-2</v>
      </c>
    </row>
    <row r="9" spans="1:23">
      <c r="A9" s="1">
        <f>Data!A9</f>
        <v>43053</v>
      </c>
      <c r="B9" t="str">
        <f>Data!B9</f>
        <v>113009.SH</v>
      </c>
      <c r="C9" t="str">
        <f>Data!C9</f>
        <v>广汽转债</v>
      </c>
      <c r="D9" t="str">
        <f>Data!E9</f>
        <v>601238.SH</v>
      </c>
      <c r="E9" t="str">
        <f>Data!F9</f>
        <v>广汽集团</v>
      </c>
      <c r="F9" s="6">
        <f>Data!D9</f>
        <v>129.38319999999999</v>
      </c>
      <c r="G9" s="6">
        <f>Data!N9</f>
        <v>132.03384935100601</v>
      </c>
      <c r="H9" s="2">
        <f t="shared" si="1"/>
        <v>-2.0075528843814805E-2</v>
      </c>
      <c r="I9" s="2">
        <f>IF(Data!V9=0,"",Data!V9)</f>
        <v>-3.5962539087340997E-2</v>
      </c>
      <c r="J9" s="2">
        <f>IF(Data!W9=0,"",Data!W9)</f>
        <v>2.5191332693925799E-2</v>
      </c>
      <c r="K9" s="2">
        <f t="shared" si="2"/>
        <v>0.73586655054641192</v>
      </c>
      <c r="L9" s="2">
        <f>IF(Data!X9=0,"",Data!X9)</f>
        <v>-2.04018530544029E-2</v>
      </c>
      <c r="M9" s="2">
        <f>IF(Data!Y9=0,"",Data!Y9)</f>
        <v>-2.2807335263077998E-2</v>
      </c>
      <c r="N9" s="2">
        <f>IF(Data!Z9=0,"",Data!Z9)</f>
        <v>-9.39579985513736E-3</v>
      </c>
      <c r="O9" s="2">
        <f>IF(Data!AA9=0,"",Data!AA9)</f>
        <v>-5.6706654736156598E-3</v>
      </c>
      <c r="P9" s="2">
        <f>IF(Data!AB9=0,"",Data!AB9)</f>
        <v>-1.54776238725502E-2</v>
      </c>
      <c r="Q9" s="2">
        <f>IF(Data!AC9=0,"",Data!AC9)</f>
        <v>-2.19940816497412E-2</v>
      </c>
      <c r="R9" s="2">
        <f>IF(Data!AD9=0,"",Data!AD9)</f>
        <v>-3.6231181811420099E-2</v>
      </c>
      <c r="S9" s="2">
        <f>IF(Data!AE9=0,"",Data!AE9)</f>
        <v>-6.2838339958431202E-2</v>
      </c>
      <c r="T9" s="2">
        <f>IF(Data!AF9=0,"",Data!AF9)</f>
        <v>-5.4356894153279503E-2</v>
      </c>
      <c r="U9" s="2">
        <f>IF(Data!AG9=0,"",Data!AG9)</f>
        <v>-4.4154991763215898E-2</v>
      </c>
      <c r="V9" s="2">
        <f>IF(Data!AH9=0,"",Data!AH9)</f>
        <v>-3.6064423985409801E-2</v>
      </c>
      <c r="W9" s="2">
        <f>IF(Data!AI9=0,"",Data!AI9)</f>
        <v>-6.3230429047805001E-2</v>
      </c>
    </row>
    <row r="10" spans="1:23">
      <c r="A10" s="1">
        <f>Data!A10</f>
        <v>43053</v>
      </c>
      <c r="B10" t="str">
        <f>Data!B10</f>
        <v>128010.SZ</v>
      </c>
      <c r="C10" t="str">
        <f>Data!C10</f>
        <v>顺昌转债</v>
      </c>
      <c r="D10" t="str">
        <f>Data!E10</f>
        <v>002245.SZ</v>
      </c>
      <c r="E10" t="str">
        <f>Data!F10</f>
        <v>澳洋顺昌</v>
      </c>
      <c r="F10" s="6">
        <f>Data!D10</f>
        <v>118.4894</v>
      </c>
      <c r="G10" s="6">
        <f>Data!N10</f>
        <v>122.09488486406001</v>
      </c>
      <c r="H10" s="2">
        <f t="shared" si="1"/>
        <v>-2.9530187673909025E-2</v>
      </c>
      <c r="I10" s="2">
        <f>IF(Data!V10=0,"",Data!V10)</f>
        <v>-3.44323021464642E-2</v>
      </c>
      <c r="J10" s="2">
        <f>IF(Data!W10=0,"",Data!W10)</f>
        <v>4.5228278797690702E-2</v>
      </c>
      <c r="K10" s="2">
        <f t="shared" si="2"/>
        <v>0.54315526665610459</v>
      </c>
      <c r="L10" s="2">
        <f>IF(Data!X10=0,"",Data!X10)</f>
        <v>-3.3489025449291901E-2</v>
      </c>
      <c r="M10" s="2">
        <f>IF(Data!Y10=0,"",Data!Y10)</f>
        <v>-1.44829386933478E-2</v>
      </c>
      <c r="N10" s="2">
        <f>IF(Data!Z10=0,"",Data!Z10)</f>
        <v>2.72728932608063E-2</v>
      </c>
      <c r="O10" s="2">
        <f>IF(Data!AA10=0,"",Data!AA10)</f>
        <v>3.8001215925940197E-2</v>
      </c>
      <c r="P10" s="2">
        <f>IF(Data!AB10=0,"",Data!AB10)</f>
        <v>1.7188945999360099E-2</v>
      </c>
      <c r="Q10" s="2">
        <f>IF(Data!AC10=0,"",Data!AC10)</f>
        <v>-2.5302147248056701E-2</v>
      </c>
      <c r="R10" s="2">
        <f>IF(Data!AD10=0,"",Data!AD10)</f>
        <v>-5.9747035321051002E-2</v>
      </c>
      <c r="S10" s="2">
        <f>IF(Data!AE10=0,"",Data!AE10)</f>
        <v>-4.7444147397913299E-2</v>
      </c>
      <c r="T10" s="2">
        <f>IF(Data!AF10=0,"",Data!AF10)</f>
        <v>-6.2277483645796203E-2</v>
      </c>
      <c r="U10" s="2">
        <f>IF(Data!AG10=0,"",Data!AG10)</f>
        <v>-8.3755383271774203E-2</v>
      </c>
      <c r="V10" s="2">
        <f>IF(Data!AH10=0,"",Data!AH10)</f>
        <v>-8.7733675916315396E-2</v>
      </c>
      <c r="W10" s="2">
        <f>IF(Data!AI10=0,"",Data!AI10)</f>
        <v>-7.5844350349989001E-2</v>
      </c>
    </row>
    <row r="11" spans="1:23">
      <c r="A11" s="1">
        <f>Data!A11</f>
        <v>43053</v>
      </c>
      <c r="B11" t="str">
        <f>Data!B11</f>
        <v>113010.SH</v>
      </c>
      <c r="C11" t="str">
        <f>Data!C11</f>
        <v>江南转债</v>
      </c>
      <c r="D11" t="str">
        <f>Data!E11</f>
        <v>601199.SH</v>
      </c>
      <c r="E11" t="str">
        <f>Data!F11</f>
        <v>江南水务</v>
      </c>
      <c r="F11" s="6">
        <f>Data!D11</f>
        <v>103.9885</v>
      </c>
      <c r="G11" s="6">
        <f>Data!N11</f>
        <v>92.489151823737402</v>
      </c>
      <c r="H11" s="2">
        <f t="shared" si="1"/>
        <v>0.12433185892089971</v>
      </c>
      <c r="I11" s="2">
        <f>IF(Data!V11=0,"",Data!V11)</f>
        <v>5.8936155911028E-2</v>
      </c>
      <c r="J11" s="2">
        <f>IF(Data!W11=0,"",Data!W11)</f>
        <v>4.1391896438369498E-2</v>
      </c>
      <c r="K11" s="2">
        <f t="shared" si="2"/>
        <v>0.94293690222620652</v>
      </c>
      <c r="L11" s="2">
        <f>IF(Data!X11=0,"",Data!X11)</f>
        <v>0.119215768800477</v>
      </c>
      <c r="M11" s="2">
        <f>IF(Data!Y11=0,"",Data!Y11)</f>
        <v>0.110508978522914</v>
      </c>
      <c r="N11" s="2">
        <f>IF(Data!Z11=0,"",Data!Z11)</f>
        <v>0.11607206384091</v>
      </c>
      <c r="O11" s="2">
        <f>IF(Data!AA11=0,"",Data!AA11)</f>
        <v>0.102900414526994</v>
      </c>
      <c r="P11" s="2">
        <f>IF(Data!AB11=0,"",Data!AB11)</f>
        <v>7.9009880425502999E-2</v>
      </c>
      <c r="Q11" s="2">
        <f>IF(Data!AC11=0,"",Data!AC11)</f>
        <v>7.3352075201407602E-2</v>
      </c>
      <c r="R11" s="2">
        <f>IF(Data!AD11=0,"",Data!AD11)</f>
        <v>5.8829711100494501E-2</v>
      </c>
      <c r="S11" s="2">
        <f>IF(Data!AE11=0,"",Data!AE11)</f>
        <v>4.1145475146568501E-2</v>
      </c>
      <c r="T11" s="2">
        <f>IF(Data!AF11=0,"",Data!AF11)</f>
        <v>3.4739477807536799E-2</v>
      </c>
      <c r="U11" s="2">
        <f>IF(Data!AG11=0,"",Data!AG11)</f>
        <v>2.4947808274952299E-2</v>
      </c>
      <c r="V11" s="2">
        <f>IF(Data!AH11=0,"",Data!AH11)</f>
        <v>6.2527769298429898E-3</v>
      </c>
      <c r="W11" s="2">
        <f>IF(Data!AI11=0,"",Data!AI11)</f>
        <v>3.8602605594670902E-3</v>
      </c>
    </row>
    <row r="12" spans="1:23">
      <c r="A12" s="1">
        <f>Data!A12</f>
        <v>43053</v>
      </c>
      <c r="B12" t="str">
        <f>Data!B12</f>
        <v>128012.SZ</v>
      </c>
      <c r="C12" t="str">
        <f>Data!C12</f>
        <v>辉丰转债</v>
      </c>
      <c r="D12" t="str">
        <f>Data!E12</f>
        <v>002496.SZ</v>
      </c>
      <c r="E12" t="str">
        <f>Data!F12</f>
        <v>辉丰股份</v>
      </c>
      <c r="F12" s="6">
        <f>Data!D12</f>
        <v>101.7251</v>
      </c>
      <c r="G12" s="6">
        <f>Data!N12</f>
        <v>97.816465610919394</v>
      </c>
      <c r="H12" s="2">
        <f t="shared" si="1"/>
        <v>3.995885932566634E-2</v>
      </c>
      <c r="I12" s="2">
        <f>IF(Data!V12=0,"",Data!V12)</f>
        <v>0.122165196891485</v>
      </c>
      <c r="J12" s="2">
        <f>IF(Data!W12=0,"",Data!W12)</f>
        <v>3.5456240597755699E-2</v>
      </c>
      <c r="K12" s="2">
        <f t="shared" si="2"/>
        <v>1.021028250673932E-2</v>
      </c>
      <c r="L12" s="2">
        <f>IF(Data!X12=0,"",Data!X12)</f>
        <v>4.2346767505462603E-2</v>
      </c>
      <c r="M12" s="2">
        <f>IF(Data!Y12=0,"",Data!Y12)</f>
        <v>5.3538926385990199E-2</v>
      </c>
      <c r="N12" s="2">
        <f>IF(Data!Z12=0,"",Data!Z12)</f>
        <v>8.5691780458020603E-2</v>
      </c>
      <c r="O12" s="2">
        <f>IF(Data!AA12=0,"",Data!AA12)</f>
        <v>0.11619130332531501</v>
      </c>
      <c r="P12" s="2">
        <f>IF(Data!AB12=0,"",Data!AB12)</f>
        <v>0.120125199315885</v>
      </c>
      <c r="Q12" s="2">
        <f>IF(Data!AC12=0,"",Data!AC12)</f>
        <v>0.119138868816014</v>
      </c>
      <c r="R12" s="2">
        <f>IF(Data!AD12=0,"",Data!AD12)</f>
        <v>0.136227614576926</v>
      </c>
      <c r="S12" s="2">
        <f>IF(Data!AE12=0,"",Data!AE12)</f>
        <v>0.144871117978745</v>
      </c>
      <c r="T12" s="2">
        <f>IF(Data!AF12=0,"",Data!AF12)</f>
        <v>0.147873066221934</v>
      </c>
      <c r="U12" s="2">
        <f>IF(Data!AG12=0,"",Data!AG12)</f>
        <v>0.162764752239382</v>
      </c>
      <c r="V12" s="2">
        <f>IF(Data!AH12=0,"",Data!AH12)</f>
        <v>0.15534119709565899</v>
      </c>
      <c r="W12" s="2">
        <f>IF(Data!AI12=0,"",Data!AI12)</f>
        <v>0.15532088344026601</v>
      </c>
    </row>
    <row r="13" spans="1:23">
      <c r="A13" s="1">
        <f>Data!A13</f>
        <v>43053</v>
      </c>
      <c r="B13" t="str">
        <f>Data!B13</f>
        <v>127003.SZ</v>
      </c>
      <c r="C13" t="str">
        <f>Data!C13</f>
        <v>海印转债</v>
      </c>
      <c r="D13" t="str">
        <f>Data!E13</f>
        <v>000861.SZ</v>
      </c>
      <c r="E13" t="str">
        <f>Data!F13</f>
        <v>海印股份</v>
      </c>
      <c r="F13" s="6">
        <f>Data!D13</f>
        <v>98.693200000000004</v>
      </c>
      <c r="G13" s="6">
        <f>Data!N13</f>
        <v>95.462435525665697</v>
      </c>
      <c r="H13" s="2">
        <f t="shared" si="1"/>
        <v>3.3843306600591649E-2</v>
      </c>
      <c r="I13" s="2">
        <f>IF(Data!V13=0,"",Data!V13)</f>
        <v>1.8295040818209801E-2</v>
      </c>
      <c r="J13" s="2">
        <f>IF(Data!W13=0,"",Data!W13)</f>
        <v>3.2088595545394498E-2</v>
      </c>
      <c r="K13" s="2">
        <f t="shared" si="2"/>
        <v>0.68599929602749887</v>
      </c>
      <c r="L13" s="2">
        <f>IF(Data!X13=0,"",Data!X13)</f>
        <v>3.3091954167593397E-2</v>
      </c>
      <c r="M13" s="2">
        <f>IF(Data!Y13=0,"",Data!Y13)</f>
        <v>2.97541848193183E-2</v>
      </c>
      <c r="N13" s="2">
        <f>IF(Data!Z13=0,"",Data!Z13)</f>
        <v>3.9162021795001098E-2</v>
      </c>
      <c r="O13" s="2">
        <f>IF(Data!AA13=0,"",Data!AA13)</f>
        <v>5.7687370741743398E-2</v>
      </c>
      <c r="P13" s="2">
        <f>IF(Data!AB13=0,"",Data!AB13)</f>
        <v>4.6817892715502102E-2</v>
      </c>
      <c r="Q13" s="2">
        <f>IF(Data!AC13=0,"",Data!AC13)</f>
        <v>4.1137414605961597E-2</v>
      </c>
      <c r="R13" s="2">
        <f>IF(Data!AD13=0,"",Data!AD13)</f>
        <v>3.2156188230803497E-2</v>
      </c>
      <c r="S13" s="2">
        <f>IF(Data!AE13=0,"",Data!AE13)</f>
        <v>2.6890253652761702E-2</v>
      </c>
      <c r="T13" s="2">
        <f>IF(Data!AF13=0,"",Data!AF13)</f>
        <v>1.7570560184235799E-2</v>
      </c>
      <c r="U13" s="2">
        <f>IF(Data!AG13=0,"",Data!AG13)</f>
        <v>-1.6015635281246499E-2</v>
      </c>
      <c r="V13" s="2">
        <f>IF(Data!AH13=0,"",Data!AH13)</f>
        <v>-3.8415136867803699E-2</v>
      </c>
      <c r="W13" s="2">
        <f>IF(Data!AI13=0,"",Data!AI13)</f>
        <v>-3.1705885837871803E-2</v>
      </c>
    </row>
    <row r="14" spans="1:23">
      <c r="A14" s="1">
        <f>Data!A14</f>
        <v>43053</v>
      </c>
      <c r="B14" t="str">
        <f>Data!B14</f>
        <v>128013.SZ</v>
      </c>
      <c r="C14" t="str">
        <f>Data!C14</f>
        <v>洪涛转债</v>
      </c>
      <c r="D14" t="str">
        <f>Data!E14</f>
        <v>002325.SZ</v>
      </c>
      <c r="E14" t="str">
        <f>Data!F14</f>
        <v>洪涛股份</v>
      </c>
      <c r="F14" s="6">
        <f>Data!D14</f>
        <v>98.833799999999997</v>
      </c>
      <c r="G14" s="6">
        <f>Data!N14</f>
        <v>95.879103605619207</v>
      </c>
      <c r="H14" s="2">
        <f t="shared" si="1"/>
        <v>3.0816896312823028E-2</v>
      </c>
      <c r="I14" s="2">
        <f>IF(Data!V14=0,"",Data!V14)</f>
        <v>1.86501891673981E-2</v>
      </c>
      <c r="J14" s="2">
        <f>IF(Data!W14=0,"",Data!W14)</f>
        <v>2.13724888727184E-2</v>
      </c>
      <c r="K14" s="2">
        <f t="shared" si="2"/>
        <v>0.71541338640216789</v>
      </c>
      <c r="L14" s="2">
        <f>IF(Data!X14=0,"",Data!X14)</f>
        <v>2.74371380644815E-2</v>
      </c>
      <c r="M14" s="2">
        <f>IF(Data!Y14=0,"",Data!Y14)</f>
        <v>1.2679846034248E-2</v>
      </c>
      <c r="N14" s="2">
        <f>IF(Data!Z14=0,"",Data!Z14)</f>
        <v>1.53029001022885E-2</v>
      </c>
      <c r="O14" s="2">
        <f>IF(Data!AA14=0,"",Data!AA14)</f>
        <v>2.2656660985190199E-2</v>
      </c>
      <c r="P14" s="2">
        <f>IF(Data!AB14=0,"",Data!AB14)</f>
        <v>-1.6957148188441001E-2</v>
      </c>
      <c r="Q14" s="2">
        <f>IF(Data!AC14=0,"",Data!AC14)</f>
        <v>-2.76886588860982E-3</v>
      </c>
      <c r="R14" s="2">
        <f>IF(Data!AD14=0,"",Data!AD14)</f>
        <v>4.4305270322100299E-2</v>
      </c>
      <c r="S14" s="2">
        <f>IF(Data!AE14=0,"",Data!AE14)</f>
        <v>3.9524308201798697E-2</v>
      </c>
      <c r="T14" s="2">
        <f>IF(Data!AF14=0,"",Data!AF14)</f>
        <v>3.6483496264470297E-2</v>
      </c>
      <c r="U14" s="2">
        <f>IF(Data!AG14=0,"",Data!AG14)</f>
        <v>3.3224476217101603E-2</v>
      </c>
      <c r="V14" s="2">
        <f>IF(Data!AH14=0,"",Data!AH14)</f>
        <v>2.1950859884216401E-2</v>
      </c>
      <c r="W14" s="2">
        <f>IF(Data!AI14=0,"",Data!AI14)</f>
        <v>1.2500417985700001E-2</v>
      </c>
    </row>
    <row r="15" spans="1:23">
      <c r="A15" s="1">
        <f>Data!A15</f>
        <v>43053</v>
      </c>
      <c r="B15" t="str">
        <f>Data!B15</f>
        <v>113011.SH</v>
      </c>
      <c r="C15" t="str">
        <f>Data!C15</f>
        <v>光大转债</v>
      </c>
      <c r="D15" t="str">
        <f>Data!E15</f>
        <v>601818.SH</v>
      </c>
      <c r="E15" t="str">
        <f>Data!F15</f>
        <v>光大银行</v>
      </c>
      <c r="F15" s="6">
        <f>Data!D15</f>
        <v>110.16679999999999</v>
      </c>
      <c r="G15" s="6">
        <f>Data!N15</f>
        <v>97.388565201511696</v>
      </c>
      <c r="H15" s="2">
        <f t="shared" si="1"/>
        <v>0.13120877971708689</v>
      </c>
      <c r="I15" s="2">
        <f>IF(Data!V15=0,"",Data!V15)</f>
        <v>9.0453545030386606E-2</v>
      </c>
      <c r="J15" s="2">
        <f>IF(Data!W15=0,"",Data!W15)</f>
        <v>4.08602103383073E-2</v>
      </c>
      <c r="K15" s="2">
        <f t="shared" si="2"/>
        <v>0.84072229053901004</v>
      </c>
      <c r="L15" s="2">
        <f>IF(Data!X15=0,"",Data!X15)</f>
        <v>0.120807166547891</v>
      </c>
      <c r="M15" s="2">
        <f>IF(Data!Y15=0,"",Data!Y15)</f>
        <v>0.12253664283514</v>
      </c>
      <c r="N15" s="2">
        <f>IF(Data!Z15=0,"",Data!Z15)</f>
        <v>0.13319359986493101</v>
      </c>
      <c r="O15" s="2">
        <f>IF(Data!AA15=0,"",Data!AA15)</f>
        <v>0.13208369334954301</v>
      </c>
      <c r="P15" s="2">
        <f>IF(Data!AB15=0,"",Data!AB15)</f>
        <v>9.1085643397270905E-2</v>
      </c>
      <c r="Q15" s="2">
        <f>IF(Data!AC15=0,"",Data!AC15)</f>
        <v>7.7866760000895999E-2</v>
      </c>
      <c r="R15" s="2">
        <f>IF(Data!AD15=0,"",Data!AD15)</f>
        <v>5.7427387069844099E-2</v>
      </c>
      <c r="S15" s="2">
        <f>IF(Data!AE15=0,"",Data!AE15)</f>
        <v>4.68292408454965E-2</v>
      </c>
      <c r="T15" s="2">
        <f>IF(Data!AF15=0,"",Data!AF15)</f>
        <v>3.6490372317656602E-5</v>
      </c>
      <c r="U15" s="2" t="str">
        <f>IF(Data!AG15=0,"",Data!AG15)</f>
        <v/>
      </c>
      <c r="V15" s="2" t="str">
        <f>IF(Data!AH15=0,"",Data!AH15)</f>
        <v/>
      </c>
      <c r="W15" s="2" t="str">
        <f>IF(Data!AI15=0,"",Data!AI15)</f>
        <v/>
      </c>
    </row>
    <row r="16" spans="1:23">
      <c r="A16" s="1">
        <f>Data!A16</f>
        <v>43053</v>
      </c>
      <c r="B16" t="str">
        <f>Data!B16</f>
        <v>113012.SH</v>
      </c>
      <c r="C16" t="str">
        <f>Data!C16</f>
        <v>骆驼转债</v>
      </c>
      <c r="D16" t="str">
        <f>Data!E16</f>
        <v>601311.SH</v>
      </c>
      <c r="E16" t="str">
        <f>Data!F16</f>
        <v>骆驼股份</v>
      </c>
      <c r="F16" s="6">
        <f>Data!D16</f>
        <v>107.676</v>
      </c>
      <c r="G16" s="6">
        <f>Data!N16</f>
        <v>100.99749081307699</v>
      </c>
      <c r="H16" s="2">
        <f t="shared" si="1"/>
        <v>6.6125496120328142E-2</v>
      </c>
      <c r="I16" s="2">
        <f>IF(Data!V16=0,"",Data!V16)</f>
        <v>5.6874346420905601E-2</v>
      </c>
      <c r="J16" s="2">
        <f>IF(Data!W16=0,"",Data!W16)</f>
        <v>5.4977328104883399E-2</v>
      </c>
      <c r="K16" s="2">
        <f t="shared" si="2"/>
        <v>0.56681538368865025</v>
      </c>
      <c r="L16" s="2">
        <f>IF(Data!X16=0,"",Data!X16)</f>
        <v>5.5779591154669503E-2</v>
      </c>
      <c r="M16" s="2">
        <f>IF(Data!Y16=0,"",Data!Y16)</f>
        <v>5.2016405549834902E-2</v>
      </c>
      <c r="N16" s="2">
        <f>IF(Data!Z16=0,"",Data!Z16)</f>
        <v>7.5619773226017997E-2</v>
      </c>
      <c r="O16" s="2">
        <f>IF(Data!AA16=0,"",Data!AA16)</f>
        <v>0.12573638175951901</v>
      </c>
      <c r="P16" s="2">
        <f>IF(Data!AB16=0,"",Data!AB16)</f>
        <v>8.9843198756180895E-2</v>
      </c>
      <c r="Q16" s="2">
        <f>IF(Data!AC16=0,"",Data!AC16)</f>
        <v>6.2598078293035E-2</v>
      </c>
      <c r="R16" s="2">
        <f>IF(Data!AD16=0,"",Data!AD16)</f>
        <v>4.2383159964510898E-2</v>
      </c>
      <c r="S16" s="2">
        <f>IF(Data!AE16=0,"",Data!AE16)</f>
        <v>-2.9815091547767701E-2</v>
      </c>
      <c r="T16" s="2">
        <f>IF(Data!AF16=0,"",Data!AF16)</f>
        <v>-8.5122756227182197E-2</v>
      </c>
      <c r="U16" s="2" t="str">
        <f>IF(Data!AG16=0,"",Data!AG16)</f>
        <v/>
      </c>
      <c r="V16" s="2" t="str">
        <f>IF(Data!AH16=0,"",Data!AH16)</f>
        <v/>
      </c>
      <c r="W16" s="2" t="str">
        <f>IF(Data!AI16=0,"",Data!AI16)</f>
        <v/>
      </c>
    </row>
    <row r="17" spans="1:23">
      <c r="A17" s="1">
        <f>Data!A17</f>
        <v>43053</v>
      </c>
      <c r="B17" t="str">
        <f>Data!B17</f>
        <v>128014.SZ</v>
      </c>
      <c r="C17" t="str">
        <f>Data!C17</f>
        <v>永东转债</v>
      </c>
      <c r="D17" t="str">
        <f>Data!E17</f>
        <v>002753.SZ</v>
      </c>
      <c r="E17" t="str">
        <f>Data!F17</f>
        <v>永东股份</v>
      </c>
      <c r="F17" s="6">
        <f>Data!D17</f>
        <v>115.6096</v>
      </c>
      <c r="G17" s="6">
        <f>Data!N17</f>
        <v>140.21299464715</v>
      </c>
      <c r="H17" s="2">
        <f t="shared" si="1"/>
        <v>-0.17547157243923894</v>
      </c>
      <c r="I17" s="2">
        <f>IF(Data!V17=0,"",Data!V17)</f>
        <v>-0.166372334813923</v>
      </c>
      <c r="J17" s="2">
        <f>IF(Data!W17=0,"",Data!W17)</f>
        <v>4.0087142213766198E-2</v>
      </c>
      <c r="K17" s="2">
        <f t="shared" si="2"/>
        <v>0.41021714388558594</v>
      </c>
      <c r="L17" s="2">
        <f>IF(Data!X17=0,"",Data!X17)</f>
        <v>-0.187395720557297</v>
      </c>
      <c r="M17" s="2">
        <f>IF(Data!Y17=0,"",Data!Y17)</f>
        <v>-0.19497462749467601</v>
      </c>
      <c r="N17" s="2">
        <f>IF(Data!Z17=0,"",Data!Z17)</f>
        <v>-0.21760487037905199</v>
      </c>
      <c r="O17" s="2">
        <f>IF(Data!AA17=0,"",Data!AA17)</f>
        <v>-0.19981669816610501</v>
      </c>
      <c r="P17" s="2">
        <f>IF(Data!AB17=0,"",Data!AB17)</f>
        <v>-0.145987644996737</v>
      </c>
      <c r="Q17" s="2">
        <f>IF(Data!AC17=0,"",Data!AC17)</f>
        <v>-0.114328520029995</v>
      </c>
      <c r="R17" s="2">
        <f>IF(Data!AD17=0,"",Data!AD17)</f>
        <v>-0.13443527145815501</v>
      </c>
      <c r="S17" s="2">
        <f>IF(Data!AE17=0,"",Data!AE17)</f>
        <v>-0.13339305896874201</v>
      </c>
      <c r="T17" s="2" t="str">
        <f>IF(Data!AF17=0,"",Data!AF17)</f>
        <v/>
      </c>
      <c r="U17" s="2" t="str">
        <f>IF(Data!AG17=0,"",Data!AG17)</f>
        <v/>
      </c>
      <c r="V17" s="2" t="str">
        <f>IF(Data!AH17=0,"",Data!AH17)</f>
        <v/>
      </c>
      <c r="W17" s="2" t="str">
        <f>IF(Data!AI17=0,"",Data!AI17)</f>
        <v/>
      </c>
    </row>
    <row r="18" spans="1:23">
      <c r="A18" s="1">
        <f>Data!A18</f>
        <v>43053</v>
      </c>
      <c r="B18" t="str">
        <f>Data!B18</f>
        <v>127004.SZ</v>
      </c>
      <c r="C18" t="str">
        <f>Data!C18</f>
        <v>模塑转债</v>
      </c>
      <c r="D18" t="str">
        <f>Data!E18</f>
        <v>000700.SZ</v>
      </c>
      <c r="E18" t="str">
        <f>Data!F18</f>
        <v>模塑科技</v>
      </c>
      <c r="F18" s="6">
        <f>Data!D18</f>
        <v>102.0026</v>
      </c>
      <c r="G18" s="6">
        <f>Data!N18</f>
        <v>106.25251753224499</v>
      </c>
      <c r="H18" s="2">
        <f t="shared" si="1"/>
        <v>-3.9998276096895768E-2</v>
      </c>
      <c r="I18" s="2">
        <f>IF(Data!V18=0,"",Data!V18)</f>
        <v>-2.1463240328932098E-2</v>
      </c>
      <c r="J18" s="2">
        <f>IF(Data!W18=0,"",Data!W18)</f>
        <v>2.96636935213235E-2</v>
      </c>
      <c r="K18" s="2">
        <f t="shared" si="2"/>
        <v>0.26603833053053039</v>
      </c>
      <c r="L18" s="2">
        <f>IF(Data!X18=0,"",Data!X18)</f>
        <v>-3.2240976231716997E-2</v>
      </c>
      <c r="M18" s="2">
        <f>IF(Data!Y18=0,"",Data!Y18)</f>
        <v>-2.37130000132788E-2</v>
      </c>
      <c r="N18" s="2">
        <f>IF(Data!Z18=0,"",Data!Z18)</f>
        <v>-1.7054697728686699E-3</v>
      </c>
      <c r="O18" s="2">
        <f>IF(Data!AA18=0,"",Data!AA18)</f>
        <v>1.91065485340775E-3</v>
      </c>
      <c r="P18" s="2">
        <f>IF(Data!AB18=0,"",Data!AB18)</f>
        <v>-2.1785221505937299E-2</v>
      </c>
      <c r="Q18" s="2">
        <f>IF(Data!AC18=0,"",Data!AC18)</f>
        <v>-5.9545520923803601E-2</v>
      </c>
      <c r="R18" s="2" t="str">
        <f>IF(Data!AD18=0,"",Data!AD18)</f>
        <v/>
      </c>
      <c r="S18" s="2" t="str">
        <f>IF(Data!AE18=0,"",Data!AE18)</f>
        <v/>
      </c>
      <c r="T18" s="2" t="str">
        <f>IF(Data!AF18=0,"",Data!AF18)</f>
        <v/>
      </c>
      <c r="U18" s="2" t="str">
        <f>IF(Data!AG18=0,"",Data!AG18)</f>
        <v/>
      </c>
      <c r="V18" s="2" t="str">
        <f>IF(Data!AH18=0,"",Data!AH18)</f>
        <v/>
      </c>
      <c r="W18" s="2" t="str">
        <f>IF(Data!AI18=0,"",Data!AI18)</f>
        <v/>
      </c>
    </row>
    <row r="19" spans="1:23">
      <c r="A19" s="1">
        <f>Data!A19</f>
        <v>43053</v>
      </c>
      <c r="B19" t="str">
        <f>Data!B19</f>
        <v>128015.SZ</v>
      </c>
      <c r="C19" t="str">
        <f>Data!C19</f>
        <v>久其转债</v>
      </c>
      <c r="D19" t="str">
        <f>Data!E19</f>
        <v>002279.SZ</v>
      </c>
      <c r="E19" t="str">
        <f>Data!F19</f>
        <v>久其软件</v>
      </c>
      <c r="F19" s="6">
        <f>Data!D19</f>
        <v>109.71850000000001</v>
      </c>
      <c r="G19" s="6">
        <f>Data!N19</f>
        <v>110.402957338609</v>
      </c>
      <c r="H19" s="2">
        <f t="shared" si="1"/>
        <v>-6.1996286613024143E-3</v>
      </c>
      <c r="I19" s="2">
        <f>IF(Data!V19=0,"",Data!V19)</f>
        <v>-2.74549438299641E-2</v>
      </c>
      <c r="J19" s="2">
        <f>IF(Data!W19=0,"",Data!W19)</f>
        <v>5.4589632961689998E-2</v>
      </c>
      <c r="K19" s="2">
        <f t="shared" si="2"/>
        <v>0.65149707438738014</v>
      </c>
      <c r="L19" s="2">
        <f>IF(Data!X19=0,"",Data!X19)</f>
        <v>-1.03975875231682E-2</v>
      </c>
      <c r="M19" s="2">
        <f>IF(Data!Y19=0,"",Data!Y19)</f>
        <v>-1.0633665627982101E-2</v>
      </c>
      <c r="N19" s="2">
        <f>IF(Data!Z19=0,"",Data!Z19)</f>
        <v>-3.4637958851108899E-3</v>
      </c>
      <c r="O19" s="2">
        <f>IF(Data!AA19=0,"",Data!AA19)</f>
        <v>9.8117099432126608E-3</v>
      </c>
      <c r="P19" s="2">
        <f>IF(Data!AB19=0,"",Data!AB19)</f>
        <v>-2.5139678069161099E-2</v>
      </c>
      <c r="Q19" s="2">
        <f>IF(Data!AC19=0,"",Data!AC19)</f>
        <v>-0.137225709541934</v>
      </c>
      <c r="R19" s="2" t="str">
        <f>IF(Data!AD19=0,"",Data!AD19)</f>
        <v/>
      </c>
      <c r="S19" s="2" t="str">
        <f>IF(Data!AE19=0,"",Data!AE19)</f>
        <v/>
      </c>
      <c r="T19" s="2" t="str">
        <f>IF(Data!AF19=0,"",Data!AF19)</f>
        <v/>
      </c>
      <c r="U19" s="2" t="str">
        <f>IF(Data!AG19=0,"",Data!AG19)</f>
        <v/>
      </c>
      <c r="V19" s="2" t="str">
        <f>IF(Data!AH19=0,"",Data!AH19)</f>
        <v/>
      </c>
      <c r="W19" s="2" t="str">
        <f>IF(Data!AI19=0,"",Data!AI19)</f>
        <v/>
      </c>
    </row>
    <row r="20" spans="1:23">
      <c r="A20" s="1">
        <f>Data!A20</f>
        <v>43053</v>
      </c>
      <c r="B20" t="str">
        <f>Data!B20</f>
        <v>113013.SH</v>
      </c>
      <c r="C20" t="str">
        <f>Data!C20</f>
        <v>国君转债</v>
      </c>
      <c r="D20" t="str">
        <f>Data!E20</f>
        <v>601211.SH</v>
      </c>
      <c r="E20" t="str">
        <f>Data!F20</f>
        <v>国泰君安</v>
      </c>
      <c r="F20" s="6">
        <f>Data!D20</f>
        <v>118.3082</v>
      </c>
      <c r="G20" s="6">
        <f>Data!N20</f>
        <v>105.901040470616</v>
      </c>
      <c r="H20" s="2">
        <f t="shared" si="1"/>
        <v>0.11715805127359991</v>
      </c>
      <c r="I20" s="2">
        <f>IF(Data!V20=0,"",Data!V20)</f>
        <v>0.114192728213261</v>
      </c>
      <c r="J20" s="2">
        <f>IF(Data!W20=0,"",Data!W20)</f>
        <v>6.3667454682007504E-2</v>
      </c>
      <c r="K20" s="2">
        <f t="shared" si="2"/>
        <v>0.5185740923401535</v>
      </c>
      <c r="L20" s="2">
        <f>IF(Data!X20=0,"",Data!X20)</f>
        <v>0.102314145920512</v>
      </c>
      <c r="M20" s="2">
        <f>IF(Data!Y20=0,"",Data!Y20)</f>
        <v>0.117288118613118</v>
      </c>
      <c r="N20" s="2">
        <f>IF(Data!Z20=0,"",Data!Z20)</f>
        <v>0.13452676866896199</v>
      </c>
      <c r="O20" s="2">
        <f>IF(Data!AA20=0,"",Data!AA20)</f>
        <v>0.16736768959904</v>
      </c>
      <c r="P20" s="2">
        <f>IF(Data!AB20=0,"",Data!AB20)</f>
        <v>2.1023623783100499E-2</v>
      </c>
      <c r="Q20" s="2" t="str">
        <f>IF(Data!AC20=0,"",Data!AC20)</f>
        <v/>
      </c>
      <c r="R20" s="2" t="str">
        <f>IF(Data!AD20=0,"",Data!AD20)</f>
        <v/>
      </c>
      <c r="S20" s="2" t="str">
        <f>IF(Data!AE20=0,"",Data!AE20)</f>
        <v/>
      </c>
      <c r="T20" s="2" t="str">
        <f>IF(Data!AF20=0,"",Data!AF20)</f>
        <v/>
      </c>
      <c r="U20" s="2" t="str">
        <f>IF(Data!AG20=0,"",Data!AG20)</f>
        <v/>
      </c>
      <c r="V20" s="2" t="str">
        <f>IF(Data!AH20=0,"",Data!AH20)</f>
        <v/>
      </c>
      <c r="W20" s="2" t="str">
        <f>IF(Data!AI20=0,"",Data!AI20)</f>
        <v/>
      </c>
    </row>
    <row r="21" spans="1:23">
      <c r="A21" s="1">
        <f>Data!A21</f>
        <v>43053</v>
      </c>
      <c r="B21" t="str">
        <f>Data!B21</f>
        <v>128016.SZ</v>
      </c>
      <c r="C21" t="str">
        <f>Data!C21</f>
        <v>雨虹转债</v>
      </c>
      <c r="D21" t="str">
        <f>Data!E21</f>
        <v>002271.SZ</v>
      </c>
      <c r="E21" t="str">
        <f>Data!F21</f>
        <v>东方雨虹</v>
      </c>
      <c r="F21" s="6">
        <f>Data!D21</f>
        <v>117.9081</v>
      </c>
      <c r="G21" s="6">
        <f>Data!N21</f>
        <v>117.954237294355</v>
      </c>
      <c r="H21" s="2">
        <f t="shared" si="1"/>
        <v>-3.9114571390819197E-4</v>
      </c>
      <c r="I21" s="2">
        <f>IF(Data!V21=0,"",Data!V21)</f>
        <v>-7.46412933516587E-2</v>
      </c>
      <c r="J21" s="2">
        <f>IF(Data!W21=0,"",Data!W21)</f>
        <v>8.0022651414644902E-2</v>
      </c>
      <c r="K21" s="2">
        <f t="shared" si="2"/>
        <v>0.8232609728148621</v>
      </c>
      <c r="L21" s="2">
        <f>IF(Data!X21=0,"",Data!X21)</f>
        <v>-3.5867339298894401E-3</v>
      </c>
      <c r="M21" s="2">
        <f>IF(Data!Y21=0,"",Data!Y21)</f>
        <v>-9.2539436110872494E-2</v>
      </c>
      <c r="N21" s="2">
        <f>IF(Data!Z21=0,"",Data!Z21)</f>
        <v>-0.15589672681387001</v>
      </c>
      <c r="O21" s="2" t="str">
        <f>IF(Data!AA21=0,"",Data!AA21)</f>
        <v/>
      </c>
      <c r="P21" s="2" t="str">
        <f>IF(Data!AB21=0,"",Data!AB21)</f>
        <v/>
      </c>
      <c r="Q21" s="2" t="str">
        <f>IF(Data!AC21=0,"",Data!AC21)</f>
        <v/>
      </c>
      <c r="R21" s="2" t="str">
        <f>IF(Data!AD21=0,"",Data!AD21)</f>
        <v/>
      </c>
      <c r="S21" s="2" t="str">
        <f>IF(Data!AE21=0,"",Data!AE21)</f>
        <v/>
      </c>
      <c r="T21" s="2" t="str">
        <f>IF(Data!AF21=0,"",Data!AF21)</f>
        <v/>
      </c>
      <c r="U21" s="2" t="str">
        <f>IF(Data!AG21=0,"",Data!AG21)</f>
        <v/>
      </c>
      <c r="V21" s="2" t="str">
        <f>IF(Data!AH21=0,"",Data!AH21)</f>
        <v/>
      </c>
      <c r="W21" s="2" t="str">
        <f>IF(Data!AI21=0,"",Data!AI21)</f>
        <v/>
      </c>
    </row>
    <row r="22" spans="1:23">
      <c r="A22" s="1">
        <f>Data!A22</f>
        <v>43053</v>
      </c>
      <c r="B22" t="str">
        <f>Data!B22</f>
        <v>113014.SH</v>
      </c>
      <c r="C22" t="str">
        <f>Data!C22</f>
        <v>林洋转债</v>
      </c>
      <c r="D22" t="str">
        <f>Data!E22</f>
        <v>601222.SH</v>
      </c>
      <c r="E22" t="str">
        <f>Data!F22</f>
        <v>林洋能源</v>
      </c>
      <c r="F22" s="6">
        <f>Data!D22</f>
        <v>125.3544</v>
      </c>
      <c r="G22" s="6">
        <f>Data!N22</f>
        <v>133.91820323577599</v>
      </c>
      <c r="H22" s="2">
        <f t="shared" si="1"/>
        <v>-6.3948014749709459E-2</v>
      </c>
      <c r="I22" s="2">
        <f>IF(Data!V22=0,"",Data!V22)</f>
        <v>-0.12105616521377301</v>
      </c>
      <c r="J22" s="2">
        <f>IF(Data!W22=0,"",Data!W22)</f>
        <v>3.0089053589685801E-2</v>
      </c>
      <c r="K22" s="2">
        <f t="shared" si="2"/>
        <v>0.97115004737467014</v>
      </c>
      <c r="L22" s="2">
        <f>IF(Data!X22=0,"",Data!X22)</f>
        <v>-0.12021296025130999</v>
      </c>
      <c r="M22" s="2">
        <f>IF(Data!Y22=0,"",Data!Y22)</f>
        <v>-0.12386684842198201</v>
      </c>
      <c r="N22" s="2" t="str">
        <f>IF(Data!Z22=0,"",Data!Z22)</f>
        <v/>
      </c>
      <c r="O22" s="2" t="str">
        <f>IF(Data!AA22=0,"",Data!AA22)</f>
        <v/>
      </c>
      <c r="P22" s="2" t="str">
        <f>IF(Data!AB22=0,"",Data!AB22)</f>
        <v/>
      </c>
      <c r="Q22" s="2" t="str">
        <f>IF(Data!AC22=0,"",Data!AC22)</f>
        <v/>
      </c>
      <c r="R22" s="2" t="str">
        <f>IF(Data!AD22=0,"",Data!AD22)</f>
        <v/>
      </c>
      <c r="S22" s="2" t="str">
        <f>IF(Data!AE22=0,"",Data!AE22)</f>
        <v/>
      </c>
      <c r="T22" s="2" t="str">
        <f>IF(Data!AF22=0,"",Data!AF22)</f>
        <v/>
      </c>
      <c r="U22" s="2" t="str">
        <f>IF(Data!AG22=0,"",Data!AG22)</f>
        <v/>
      </c>
      <c r="V22" s="2" t="str">
        <f>IF(Data!AH22=0,"",Data!AH22)</f>
        <v/>
      </c>
      <c r="W22" s="2" t="str">
        <f>IF(Data!AI22=0,"",Data!AI22)</f>
        <v/>
      </c>
    </row>
    <row r="23" spans="1:23">
      <c r="A23" s="1">
        <f>Data!A23</f>
        <v>43053</v>
      </c>
      <c r="B23" t="str">
        <f>Data!B23</f>
        <v>128017.SZ</v>
      </c>
      <c r="C23" t="str">
        <f>Data!C23</f>
        <v>金禾转债</v>
      </c>
      <c r="D23" t="str">
        <f>Data!E23</f>
        <v>002597.SZ</v>
      </c>
      <c r="E23" t="str">
        <f>Data!F23</f>
        <v>金禾实业</v>
      </c>
      <c r="F23" s="6">
        <f>Data!D23</f>
        <v>99.988500000000002</v>
      </c>
      <c r="G23" s="6">
        <f>Data!N23</f>
        <v>114.243584865732</v>
      </c>
      <c r="H23" s="2">
        <f t="shared" si="1"/>
        <v>-0.12477798978809784</v>
      </c>
      <c r="I23" s="2">
        <f>IF(Data!V23=0,"",Data!V23)</f>
        <v>-0.10985157766451201</v>
      </c>
      <c r="J23" s="2">
        <f>IF(Data!W23=0,"",Data!W23)</f>
        <v>1.41984638345164E-2</v>
      </c>
      <c r="K23" s="2">
        <f t="shared" si="2"/>
        <v>0.14656741310981652</v>
      </c>
      <c r="L23" s="2">
        <f>IF(Data!X23=0,"",Data!X23)</f>
        <v>-0.10985157766451201</v>
      </c>
      <c r="M23" s="2" t="str">
        <f>IF(Data!Y23=0,"",Data!Y23)</f>
        <v/>
      </c>
      <c r="N23" s="2" t="str">
        <f>IF(Data!Z23=0,"",Data!Z23)</f>
        <v/>
      </c>
      <c r="O23" s="2" t="str">
        <f>IF(Data!AA23=0,"",Data!AA23)</f>
        <v/>
      </c>
      <c r="P23" s="2" t="str">
        <f>IF(Data!AB23=0,"",Data!AB23)</f>
        <v/>
      </c>
      <c r="Q23" s="2" t="str">
        <f>IF(Data!AC23=0,"",Data!AC23)</f>
        <v/>
      </c>
      <c r="R23" s="2" t="str">
        <f>IF(Data!AD23=0,"",Data!AD23)</f>
        <v/>
      </c>
      <c r="S23" s="2" t="str">
        <f>IF(Data!AE23=0,"",Data!AE23)</f>
        <v/>
      </c>
      <c r="T23" s="2" t="str">
        <f>IF(Data!AF23=0,"",Data!AF23)</f>
        <v/>
      </c>
      <c r="U23" s="2" t="str">
        <f>IF(Data!AG23=0,"",Data!AG23)</f>
        <v/>
      </c>
      <c r="V23" s="2" t="str">
        <f>IF(Data!AH23=0,"",Data!AH23)</f>
        <v/>
      </c>
      <c r="W23" s="2" t="str">
        <f>IF(Data!AI23=0,"",Data!AI23)</f>
        <v/>
      </c>
    </row>
    <row r="24" spans="1:23">
      <c r="A24" s="1">
        <f>Data!A24</f>
        <v>43053</v>
      </c>
      <c r="B24" t="str">
        <f>Data!B24</f>
        <v>113015.SH</v>
      </c>
      <c r="C24" t="str">
        <f>Data!C24</f>
        <v>隆基转债</v>
      </c>
      <c r="D24" t="str">
        <f>Data!E24</f>
        <v>601012.SH</v>
      </c>
      <c r="E24" t="str">
        <f>Data!F24</f>
        <v>隆基股份</v>
      </c>
      <c r="F24" s="6">
        <f>Data!D24</f>
        <v>99.9893</v>
      </c>
      <c r="G24" s="6">
        <f>Data!N24</f>
        <v>141.340259297209</v>
      </c>
      <c r="H24" s="2">
        <f t="shared" si="1"/>
        <v>-0.29256320529493707</v>
      </c>
      <c r="I24" s="2">
        <f>IF(Data!V24=0,"",Data!V24)</f>
        <v>-0.246236540729596</v>
      </c>
      <c r="J24" s="2">
        <f>IF(Data!W24=0,"",Data!W24)</f>
        <v>4.5198557423848797E-2</v>
      </c>
      <c r="K24" s="2">
        <f t="shared" si="2"/>
        <v>0.15269128593706927</v>
      </c>
      <c r="L24" s="2">
        <f>IF(Data!X24=0,"",Data!X24)</f>
        <v>-0.246236540729596</v>
      </c>
      <c r="M24" s="2" t="str">
        <f>IF(Data!Y24=0,"",Data!Y24)</f>
        <v/>
      </c>
      <c r="N24" s="2" t="str">
        <f>IF(Data!Z24=0,"",Data!Z24)</f>
        <v/>
      </c>
      <c r="O24" s="2" t="str">
        <f>IF(Data!AA24=0,"",Data!AA24)</f>
        <v/>
      </c>
      <c r="P24" s="2" t="str">
        <f>IF(Data!AB24=0,"",Data!AB24)</f>
        <v/>
      </c>
      <c r="Q24" s="2" t="str">
        <f>IF(Data!AC24=0,"",Data!AC24)</f>
        <v/>
      </c>
      <c r="R24" s="2" t="str">
        <f>IF(Data!AD24=0,"",Data!AD24)</f>
        <v/>
      </c>
      <c r="S24" s="2" t="str">
        <f>IF(Data!AE24=0,"",Data!AE24)</f>
        <v/>
      </c>
      <c r="T24" s="2" t="str">
        <f>IF(Data!AF24=0,"",Data!AF24)</f>
        <v/>
      </c>
      <c r="U24" s="2" t="str">
        <f>IF(Data!AG24=0,"",Data!AG24)</f>
        <v/>
      </c>
      <c r="V24" s="2" t="str">
        <f>IF(Data!AH24=0,"",Data!AH24)</f>
        <v/>
      </c>
      <c r="W24" s="2" t="str">
        <f>IF(Data!AI24=0,"",Data!AI24)</f>
        <v/>
      </c>
    </row>
    <row r="25" spans="1:23">
      <c r="A25" s="1">
        <f>Data!A25</f>
        <v>43053</v>
      </c>
      <c r="B25" t="str">
        <f>Data!B25</f>
        <v>113016.SH</v>
      </c>
      <c r="C25" t="str">
        <f>Data!C25</f>
        <v>小康转债</v>
      </c>
      <c r="D25" t="str">
        <f>Data!E25</f>
        <v>601127.SH</v>
      </c>
      <c r="E25" t="str">
        <f>Data!F25</f>
        <v>小康股份</v>
      </c>
      <c r="F25" s="6">
        <f>Data!D25</f>
        <v>99.992599999999996</v>
      </c>
      <c r="G25" s="6">
        <f>Data!N25</f>
        <v>127.38068355365399</v>
      </c>
      <c r="H25" s="2">
        <f t="shared" si="1"/>
        <v>-0.21500970782683759</v>
      </c>
      <c r="I25" s="2">
        <f>IF(Data!V25=0,"",Data!V25)</f>
        <v>-0.20664455321897601</v>
      </c>
      <c r="J25" s="2">
        <f>IF(Data!W25=0,"",Data!W25)</f>
        <v>9.7618967112689005E-3</v>
      </c>
      <c r="K25" s="2">
        <f t="shared" si="2"/>
        <v>0.19574483026951403</v>
      </c>
      <c r="L25" s="2">
        <f>IF(Data!X25=0,"",Data!X25)</f>
        <v>-0.20664455321897601</v>
      </c>
      <c r="M25" s="2" t="str">
        <f>IF(Data!Y25=0,"",Data!Y25)</f>
        <v/>
      </c>
      <c r="N25" s="2" t="str">
        <f>IF(Data!Z25=0,"",Data!Z25)</f>
        <v/>
      </c>
      <c r="O25" s="2" t="str">
        <f>IF(Data!AA25=0,"",Data!AA25)</f>
        <v/>
      </c>
      <c r="P25" s="2" t="str">
        <f>IF(Data!AB25=0,"",Data!AB25)</f>
        <v/>
      </c>
      <c r="Q25" s="2" t="str">
        <f>IF(Data!AC25=0,"",Data!AC25)</f>
        <v/>
      </c>
      <c r="R25" s="2" t="str">
        <f>IF(Data!AD25=0,"",Data!AD25)</f>
        <v/>
      </c>
      <c r="S25" s="2" t="str">
        <f>IF(Data!AE25=0,"",Data!AE25)</f>
        <v/>
      </c>
      <c r="T25" s="2" t="str">
        <f>IF(Data!AF25=0,"",Data!AF25)</f>
        <v/>
      </c>
      <c r="U25" s="2" t="str">
        <f>IF(Data!AG25=0,"",Data!AG25)</f>
        <v/>
      </c>
      <c r="V25" s="2" t="str">
        <f>IF(Data!AH25=0,"",Data!AH25)</f>
        <v/>
      </c>
      <c r="W25" s="2" t="str">
        <f>IF(Data!AI25=0,"",Data!AI25)</f>
        <v/>
      </c>
    </row>
    <row r="26" spans="1:23">
      <c r="A26" s="1">
        <f>Data!A26</f>
        <v>43053</v>
      </c>
      <c r="B26" t="str">
        <f>Data!B26</f>
        <v>128018.SZ</v>
      </c>
      <c r="C26" t="str">
        <f>Data!C26</f>
        <v>时达转债</v>
      </c>
      <c r="D26" t="str">
        <f>Data!E26</f>
        <v>002527.SZ</v>
      </c>
      <c r="E26" t="str">
        <f>Data!F26</f>
        <v>新时达</v>
      </c>
      <c r="F26" s="6">
        <f>Data!D26</f>
        <v>99.992599999999996</v>
      </c>
      <c r="G26" s="6">
        <f>Data!N26</f>
        <v>113.670117154618</v>
      </c>
      <c r="H26" s="2">
        <f t="shared" si="1"/>
        <v>-0.12032641029139934</v>
      </c>
      <c r="I26" s="2">
        <f>IF(Data!V26=0,"",Data!V26)</f>
        <v>-0.10423067395628299</v>
      </c>
      <c r="J26" s="2">
        <f>IF(Data!W26=0,"",Data!W26)</f>
        <v>1.79836870301836E-2</v>
      </c>
      <c r="K26" s="2">
        <f t="shared" si="2"/>
        <v>0.18538854365508992</v>
      </c>
      <c r="L26" s="2">
        <f>IF(Data!X26=0,"",Data!X26)</f>
        <v>-0.10423067395628299</v>
      </c>
      <c r="M26" s="2" t="str">
        <f>IF(Data!Y26=0,"",Data!Y26)</f>
        <v/>
      </c>
      <c r="N26" s="2" t="str">
        <f>IF(Data!Z26=0,"",Data!Z26)</f>
        <v/>
      </c>
      <c r="O26" s="2" t="str">
        <f>IF(Data!AA26=0,"",Data!AA26)</f>
        <v/>
      </c>
      <c r="P26" s="2" t="str">
        <f>IF(Data!AB26=0,"",Data!AB26)</f>
        <v/>
      </c>
      <c r="Q26" s="2" t="str">
        <f>IF(Data!AC26=0,"",Data!AC26)</f>
        <v/>
      </c>
      <c r="R26" s="2" t="str">
        <f>IF(Data!AD26=0,"",Data!AD26)</f>
        <v/>
      </c>
      <c r="S26" s="2" t="str">
        <f>IF(Data!AE26=0,"",Data!AE26)</f>
        <v/>
      </c>
      <c r="T26" s="2" t="str">
        <f>IF(Data!AF26=0,"",Data!AF26)</f>
        <v/>
      </c>
      <c r="U26" s="2" t="str">
        <f>IF(Data!AG26=0,"",Data!AG26)</f>
        <v/>
      </c>
      <c r="V26" s="2" t="str">
        <f>IF(Data!AH26=0,"",Data!AH26)</f>
        <v/>
      </c>
      <c r="W26" s="2" t="str">
        <f>IF(Data!AI26=0,"",Data!AI26)</f>
        <v/>
      </c>
    </row>
    <row r="27" spans="1:23">
      <c r="A27" s="1">
        <f>Data!A27</f>
        <v>43053</v>
      </c>
      <c r="B27" t="str">
        <f>Data!B27</f>
        <v>128019.SZ</v>
      </c>
      <c r="C27" t="str">
        <f>Data!C27</f>
        <v>久立转2</v>
      </c>
      <c r="D27" t="str">
        <f>Data!E27</f>
        <v>002318.SZ</v>
      </c>
      <c r="E27" t="str">
        <f>Data!F27</f>
        <v>久立特材</v>
      </c>
      <c r="F27" s="6">
        <f>Data!D27</f>
        <v>99.994200000000006</v>
      </c>
      <c r="G27" s="6">
        <f>Data!N27</f>
        <v>106.650398517322</v>
      </c>
      <c r="H27" s="2">
        <f t="shared" si="1"/>
        <v>-6.2411379702823178E-2</v>
      </c>
      <c r="I27" s="2">
        <f>IF(Data!V27=0,"",Data!V27)</f>
        <v>-8.7507742809223896E-2</v>
      </c>
      <c r="J27" s="2">
        <f>IF(Data!W27=0,"",Data!W27)</f>
        <v>1.98970619830902E-2</v>
      </c>
      <c r="K27" s="2">
        <f t="shared" si="2"/>
        <v>0.89640140883662844</v>
      </c>
      <c r="L27" s="2">
        <f>IF(Data!X27=0,"",Data!X27)</f>
        <v>-8.7507742809223896E-2</v>
      </c>
      <c r="M27" s="2" t="str">
        <f>IF(Data!Y27=0,"",Data!Y27)</f>
        <v/>
      </c>
      <c r="N27" s="2" t="str">
        <f>IF(Data!Z27=0,"",Data!Z27)</f>
        <v/>
      </c>
      <c r="O27" s="2" t="str">
        <f>IF(Data!AA27=0,"",Data!AA27)</f>
        <v/>
      </c>
      <c r="P27" s="2" t="str">
        <f>IF(Data!AB27=0,"",Data!AB27)</f>
        <v/>
      </c>
      <c r="Q27" s="2" t="str">
        <f>IF(Data!AC27=0,"",Data!AC27)</f>
        <v/>
      </c>
      <c r="R27" s="2" t="str">
        <f>IF(Data!AD27=0,"",Data!AD27)</f>
        <v/>
      </c>
      <c r="S27" s="2" t="str">
        <f>IF(Data!AE27=0,"",Data!AE27)</f>
        <v/>
      </c>
      <c r="T27" s="2" t="str">
        <f>IF(Data!AF27=0,"",Data!AF27)</f>
        <v/>
      </c>
      <c r="U27" s="2" t="str">
        <f>IF(Data!AG27=0,"",Data!AG27)</f>
        <v/>
      </c>
      <c r="V27" s="2" t="str">
        <f>IF(Data!AH27=0,"",Data!AH27)</f>
        <v/>
      </c>
      <c r="W27" s="2" t="str">
        <f>IF(Data!AI27=0,"",Data!AI27)</f>
        <v/>
      </c>
    </row>
    <row r="28" spans="1:23">
      <c r="A28" s="1">
        <f>Data!A28</f>
        <v>43053</v>
      </c>
      <c r="B28" t="str">
        <f>Data!B28</f>
        <v>113502.SH</v>
      </c>
      <c r="C28" t="str">
        <f>Data!C28</f>
        <v>嘉澳转债</v>
      </c>
      <c r="D28" t="str">
        <f>Data!E28</f>
        <v>603822.SH</v>
      </c>
      <c r="E28" t="str">
        <f>Data!F28</f>
        <v>嘉澳环保</v>
      </c>
      <c r="F28" s="6">
        <f>Data!D28</f>
        <v>99.994500000000002</v>
      </c>
      <c r="G28" s="6">
        <f>Data!N28</f>
        <v>131.86284650561799</v>
      </c>
      <c r="H28" s="2">
        <f t="shared" si="1"/>
        <v>-0.24167798094863857</v>
      </c>
      <c r="I28" s="2">
        <f>IF(Data!V28=0,"",Data!V28)</f>
        <v>-0.25856164778801799</v>
      </c>
      <c r="J28" s="2">
        <f>IF(Data!W28=0,"",Data!W28)</f>
        <v>1.5698084634226998E-2</v>
      </c>
      <c r="K28" s="2">
        <f t="shared" si="2"/>
        <v>0.85892990436226213</v>
      </c>
      <c r="L28" s="2">
        <f>IF(Data!X28=0,"",Data!X28)</f>
        <v>-0.25856164778801799</v>
      </c>
      <c r="M28" s="2" t="str">
        <f>IF(Data!Y28=0,"",Data!Y28)</f>
        <v/>
      </c>
      <c r="N28" s="2" t="str">
        <f>IF(Data!Z28=0,"",Data!Z28)</f>
        <v/>
      </c>
      <c r="O28" s="2" t="str">
        <f>IF(Data!AA28=0,"",Data!AA28)</f>
        <v/>
      </c>
      <c r="P28" s="2" t="str">
        <f>IF(Data!AB28=0,"",Data!AB28)</f>
        <v/>
      </c>
      <c r="Q28" s="2" t="str">
        <f>IF(Data!AC28=0,"",Data!AC28)</f>
        <v/>
      </c>
      <c r="R28" s="2" t="str">
        <f>IF(Data!AD28=0,"",Data!AD28)</f>
        <v/>
      </c>
      <c r="S28" s="2" t="str">
        <f>IF(Data!AE28=0,"",Data!AE28)</f>
        <v/>
      </c>
      <c r="T28" s="2" t="str">
        <f>IF(Data!AF28=0,"",Data!AF28)</f>
        <v/>
      </c>
      <c r="U28" s="2" t="str">
        <f>IF(Data!AG28=0,"",Data!AG28)</f>
        <v/>
      </c>
      <c r="V28" s="2" t="str">
        <f>IF(Data!AH28=0,"",Data!AH28)</f>
        <v/>
      </c>
      <c r="W28" s="2" t="str">
        <f>IF(Data!AI28=0,"",Data!AI28)</f>
        <v/>
      </c>
    </row>
    <row r="29" spans="1:23">
      <c r="A29" s="1">
        <f>Data!A29</f>
        <v>43053</v>
      </c>
      <c r="B29" t="str">
        <f>Data!B29</f>
        <v>110038.SH</v>
      </c>
      <c r="C29" t="str">
        <f>Data!C29</f>
        <v>济川转债</v>
      </c>
      <c r="D29" t="str">
        <f>Data!E29</f>
        <v>600566.SH</v>
      </c>
      <c r="E29" t="str">
        <f>Data!F29</f>
        <v>济川药业</v>
      </c>
      <c r="F29" s="6">
        <f>Data!D29</f>
        <v>99.998900000000006</v>
      </c>
      <c r="G29" s="6">
        <f>Data!N29</f>
        <v>111.343898363313</v>
      </c>
      <c r="H29" s="2">
        <f t="shared" si="1"/>
        <v>-0.1018915138600095</v>
      </c>
      <c r="I29" s="2">
        <f>IF(Data!V29=0,"",Data!V29)</f>
        <v>-0.112399665506489</v>
      </c>
      <c r="J29" s="2">
        <f>IF(Data!W29=0,"",Data!W29)</f>
        <v>1.4743553504171201E-2</v>
      </c>
      <c r="K29" s="2">
        <f t="shared" si="2"/>
        <v>0.76199312974720246</v>
      </c>
      <c r="L29" s="2">
        <f>IF(Data!X29=0,"",Data!X29)</f>
        <v>-0.112399665506489</v>
      </c>
      <c r="M29" s="2" t="str">
        <f>IF(Data!Y29=0,"",Data!Y29)</f>
        <v/>
      </c>
      <c r="N29" s="2" t="str">
        <f>IF(Data!Z29=0,"",Data!Z29)</f>
        <v/>
      </c>
      <c r="O29" s="2" t="str">
        <f>IF(Data!AA29=0,"",Data!AA29)</f>
        <v/>
      </c>
      <c r="P29" s="2" t="str">
        <f>IF(Data!AB29=0,"",Data!AB29)</f>
        <v/>
      </c>
      <c r="Q29" s="2" t="str">
        <f>IF(Data!AC29=0,"",Data!AC29)</f>
        <v/>
      </c>
      <c r="R29" s="2" t="str">
        <f>IF(Data!AD29=0,"",Data!AD29)</f>
        <v/>
      </c>
      <c r="S29" s="2" t="str">
        <f>IF(Data!AE29=0,"",Data!AE29)</f>
        <v/>
      </c>
      <c r="T29" s="2" t="str">
        <f>IF(Data!AF29=0,"",Data!AF29)</f>
        <v/>
      </c>
      <c r="U29" s="2" t="str">
        <f>IF(Data!AG29=0,"",Data!AG29)</f>
        <v/>
      </c>
      <c r="V29" s="2" t="str">
        <f>IF(Data!AH29=0,"",Data!AH29)</f>
        <v/>
      </c>
      <c r="W29" s="2" t="str">
        <f>IF(Data!AI29=0,"",Data!AI29)</f>
        <v/>
      </c>
    </row>
    <row r="30" spans="1:23">
      <c r="A30" s="1">
        <f>Data!A30</f>
        <v>43053</v>
      </c>
      <c r="B30" t="str">
        <f>Data!B30</f>
        <v>110039.SH</v>
      </c>
      <c r="C30" t="str">
        <f>Data!C30</f>
        <v>宝信转债</v>
      </c>
      <c r="D30" t="str">
        <f>Data!E30</f>
        <v>600845.SH</v>
      </c>
      <c r="E30" t="str">
        <f>Data!F30</f>
        <v>宝信软件</v>
      </c>
      <c r="F30" s="6" t="str">
        <f>Data!D30</f>
        <v>NA</v>
      </c>
      <c r="G30" s="6" t="str">
        <f>Data!N30</f>
        <v>NA</v>
      </c>
      <c r="H30" s="2" t="e">
        <f t="shared" si="1"/>
        <v>#VALUE!</v>
      </c>
      <c r="I30" s="2" t="str">
        <f>IF(Data!V30=0,"",Data!V30)</f>
        <v>NA</v>
      </c>
      <c r="J30" s="2" t="str">
        <f>IF(Data!W30=0,"",Data!W30)</f>
        <v>NA</v>
      </c>
      <c r="K30" s="2" t="str">
        <f t="shared" si="2"/>
        <v/>
      </c>
      <c r="L30" s="2" t="str">
        <f>IF(Data!X30=0,"",Data!X30)</f>
        <v/>
      </c>
      <c r="M30" s="2" t="str">
        <f>IF(Data!Y30=0,"",Data!Y30)</f>
        <v/>
      </c>
      <c r="N30" s="2" t="str">
        <f>IF(Data!Z30=0,"",Data!Z30)</f>
        <v/>
      </c>
      <c r="O30" s="2" t="str">
        <f>IF(Data!AA30=0,"",Data!AA30)</f>
        <v/>
      </c>
      <c r="P30" s="2" t="str">
        <f>IF(Data!AB30=0,"",Data!AB30)</f>
        <v/>
      </c>
      <c r="Q30" s="2" t="str">
        <f>IF(Data!AC30=0,"",Data!AC30)</f>
        <v/>
      </c>
      <c r="R30" s="2" t="str">
        <f>IF(Data!AD30=0,"",Data!AD30)</f>
        <v/>
      </c>
      <c r="S30" s="2" t="str">
        <f>IF(Data!AE30=0,"",Data!AE30)</f>
        <v/>
      </c>
      <c r="T30" s="2" t="str">
        <f>IF(Data!AF30=0,"",Data!AF30)</f>
        <v/>
      </c>
      <c r="U30" s="2" t="str">
        <f>IF(Data!AG30=0,"",Data!AG30)</f>
        <v/>
      </c>
      <c r="V30" s="2" t="str">
        <f>IF(Data!AH30=0,"",Data!AH30)</f>
        <v/>
      </c>
      <c r="W30" s="2" t="str">
        <f>IF(Data!AI30=0,"",Data!AI30)</f>
        <v/>
      </c>
    </row>
    <row r="31" spans="1:23">
      <c r="A31" s="1">
        <f>Data!A31</f>
        <v>43053</v>
      </c>
      <c r="B31" t="str">
        <f>Data!B31</f>
        <v>128020.SZ</v>
      </c>
      <c r="C31" t="str">
        <f>Data!C31</f>
        <v>水晶转债</v>
      </c>
      <c r="D31" t="str">
        <f>Data!E31</f>
        <v>002273.SZ</v>
      </c>
      <c r="E31" t="str">
        <f>Data!F31</f>
        <v>水晶光电</v>
      </c>
      <c r="F31" s="6" t="str">
        <f>Data!D31</f>
        <v>NA</v>
      </c>
      <c r="G31" s="6" t="str">
        <f>Data!N31</f>
        <v>NA</v>
      </c>
      <c r="H31" s="2" t="e">
        <f t="shared" si="1"/>
        <v>#VALUE!</v>
      </c>
      <c r="I31" s="2" t="str">
        <f>IF(Data!V31=0,"",Data!V31)</f>
        <v>NA</v>
      </c>
      <c r="J31" s="2" t="str">
        <f>IF(Data!W31=0,"",Data!W31)</f>
        <v>NA</v>
      </c>
      <c r="K31" s="2" t="str">
        <f t="shared" si="2"/>
        <v/>
      </c>
      <c r="L31" s="2" t="str">
        <f>IF(Data!X31=0,"",Data!X31)</f>
        <v/>
      </c>
      <c r="M31" s="2" t="str">
        <f>IF(Data!Y31=0,"",Data!Y31)</f>
        <v/>
      </c>
      <c r="N31" s="2" t="str">
        <f>IF(Data!Z31=0,"",Data!Z31)</f>
        <v/>
      </c>
      <c r="O31" s="2" t="str">
        <f>IF(Data!AA31=0,"",Data!AA31)</f>
        <v/>
      </c>
      <c r="P31" s="2" t="str">
        <f>IF(Data!AB31=0,"",Data!AB31)</f>
        <v/>
      </c>
      <c r="Q31" s="2" t="str">
        <f>IF(Data!AC31=0,"",Data!AC31)</f>
        <v/>
      </c>
      <c r="R31" s="2" t="str">
        <f>IF(Data!AD31=0,"",Data!AD31)</f>
        <v/>
      </c>
      <c r="S31" s="2" t="str">
        <f>IF(Data!AE31=0,"",Data!AE31)</f>
        <v/>
      </c>
      <c r="T31" s="2" t="str">
        <f>IF(Data!AF31=0,"",Data!AF31)</f>
        <v/>
      </c>
      <c r="U31" s="2" t="str">
        <f>IF(Data!AG31=0,"",Data!AG31)</f>
        <v/>
      </c>
      <c r="V31" s="2" t="str">
        <f>IF(Data!AH31=0,"",Data!AH31)</f>
        <v/>
      </c>
      <c r="W31" s="2" t="str">
        <f>IF(Data!AI31=0,"",Data!AI31)</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41"/>
  <sheetViews>
    <sheetView workbookViewId="0">
      <selection activeCell="H23" sqref="H23"/>
    </sheetView>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76</v>
      </c>
      <c r="B1" t="s">
        <v>70</v>
      </c>
      <c r="C1" t="s">
        <v>70</v>
      </c>
      <c r="D1" t="s">
        <v>72</v>
      </c>
      <c r="E1" t="s">
        <v>73</v>
      </c>
      <c r="F1" t="s">
        <v>97</v>
      </c>
      <c r="G1" t="s">
        <v>81</v>
      </c>
      <c r="H1" s="5" t="str">
        <f>Data!P1</f>
        <v>Delta</v>
      </c>
      <c r="I1" s="4" t="str">
        <f>Data!Q1</f>
        <v>对冲比例</v>
      </c>
      <c r="J1" s="2" t="s">
        <v>99</v>
      </c>
      <c r="K1" t="str">
        <f>Data!R1</f>
        <v>Theta</v>
      </c>
      <c r="L1" t="str">
        <f>Data!S1</f>
        <v>期权流逝</v>
      </c>
      <c r="M1" t="str">
        <f>Data!T1</f>
        <v>溢价流逝</v>
      </c>
      <c r="N1" t="s">
        <v>88</v>
      </c>
      <c r="O1" t="s">
        <v>89</v>
      </c>
    </row>
    <row r="2" spans="1:15">
      <c r="A2" s="1">
        <f>Data!A2</f>
        <v>43053</v>
      </c>
      <c r="B2" t="str">
        <f>Data!B2</f>
        <v>110030.SH</v>
      </c>
      <c r="C2" t="str">
        <f>Data!C2</f>
        <v>格力转债</v>
      </c>
      <c r="D2" t="str">
        <f>Data!E2</f>
        <v>600185.SH</v>
      </c>
      <c r="E2" t="str">
        <f>Data!F2</f>
        <v>格力地产</v>
      </c>
      <c r="F2" s="6">
        <f>Data!L2</f>
        <v>97.957800000000006</v>
      </c>
      <c r="G2" s="6">
        <f>Data!M2</f>
        <v>6.8599045496962798</v>
      </c>
      <c r="H2" s="5">
        <f>Data!P2</f>
        <v>0.393503589478093</v>
      </c>
      <c r="I2" s="3">
        <f>Data!Q2</f>
        <v>5.43513245135488</v>
      </c>
      <c r="J2" t="str">
        <f>ROUND(10*Data!D2,0)&amp;":"&amp;ROUND(Data!G2*I2*10,0)</f>
        <v>1081:323</v>
      </c>
      <c r="K2">
        <f>Data!R2</f>
        <v>-0.225103602469715</v>
      </c>
      <c r="L2" s="6">
        <f>Data!S2</f>
        <v>-1.5441892267350199</v>
      </c>
      <c r="M2" s="6">
        <f>Data!T2</f>
        <v>-4.80747662337662</v>
      </c>
      <c r="N2" s="2">
        <f>Data!J2</f>
        <v>0.25059684167540602</v>
      </c>
      <c r="O2" s="2">
        <f>Data!K2</f>
        <v>0.33932252574504601</v>
      </c>
    </row>
    <row r="3" spans="1:15">
      <c r="A3" s="1">
        <f>Data!A3</f>
        <v>43053</v>
      </c>
      <c r="B3" t="str">
        <f>Data!B3</f>
        <v>113008.SH</v>
      </c>
      <c r="C3" t="str">
        <f>Data!C3</f>
        <v>电气转债</v>
      </c>
      <c r="D3" t="str">
        <f>Data!E3</f>
        <v>601727.SH</v>
      </c>
      <c r="E3" t="str">
        <f>Data!F3</f>
        <v>上海电气</v>
      </c>
      <c r="F3" s="6">
        <f>Data!L3</f>
        <v>94.623999999999995</v>
      </c>
      <c r="G3" s="6">
        <f>Data!M3</f>
        <v>9.2041036099009208</v>
      </c>
      <c r="H3" s="5">
        <f>Data!P3</f>
        <v>0.42877990059532001</v>
      </c>
      <c r="I3" s="3">
        <f>Data!Q3</f>
        <v>4.1348109989905497</v>
      </c>
      <c r="J3" t="str">
        <f>ROUND(10*Data!D3,0)&amp;":"&amp;ROUND(Data!G3*I3*10,0)</f>
        <v>1036:332</v>
      </c>
      <c r="K3">
        <f>Data!R3</f>
        <v>-0.276838134247259</v>
      </c>
      <c r="L3" s="6">
        <f>Data!S3</f>
        <v>-2.5480468707834398</v>
      </c>
      <c r="M3" s="6">
        <f>Data!T3</f>
        <v>-2.7747455319148902</v>
      </c>
      <c r="N3" s="2">
        <f>Data!J3</f>
        <v>0.27264217591343398</v>
      </c>
      <c r="O3" s="2">
        <f>Data!K3</f>
        <v>0.282001971610577</v>
      </c>
    </row>
    <row r="4" spans="1:15">
      <c r="A4" s="1">
        <f>Data!A4</f>
        <v>43053</v>
      </c>
      <c r="B4" t="str">
        <f>Data!B4</f>
        <v>110031.SH</v>
      </c>
      <c r="C4" t="str">
        <f>Data!C4</f>
        <v>航信转债</v>
      </c>
      <c r="D4" t="str">
        <f>Data!E4</f>
        <v>600271.SH</v>
      </c>
      <c r="E4" t="str">
        <f>Data!F4</f>
        <v>航天信息</v>
      </c>
      <c r="F4" s="6">
        <f>Data!L4</f>
        <v>93.256500000000003</v>
      </c>
      <c r="G4" s="6">
        <f>Data!M4</f>
        <v>0.64868446396056001</v>
      </c>
      <c r="H4" s="5">
        <f>Data!P4</f>
        <v>8.20191091075929E-2</v>
      </c>
      <c r="I4" s="3">
        <f>Data!Q4</f>
        <v>0.191633432494376</v>
      </c>
      <c r="J4" t="str">
        <f>ROUND(10*Data!D4,0)&amp;":"&amp;ROUND(Data!G4*I4*10,0)</f>
        <v>1049:39</v>
      </c>
      <c r="K4">
        <f>Data!R4</f>
        <v>-0.20589238965082499</v>
      </c>
      <c r="L4" s="6">
        <f>Data!S4</f>
        <v>-0.133559194414204</v>
      </c>
      <c r="M4" s="6">
        <f>Data!T4</f>
        <v>-3.2545413793103402</v>
      </c>
      <c r="N4" s="2">
        <f>Data!J4</f>
        <v>0.22583188254685599</v>
      </c>
      <c r="O4" s="2">
        <f>Data!K4</f>
        <v>0.608751939000021</v>
      </c>
    </row>
    <row r="5" spans="1:15">
      <c r="A5" s="1">
        <f>Data!A5</f>
        <v>43053</v>
      </c>
      <c r="B5" t="str">
        <f>Data!B5</f>
        <v>123001.SZ</v>
      </c>
      <c r="C5" t="str">
        <f>Data!C5</f>
        <v>蓝标转债</v>
      </c>
      <c r="D5" t="str">
        <f>Data!E5</f>
        <v>300058.SZ</v>
      </c>
      <c r="E5" t="str">
        <f>Data!F5</f>
        <v>蓝色光标</v>
      </c>
      <c r="F5" s="6">
        <f>Data!L5</f>
        <v>92.592100000000002</v>
      </c>
      <c r="G5" s="6">
        <f>Data!M5</f>
        <v>10.049631569314201</v>
      </c>
      <c r="H5" s="5">
        <f>Data!P5</f>
        <v>0.43453122217732698</v>
      </c>
      <c r="I5" s="3">
        <f>Data!Q5</f>
        <v>4.4476071870760201</v>
      </c>
      <c r="J5" t="str">
        <f>ROUND(10*Data!D5,0)&amp;":"&amp;ROUND(Data!G5*I5*10,0)</f>
        <v>1012:308</v>
      </c>
      <c r="K5">
        <f>Data!R5</f>
        <v>-0.23197523844124099</v>
      </c>
      <c r="L5" s="6">
        <f>Data!S5</f>
        <v>-2.3312656795382898</v>
      </c>
      <c r="M5" s="6">
        <f>Data!T5</f>
        <v>-2.0940348058902298</v>
      </c>
      <c r="N5" s="2">
        <f>Data!J5</f>
        <v>0.29952380057570799</v>
      </c>
      <c r="O5" s="2">
        <f>Data!K5</f>
        <v>0.28502999650923999</v>
      </c>
    </row>
    <row r="6" spans="1:15">
      <c r="A6" s="1">
        <f>Data!A6</f>
        <v>43053</v>
      </c>
      <c r="B6" t="str">
        <f>Data!B6</f>
        <v>110032.SH</v>
      </c>
      <c r="C6" t="str">
        <f>Data!C6</f>
        <v>三一转债</v>
      </c>
      <c r="D6" t="str">
        <f>Data!E6</f>
        <v>600031.SH</v>
      </c>
      <c r="E6" t="str">
        <f>Data!F6</f>
        <v>三一重工</v>
      </c>
      <c r="F6" s="6">
        <f>Data!L6</f>
        <v>90.381</v>
      </c>
      <c r="G6" s="6">
        <f>Data!M6</f>
        <v>37.319948753627997</v>
      </c>
      <c r="H6" s="5">
        <f>Data!P6</f>
        <v>0.73974743405896903</v>
      </c>
      <c r="I6" s="3">
        <f>Data!Q6</f>
        <v>9.9562238769713201</v>
      </c>
      <c r="J6" t="str">
        <f>ROUND(10*Data!D6,0)&amp;":"&amp;ROUND(Data!G6*I6*10,0)</f>
        <v>1239:854</v>
      </c>
      <c r="K6">
        <f>Data!R6</f>
        <v>-0.25971147062703198</v>
      </c>
      <c r="L6" s="6">
        <f>Data!S6</f>
        <v>-9.6924187745301804</v>
      </c>
      <c r="M6" s="6">
        <f>Data!T6</f>
        <v>-8.1013815354070093</v>
      </c>
      <c r="N6" s="2">
        <f>Data!J6</f>
        <v>0.30119854654873002</v>
      </c>
      <c r="O6" s="2">
        <f>Data!K6</f>
        <v>0.25727854085181501</v>
      </c>
    </row>
    <row r="7" spans="1:15">
      <c r="A7" s="1">
        <f>Data!A7</f>
        <v>43053</v>
      </c>
      <c r="B7" t="str">
        <f>Data!B7</f>
        <v>110033.SH</v>
      </c>
      <c r="C7" t="str">
        <f>Data!C7</f>
        <v>国贸转债</v>
      </c>
      <c r="D7" t="str">
        <f>Data!E7</f>
        <v>600755.SH</v>
      </c>
      <c r="E7" t="str">
        <f>Data!F7</f>
        <v>厦门国贸</v>
      </c>
      <c r="F7" s="6">
        <f>Data!L7</f>
        <v>91.879800000000003</v>
      </c>
      <c r="G7" s="6">
        <f>Data!M7</f>
        <v>51.0390852361298</v>
      </c>
      <c r="H7" s="5">
        <f>Data!P7</f>
        <v>0.762797959490633</v>
      </c>
      <c r="I7" s="3">
        <f>Data!Q7</f>
        <v>8.6583196309947006</v>
      </c>
      <c r="J7" t="str">
        <f>ROUND(10*Data!D7,0)&amp;":"&amp;ROUND(Data!G7*I7*10,0)</f>
        <v>1268:909</v>
      </c>
      <c r="K7">
        <f>Data!R7</f>
        <v>-0.40746054642464202</v>
      </c>
      <c r="L7" s="6">
        <f>Data!S7</f>
        <v>-20.796413559327299</v>
      </c>
      <c r="M7" s="6">
        <f>Data!T7</f>
        <v>-8.4273720238095198</v>
      </c>
      <c r="N7" s="2">
        <f>Data!J7</f>
        <v>0.44526513541229501</v>
      </c>
      <c r="O7" s="2">
        <f>Data!K7</f>
        <v>0.23783707279115701</v>
      </c>
    </row>
    <row r="8" spans="1:15">
      <c r="A8" s="1">
        <f>Data!A8</f>
        <v>43053</v>
      </c>
      <c r="B8" t="str">
        <f>Data!B8</f>
        <v>110034.SH</v>
      </c>
      <c r="C8" t="str">
        <f>Data!C8</f>
        <v>九州转债</v>
      </c>
      <c r="D8" t="str">
        <f>Data!E8</f>
        <v>600998.SH</v>
      </c>
      <c r="E8" t="str">
        <f>Data!F8</f>
        <v>九州通</v>
      </c>
      <c r="F8" s="6">
        <f>Data!L8</f>
        <v>90.745800000000003</v>
      </c>
      <c r="G8" s="6">
        <f>Data!M8</f>
        <v>25.920724047060101</v>
      </c>
      <c r="H8" s="5">
        <f>Data!P8</f>
        <v>0.70127846171119501</v>
      </c>
      <c r="I8" s="3">
        <f>Data!Q8</f>
        <v>3.7602062290144498</v>
      </c>
      <c r="J8" t="str">
        <f>ROUND(10*Data!D8,0)&amp;":"&amp;ROUND(Data!G8*I8*10,0)</f>
        <v>1211:755</v>
      </c>
      <c r="K8">
        <f>Data!R8</f>
        <v>-0.52102987207120299</v>
      </c>
      <c r="L8" s="6">
        <f>Data!S8</f>
        <v>-13.505471534232701</v>
      </c>
      <c r="M8" s="6">
        <f>Data!T8</f>
        <v>-7.26906373193167</v>
      </c>
      <c r="N8" s="2">
        <f>Data!J8</f>
        <v>0.223904033483735</v>
      </c>
      <c r="O8" s="2">
        <f>Data!K8</f>
        <v>0.28549347877339898</v>
      </c>
    </row>
    <row r="9" spans="1:15">
      <c r="A9" s="1">
        <f>Data!A9</f>
        <v>43053</v>
      </c>
      <c r="B9" t="str">
        <f>Data!B9</f>
        <v>113009.SH</v>
      </c>
      <c r="C9" t="str">
        <f>Data!C9</f>
        <v>广汽转债</v>
      </c>
      <c r="D9" t="str">
        <f>Data!E9</f>
        <v>601238.SH</v>
      </c>
      <c r="E9" t="str">
        <f>Data!F9</f>
        <v>广汽集团</v>
      </c>
      <c r="F9" s="6">
        <f>Data!L9</f>
        <v>90.056700000000006</v>
      </c>
      <c r="G9" s="6">
        <f>Data!M9</f>
        <v>41.977149351006197</v>
      </c>
      <c r="H9" s="5">
        <f>Data!P9</f>
        <v>0.82442781618293903</v>
      </c>
      <c r="I9" s="3">
        <f>Data!Q9</f>
        <v>3.8470733372978998</v>
      </c>
      <c r="J9" t="str">
        <f>ROUND(10*Data!D9,0)&amp;":"&amp;ROUND(Data!G9*I9*10,0)</f>
        <v>1294:1064</v>
      </c>
      <c r="K9">
        <f>Data!R9</f>
        <v>-0.58947436365585104</v>
      </c>
      <c r="L9" s="6">
        <f>Data!S9</f>
        <v>-24.744453401771001</v>
      </c>
      <c r="M9" s="6">
        <f>Data!T9</f>
        <v>-9.38794800523217</v>
      </c>
      <c r="N9" s="2">
        <f>Data!J9</f>
        <v>0.219209294092436</v>
      </c>
      <c r="O9" s="2">
        <f>Data!K9</f>
        <v>0.18539680719149801</v>
      </c>
    </row>
    <row r="10" spans="1:15">
      <c r="A10" s="1">
        <f>Data!A10</f>
        <v>43053</v>
      </c>
      <c r="B10" t="str">
        <f>Data!B10</f>
        <v>128010.SZ</v>
      </c>
      <c r="C10" t="str">
        <f>Data!C10</f>
        <v>顺昌转债</v>
      </c>
      <c r="D10" t="str">
        <f>Data!E10</f>
        <v>002245.SZ</v>
      </c>
      <c r="E10" t="str">
        <f>Data!F10</f>
        <v>澳洋顺昌</v>
      </c>
      <c r="F10" s="6">
        <f>Data!L10</f>
        <v>92.052700000000002</v>
      </c>
      <c r="G10" s="6">
        <f>Data!M10</f>
        <v>30.042184864060399</v>
      </c>
      <c r="H10" s="5">
        <f>Data!P10</f>
        <v>0.690201840079674</v>
      </c>
      <c r="I10" s="3">
        <f>Data!Q10</f>
        <v>7.4055991424857703</v>
      </c>
      <c r="J10" t="str">
        <f>ROUND(10*Data!D10,0)&amp;":"&amp;ROUND(Data!G10*I10*10,0)</f>
        <v>1185:729</v>
      </c>
      <c r="K10">
        <f>Data!R10</f>
        <v>-0.31122337365119801</v>
      </c>
      <c r="L10" s="6">
        <f>Data!S10</f>
        <v>-9.3498301252458305</v>
      </c>
      <c r="M10" s="6">
        <f>Data!T10</f>
        <v>-6.3109192282537601</v>
      </c>
      <c r="N10" s="2">
        <f>Data!J10</f>
        <v>0.296463541842023</v>
      </c>
      <c r="O10" s="2">
        <f>Data!K10</f>
        <v>0.25664209762731399</v>
      </c>
    </row>
    <row r="11" spans="1:15">
      <c r="A11" s="1">
        <f>Data!A11</f>
        <v>43053</v>
      </c>
      <c r="B11" t="str">
        <f>Data!B11</f>
        <v>113010.SH</v>
      </c>
      <c r="C11" t="str">
        <f>Data!C11</f>
        <v>江南转债</v>
      </c>
      <c r="D11" t="str">
        <f>Data!E11</f>
        <v>601199.SH</v>
      </c>
      <c r="E11" t="str">
        <f>Data!F11</f>
        <v>江南水务</v>
      </c>
      <c r="F11" s="6">
        <f>Data!L11</f>
        <v>91.228499999999997</v>
      </c>
      <c r="G11" s="6">
        <f>Data!M11</f>
        <v>1.26065182373744</v>
      </c>
      <c r="H11" s="5">
        <f>Data!P11</f>
        <v>0.141516422982676</v>
      </c>
      <c r="I11" s="3">
        <f>Data!Q11</f>
        <v>1.5216819675556601</v>
      </c>
      <c r="J11" t="str">
        <f>ROUND(10*Data!D11,0)&amp;":"&amp;ROUND(Data!G11*I11*10,0)</f>
        <v>1040:91</v>
      </c>
      <c r="K11">
        <f>Data!R11</f>
        <v>-5.85951382309245E-2</v>
      </c>
      <c r="L11" s="6">
        <f>Data!S11</f>
        <v>-7.3868067872962503E-2</v>
      </c>
      <c r="M11" s="6">
        <f>Data!T11</f>
        <v>-2.94027777777778</v>
      </c>
      <c r="N11" s="2">
        <f>Data!J11</f>
        <v>0.14904625769986299</v>
      </c>
      <c r="O11" s="2">
        <f>Data!K11</f>
        <v>0.40229717026626099</v>
      </c>
    </row>
    <row r="12" spans="1:15">
      <c r="A12" s="1">
        <f>Data!A12</f>
        <v>43053</v>
      </c>
      <c r="B12" t="str">
        <f>Data!B12</f>
        <v>128012.SZ</v>
      </c>
      <c r="C12" t="str">
        <f>Data!C12</f>
        <v>辉丰转债</v>
      </c>
      <c r="D12" t="str">
        <f>Data!E12</f>
        <v>002496.SZ</v>
      </c>
      <c r="E12" t="str">
        <f>Data!F12</f>
        <v>辉丰股份</v>
      </c>
      <c r="F12" s="6">
        <f>Data!L12</f>
        <v>86.378</v>
      </c>
      <c r="G12" s="6">
        <f>Data!M12</f>
        <v>11.438465610919399</v>
      </c>
      <c r="H12" s="5">
        <f>Data!P12</f>
        <v>0.461381216550449</v>
      </c>
      <c r="I12" s="3">
        <f>Data!Q12</f>
        <v>5.9609976298507599</v>
      </c>
      <c r="J12" t="str">
        <f>ROUND(10*Data!D12,0)&amp;":"&amp;ROUND(Data!G12*I12*10,0)</f>
        <v>1017:333</v>
      </c>
      <c r="K12">
        <f>Data!R12</f>
        <v>-0.18292607675081099</v>
      </c>
      <c r="L12" s="6">
        <f>Data!S12</f>
        <v>-2.0923936382545598</v>
      </c>
      <c r="M12" s="6">
        <f>Data!T12</f>
        <v>-3.4621084672435098</v>
      </c>
      <c r="N12" s="2">
        <f>Data!J12</f>
        <v>0.29883124532335598</v>
      </c>
      <c r="O12" s="2">
        <f>Data!K12</f>
        <v>0.37002449362069001</v>
      </c>
    </row>
    <row r="13" spans="1:15">
      <c r="A13" s="1">
        <f>Data!A13</f>
        <v>43053</v>
      </c>
      <c r="B13" t="str">
        <f>Data!B13</f>
        <v>127003.SZ</v>
      </c>
      <c r="C13" t="str">
        <f>Data!C13</f>
        <v>海印转债</v>
      </c>
      <c r="D13" t="str">
        <f>Data!E13</f>
        <v>000861.SZ</v>
      </c>
      <c r="E13" t="str">
        <f>Data!F13</f>
        <v>海印股份</v>
      </c>
      <c r="F13" s="6">
        <f>Data!L13</f>
        <v>91.943200000000004</v>
      </c>
      <c r="G13" s="6">
        <f>Data!M13</f>
        <v>3.5192355256656702</v>
      </c>
      <c r="H13" s="5">
        <f>Data!P13</f>
        <v>0.26196172666782402</v>
      </c>
      <c r="I13" s="3">
        <f>Data!Q13</f>
        <v>4.9897471746252204</v>
      </c>
      <c r="J13" t="str">
        <f>ROUND(10*Data!D13,0)&amp;":"&amp;ROUND(Data!G13*I13*10,0)</f>
        <v>987:175</v>
      </c>
      <c r="K13">
        <f>Data!R13</f>
        <v>-6.1168896961025197E-2</v>
      </c>
      <c r="L13" s="6">
        <f>Data!S13</f>
        <v>-0.21526775525102301</v>
      </c>
      <c r="M13" s="6">
        <f>Data!T13</f>
        <v>-1.4788415366146499</v>
      </c>
      <c r="N13" s="2">
        <f>Data!J13</f>
        <v>0.188162901721902</v>
      </c>
      <c r="O13" s="2">
        <f>Data!K13</f>
        <v>0.25895648185619002</v>
      </c>
    </row>
    <row r="14" spans="1:15">
      <c r="A14" s="1">
        <f>Data!A14</f>
        <v>43053</v>
      </c>
      <c r="B14" t="str">
        <f>Data!B14</f>
        <v>128013.SZ</v>
      </c>
      <c r="C14" t="str">
        <f>Data!C14</f>
        <v>洪涛转债</v>
      </c>
      <c r="D14" t="str">
        <f>Data!E14</f>
        <v>002325.SZ</v>
      </c>
      <c r="E14" t="str">
        <f>Data!F14</f>
        <v>洪涛股份</v>
      </c>
      <c r="F14" s="6">
        <f>Data!L14</f>
        <v>89.612700000000004</v>
      </c>
      <c r="G14" s="6">
        <f>Data!M14</f>
        <v>6.2664036056191899</v>
      </c>
      <c r="H14" s="5">
        <f>Data!P14</f>
        <v>0.341997302403732</v>
      </c>
      <c r="I14" s="3">
        <f>Data!Q14</f>
        <v>3.4097437926593499</v>
      </c>
      <c r="J14" t="str">
        <f>ROUND(10*Data!D14,0)&amp;":"&amp;ROUND(Data!G14*I14*10,0)</f>
        <v>988:190</v>
      </c>
      <c r="K14">
        <f>Data!R14</f>
        <v>-0.16887249474517199</v>
      </c>
      <c r="L14" s="6">
        <f>Data!S14</f>
        <v>-1.05822320996106</v>
      </c>
      <c r="M14" s="6">
        <f>Data!T14</f>
        <v>-1.9602221898660399</v>
      </c>
      <c r="N14" s="2">
        <f>Data!J14</f>
        <v>0.31684548243271898</v>
      </c>
      <c r="O14" s="2">
        <f>Data!K14</f>
        <v>0.38591272003104898</v>
      </c>
    </row>
    <row r="15" spans="1:15">
      <c r="A15" s="1">
        <f>Data!A15</f>
        <v>43053</v>
      </c>
      <c r="B15" t="str">
        <f>Data!B15</f>
        <v>113011.SH</v>
      </c>
      <c r="C15" t="str">
        <f>Data!C15</f>
        <v>光大转债</v>
      </c>
      <c r="D15" t="str">
        <f>Data!E15</f>
        <v>601818.SH</v>
      </c>
      <c r="E15" t="str">
        <f>Data!F15</f>
        <v>光大银行</v>
      </c>
      <c r="F15" s="6">
        <f>Data!L15</f>
        <v>84.637299999999996</v>
      </c>
      <c r="G15" s="6">
        <f>Data!M15</f>
        <v>12.7512652015117</v>
      </c>
      <c r="H15" s="5">
        <f>Data!P15</f>
        <v>0.59273267256596296</v>
      </c>
      <c r="I15" s="3">
        <f>Data!Q15</f>
        <v>13.913912501548401</v>
      </c>
      <c r="J15" t="str">
        <f>ROUND(10*Data!D15,0)&amp;":"&amp;ROUND(Data!G15*I15*10,0)</f>
        <v>1102:561</v>
      </c>
      <c r="K15">
        <f>Data!R15</f>
        <v>-7.3334920914575594E-2</v>
      </c>
      <c r="L15" s="6">
        <f>Data!S15</f>
        <v>-0.93511302511364103</v>
      </c>
      <c r="M15" s="6">
        <f>Data!T15</f>
        <v>-4.7835048767967097</v>
      </c>
      <c r="N15" s="2">
        <f>Data!J15</f>
        <v>0.134857352344257</v>
      </c>
      <c r="O15" s="2">
        <f>Data!K15</f>
        <v>0.28849844871832903</v>
      </c>
    </row>
    <row r="16" spans="1:15">
      <c r="A16" s="1">
        <f>Data!A16</f>
        <v>43053</v>
      </c>
      <c r="B16" t="str">
        <f>Data!B16</f>
        <v>113012.SH</v>
      </c>
      <c r="C16" t="str">
        <f>Data!C16</f>
        <v>骆驼转债</v>
      </c>
      <c r="D16" t="str">
        <f>Data!E16</f>
        <v>601311.SH</v>
      </c>
      <c r="E16" t="str">
        <f>Data!F16</f>
        <v>骆驼股份</v>
      </c>
      <c r="F16" s="6">
        <f>Data!L16</f>
        <v>84.257999999999996</v>
      </c>
      <c r="G16" s="6">
        <f>Data!M16</f>
        <v>16.7394908130773</v>
      </c>
      <c r="H16" s="5">
        <f>Data!P16</f>
        <v>0.55202063083552</v>
      </c>
      <c r="I16" s="3">
        <f>Data!Q16</f>
        <v>3.3015587968631599</v>
      </c>
      <c r="J16" t="str">
        <f>ROUND(10*Data!D16,0)&amp;":"&amp;ROUND(Data!G16*I16*10,0)</f>
        <v>1077:456</v>
      </c>
      <c r="K16">
        <f>Data!R16</f>
        <v>-0.38781224658662999</v>
      </c>
      <c r="L16" s="6">
        <f>Data!S16</f>
        <v>-6.49177953893577</v>
      </c>
      <c r="M16" s="6">
        <f>Data!T16</f>
        <v>-4.3721585677749397</v>
      </c>
      <c r="N16" s="2">
        <f>Data!J16</f>
        <v>0.26703003990899998</v>
      </c>
      <c r="O16" s="2">
        <f>Data!K16</f>
        <v>0.35882756202872101</v>
      </c>
    </row>
    <row r="17" spans="1:15">
      <c r="A17" s="1">
        <f>Data!A17</f>
        <v>43053</v>
      </c>
      <c r="B17" t="str">
        <f>Data!B17</f>
        <v>128014.SZ</v>
      </c>
      <c r="C17" t="str">
        <f>Data!C17</f>
        <v>永东转债</v>
      </c>
      <c r="D17" t="str">
        <f>Data!E17</f>
        <v>002753.SZ</v>
      </c>
      <c r="E17" t="str">
        <f>Data!F17</f>
        <v>永东股份</v>
      </c>
      <c r="F17" s="6">
        <f>Data!L17</f>
        <v>87.060199999999995</v>
      </c>
      <c r="G17" s="6">
        <f>Data!M17</f>
        <v>53.152794647150202</v>
      </c>
      <c r="H17" s="5">
        <f>Data!P17</f>
        <v>0.76911704183232199</v>
      </c>
      <c r="I17" s="3">
        <f>Data!Q17</f>
        <v>3.7591253266486899</v>
      </c>
      <c r="J17" t="str">
        <f>ROUND(10*Data!D17,0)&amp;":"&amp;ROUND(Data!G17*I17*10,0)</f>
        <v>1156:802</v>
      </c>
      <c r="K17">
        <f>Data!R17</f>
        <v>-0.84888726401444003</v>
      </c>
      <c r="L17" s="6">
        <f>Data!S17</f>
        <v>-45.120730422740699</v>
      </c>
      <c r="M17" s="6">
        <f>Data!T17</f>
        <v>-5.2655538150581096</v>
      </c>
      <c r="N17" s="2">
        <f>Data!J17</f>
        <v>0.549208579393903</v>
      </c>
      <c r="O17" s="2">
        <f>Data!K17</f>
        <v>0.247374519829827</v>
      </c>
    </row>
    <row r="18" spans="1:15">
      <c r="A18" s="1">
        <f>Data!A18</f>
        <v>43053</v>
      </c>
      <c r="B18" t="str">
        <f>Data!B18</f>
        <v>127004.SZ</v>
      </c>
      <c r="C18" t="str">
        <f>Data!C18</f>
        <v>模塑转债</v>
      </c>
      <c r="D18" t="str">
        <f>Data!E18</f>
        <v>000700.SZ</v>
      </c>
      <c r="E18" t="str">
        <f>Data!F18</f>
        <v>模塑科技</v>
      </c>
      <c r="F18" s="6">
        <f>Data!L18</f>
        <v>88.063100000000006</v>
      </c>
      <c r="G18" s="6">
        <f>Data!M18</f>
        <v>18.1894175322448</v>
      </c>
      <c r="H18" s="5">
        <f>Data!P18</f>
        <v>0.56332824283267902</v>
      </c>
      <c r="I18" s="3">
        <f>Data!Q18</f>
        <v>7.04160303540848</v>
      </c>
      <c r="J18" t="str">
        <f>ROUND(10*Data!D18,0)&amp;":"&amp;ROUND(Data!G18*I18*10,0)</f>
        <v>1020:456</v>
      </c>
      <c r="K18">
        <f>Data!R18</f>
        <v>-0.191416202159232</v>
      </c>
      <c r="L18" s="6">
        <f>Data!S18</f>
        <v>-3.4817492235108398</v>
      </c>
      <c r="M18" s="6">
        <f>Data!T18</f>
        <v>-2.5125518518518501</v>
      </c>
      <c r="N18" s="2">
        <f>Data!J18</f>
        <v>0.292499843973624</v>
      </c>
      <c r="O18" s="2">
        <f>Data!K18</f>
        <v>0.23924450817218099</v>
      </c>
    </row>
    <row r="19" spans="1:15">
      <c r="A19" s="1">
        <f>Data!A19</f>
        <v>43053</v>
      </c>
      <c r="B19" t="str">
        <f>Data!B19</f>
        <v>128015.SZ</v>
      </c>
      <c r="C19" t="str">
        <f>Data!C19</f>
        <v>久其转债</v>
      </c>
      <c r="D19" t="str">
        <f>Data!E19</f>
        <v>002279.SZ</v>
      </c>
      <c r="E19" t="str">
        <f>Data!F19</f>
        <v>久其软件</v>
      </c>
      <c r="F19" s="6">
        <f>Data!L19</f>
        <v>85.689899999999994</v>
      </c>
      <c r="G19" s="6">
        <f>Data!M19</f>
        <v>24.7130573386085</v>
      </c>
      <c r="H19" s="5">
        <f>Data!P19</f>
        <v>0.63704854472599504</v>
      </c>
      <c r="I19" s="3">
        <f>Data!Q19</f>
        <v>4.93836081182942</v>
      </c>
      <c r="J19" t="str">
        <f>ROUND(10*Data!D19,0)&amp;":"&amp;ROUND(Data!G19*I19*10,0)</f>
        <v>1097:593</v>
      </c>
      <c r="K19">
        <f>Data!R19</f>
        <v>-0.33698972742743899</v>
      </c>
      <c r="L19" s="6">
        <f>Data!S19</f>
        <v>-8.3280464564363594</v>
      </c>
      <c r="M19" s="6">
        <f>Data!T19</f>
        <v>-4.3182860659773503</v>
      </c>
      <c r="N19" s="2">
        <f>Data!J19</f>
        <v>0.28309109420818002</v>
      </c>
      <c r="O19" s="2">
        <f>Data!K19</f>
        <v>0.27625015393934399</v>
      </c>
    </row>
    <row r="20" spans="1:15">
      <c r="A20" s="1">
        <f>Data!A20</f>
        <v>43053</v>
      </c>
      <c r="B20" t="str">
        <f>Data!B20</f>
        <v>113013.SH</v>
      </c>
      <c r="C20" t="str">
        <f>Data!C20</f>
        <v>国君转债</v>
      </c>
      <c r="D20" t="str">
        <f>Data!E20</f>
        <v>601211.SH</v>
      </c>
      <c r="E20" t="str">
        <f>Data!F20</f>
        <v>国泰君安</v>
      </c>
      <c r="F20" s="6">
        <f>Data!L20</f>
        <v>83.395600000000002</v>
      </c>
      <c r="G20" s="6">
        <f>Data!M20</f>
        <v>22.505440470616101</v>
      </c>
      <c r="H20" s="5">
        <f>Data!P20</f>
        <v>0.656227159969069</v>
      </c>
      <c r="I20" s="3">
        <f>Data!Q20</f>
        <v>3.2486493067775699</v>
      </c>
      <c r="J20" t="str">
        <f>ROUND(10*Data!D20,0)&amp;":"&amp;ROUND(Data!G20*I20*10,0)</f>
        <v>1183:651</v>
      </c>
      <c r="K20">
        <f>Data!R20</f>
        <v>-0.451473391736329</v>
      </c>
      <c r="L20" s="6">
        <f>Data!S20</f>
        <v>-10.1606075417891</v>
      </c>
      <c r="M20" s="6">
        <f>Data!T20</f>
        <v>-6.1859703883495101</v>
      </c>
      <c r="N20" s="2">
        <f>Data!J20</f>
        <v>0.20774622706844201</v>
      </c>
      <c r="O20" s="2">
        <f>Data!K20</f>
        <v>0.354228308783819</v>
      </c>
    </row>
    <row r="21" spans="1:15">
      <c r="A21" s="1">
        <f>Data!A21</f>
        <v>43053</v>
      </c>
      <c r="B21" t="str">
        <f>Data!B21</f>
        <v>128016.SZ</v>
      </c>
      <c r="C21" t="str">
        <f>Data!C21</f>
        <v>雨虹转债</v>
      </c>
      <c r="D21" t="str">
        <f>Data!E21</f>
        <v>002271.SZ</v>
      </c>
      <c r="E21" t="str">
        <f>Data!F21</f>
        <v>东方雨虹</v>
      </c>
      <c r="F21" s="6">
        <f>Data!L21</f>
        <v>82.986599999999996</v>
      </c>
      <c r="G21" s="6">
        <f>Data!M21</f>
        <v>34.967637294355399</v>
      </c>
      <c r="H21" s="5">
        <f>Data!P21</f>
        <v>0.69801250625394395</v>
      </c>
      <c r="I21" s="3">
        <f>Data!Q21</f>
        <v>1.81396181458925</v>
      </c>
      <c r="J21" t="str">
        <f>ROUND(10*Data!D21,0)&amp;":"&amp;ROUND(Data!G21*I21*10,0)</f>
        <v>1179:698</v>
      </c>
      <c r="K21">
        <f>Data!R21</f>
        <v>-1.1426644011174401</v>
      </c>
      <c r="L21" s="6">
        <f>Data!S21</f>
        <v>-39.956274327446501</v>
      </c>
      <c r="M21" s="6">
        <f>Data!T21</f>
        <v>-5.9562371495327104</v>
      </c>
      <c r="N21" s="2">
        <f>Data!J21</f>
        <v>0.33955762913784898</v>
      </c>
      <c r="O21" s="2">
        <f>Data!K21</f>
        <v>0.33920059016613402</v>
      </c>
    </row>
    <row r="22" spans="1:15">
      <c r="A22" s="1">
        <f>Data!A22</f>
        <v>43053</v>
      </c>
      <c r="B22" t="str">
        <f>Data!B22</f>
        <v>113014.SH</v>
      </c>
      <c r="C22" t="str">
        <f>Data!C22</f>
        <v>林洋转债</v>
      </c>
      <c r="D22" t="str">
        <f>Data!E22</f>
        <v>601222.SH</v>
      </c>
      <c r="E22" t="str">
        <f>Data!F22</f>
        <v>林洋能源</v>
      </c>
      <c r="F22" s="6">
        <f>Data!L22</f>
        <v>83.0411</v>
      </c>
      <c r="G22" s="6">
        <f>Data!M22</f>
        <v>50.877103235776403</v>
      </c>
      <c r="H22" s="5">
        <f>Data!P22</f>
        <v>0.77556496827757404</v>
      </c>
      <c r="I22" s="3">
        <f>Data!Q22</f>
        <v>8.8132382758815204</v>
      </c>
      <c r="J22" t="str">
        <f>ROUND(10*Data!D22,0)&amp;":"&amp;ROUND(Data!G22*I22*10,0)</f>
        <v>1254:943</v>
      </c>
      <c r="K22">
        <f>Data!R22</f>
        <v>-0.27825333208327402</v>
      </c>
      <c r="L22" s="6">
        <f>Data!S22</f>
        <v>-14.156723502099499</v>
      </c>
      <c r="M22" s="6">
        <f>Data!T22</f>
        <v>-7.1106604511970497</v>
      </c>
      <c r="N22" s="2">
        <f>Data!J22</f>
        <v>0.33636809030430997</v>
      </c>
      <c r="O22" s="2">
        <f>Data!K22</f>
        <v>0.23985981322425501</v>
      </c>
    </row>
    <row r="23" spans="1:15">
      <c r="A23" s="1">
        <f>Data!A23</f>
        <v>43053</v>
      </c>
      <c r="B23" t="str">
        <f>Data!B23</f>
        <v>128017.SZ</v>
      </c>
      <c r="C23" t="str">
        <f>Data!C23</f>
        <v>金禾转债</v>
      </c>
      <c r="D23" t="str">
        <f>Data!E23</f>
        <v>002597.SZ</v>
      </c>
      <c r="E23" t="str">
        <f>Data!F23</f>
        <v>金禾实业</v>
      </c>
      <c r="F23" s="6">
        <f>Data!L23</f>
        <v>82.586500000000001</v>
      </c>
      <c r="G23" s="6">
        <f>Data!M23</f>
        <v>31.657084865731999</v>
      </c>
      <c r="H23" s="5">
        <f>Data!P23</f>
        <v>0.69678542833303303</v>
      </c>
      <c r="I23" s="3">
        <f>Data!Q23</f>
        <v>2.9129825599207102</v>
      </c>
      <c r="J23" t="str">
        <f>ROUND(10*Data!D23,0)&amp;":"&amp;ROUND(Data!G23*I23*10,0)</f>
        <v>1000:720</v>
      </c>
      <c r="K23">
        <f>Data!R23</f>
        <v>-0.62527852365898495</v>
      </c>
      <c r="L23" s="6">
        <f>Data!S23</f>
        <v>-19.794495288192099</v>
      </c>
      <c r="M23" s="6">
        <f>Data!T23</f>
        <v>-2.9176527331189699</v>
      </c>
      <c r="N23" s="2">
        <f>Data!J23</f>
        <v>0.27209280776584299</v>
      </c>
      <c r="O23" s="2">
        <f>Data!K23</f>
        <v>0.11068664508972401</v>
      </c>
    </row>
    <row r="24" spans="1:15">
      <c r="A24" s="1">
        <f>Data!A24</f>
        <v>43053</v>
      </c>
      <c r="B24" t="str">
        <f>Data!B24</f>
        <v>113015.SH</v>
      </c>
      <c r="C24" t="str">
        <f>Data!C24</f>
        <v>隆基转债</v>
      </c>
      <c r="D24" t="str">
        <f>Data!E24</f>
        <v>601012.SH</v>
      </c>
      <c r="E24" t="str">
        <f>Data!F24</f>
        <v>隆基股份</v>
      </c>
      <c r="F24" s="6">
        <f>Data!L24</f>
        <v>82.575199999999995</v>
      </c>
      <c r="G24" s="6">
        <f>Data!M24</f>
        <v>58.765059297209298</v>
      </c>
      <c r="H24" s="5">
        <f>Data!P24</f>
        <v>0.78494796254329602</v>
      </c>
      <c r="I24" s="3">
        <f>Data!Q24</f>
        <v>2.42642337725903</v>
      </c>
      <c r="J24" t="str">
        <f>ROUND(10*Data!D24,0)&amp;":"&amp;ROUND(Data!G24*I24*10,0)</f>
        <v>1000:935</v>
      </c>
      <c r="K24">
        <f>Data!R24</f>
        <v>-1.2011702951649501</v>
      </c>
      <c r="L24" s="6">
        <f>Data!S24</f>
        <v>-70.586843621414701</v>
      </c>
      <c r="M24" s="6">
        <f>Data!T24</f>
        <v>-2.9183409090909098</v>
      </c>
      <c r="N24" s="2">
        <f>Data!J24</f>
        <v>0.44773670978075802</v>
      </c>
      <c r="O24" s="2">
        <f>Data!K24</f>
        <v>0.45453861236572302</v>
      </c>
    </row>
    <row r="25" spans="1:15">
      <c r="A25" s="1">
        <f>Data!A25</f>
        <v>43053</v>
      </c>
      <c r="B25" t="str">
        <f>Data!B25</f>
        <v>113016.SH</v>
      </c>
      <c r="C25" t="str">
        <f>Data!C25</f>
        <v>小康转债</v>
      </c>
      <c r="D25" t="str">
        <f>Data!E25</f>
        <v>601127.SH</v>
      </c>
      <c r="E25" t="str">
        <f>Data!F25</f>
        <v>小康股份</v>
      </c>
      <c r="F25" s="6">
        <f>Data!L25</f>
        <v>82.927800000000005</v>
      </c>
      <c r="G25" s="6">
        <f>Data!M25</f>
        <v>44.452883553653997</v>
      </c>
      <c r="H25" s="5">
        <f>Data!P25</f>
        <v>0.73800064274043997</v>
      </c>
      <c r="I25" s="3">
        <f>Data!Q25</f>
        <v>3.2086984466975701</v>
      </c>
      <c r="J25" t="str">
        <f>ROUND(10*Data!D25,0)&amp;":"&amp;ROUND(Data!G25*I25*10,0)</f>
        <v>1000:781</v>
      </c>
      <c r="K25">
        <f>Data!R25</f>
        <v>-0.76219661965111496</v>
      </c>
      <c r="L25" s="6">
        <f>Data!S25</f>
        <v>-33.881837578339699</v>
      </c>
      <c r="M25" s="6">
        <f>Data!T25</f>
        <v>-2.8545609532538898</v>
      </c>
      <c r="N25" s="2">
        <f>Data!J25</f>
        <v>0.39884872562260199</v>
      </c>
      <c r="O25" s="2">
        <f>Data!K25</f>
        <v>8.2397323917205501E-2</v>
      </c>
    </row>
    <row r="26" spans="1:15">
      <c r="A26" s="1">
        <f>Data!A26</f>
        <v>43053</v>
      </c>
      <c r="B26" t="str">
        <f>Data!B26</f>
        <v>128018.SZ</v>
      </c>
      <c r="C26" t="str">
        <f>Data!C26</f>
        <v>时达转债</v>
      </c>
      <c r="D26" t="str">
        <f>Data!E26</f>
        <v>002527.SZ</v>
      </c>
      <c r="E26" t="str">
        <f>Data!F26</f>
        <v>新时达</v>
      </c>
      <c r="F26" s="6">
        <f>Data!L26</f>
        <v>82.927800000000005</v>
      </c>
      <c r="G26" s="6">
        <f>Data!M26</f>
        <v>30.7423171546181</v>
      </c>
      <c r="H26" s="5">
        <f>Data!P26</f>
        <v>0.68413186100908097</v>
      </c>
      <c r="I26" s="3">
        <f>Data!Q26</f>
        <v>5.7490072353704296</v>
      </c>
      <c r="J26" t="str">
        <f>ROUND(10*Data!D26,0)&amp;":"&amp;ROUND(Data!G26*I26*10,0)</f>
        <v>1000:685</v>
      </c>
      <c r="K26">
        <f>Data!R26</f>
        <v>-0.31532263951108402</v>
      </c>
      <c r="L26" s="6">
        <f>Data!S26</f>
        <v>-9.6937485898810607</v>
      </c>
      <c r="M26" s="6">
        <f>Data!T26</f>
        <v>-2.8545609532538898</v>
      </c>
      <c r="N26" s="2">
        <f>Data!J26</f>
        <v>0.28627478139435403</v>
      </c>
      <c r="O26" s="2">
        <f>Data!K26</f>
        <v>0.13184690070673399</v>
      </c>
    </row>
    <row r="27" spans="1:15">
      <c r="A27" s="1">
        <f>Data!A27</f>
        <v>43053</v>
      </c>
      <c r="B27" t="str">
        <f>Data!B27</f>
        <v>128019.SZ</v>
      </c>
      <c r="C27" t="str">
        <f>Data!C27</f>
        <v>久立转2</v>
      </c>
      <c r="D27" t="str">
        <f>Data!E27</f>
        <v>002318.SZ</v>
      </c>
      <c r="E27" t="str">
        <f>Data!F27</f>
        <v>久立特材</v>
      </c>
      <c r="F27" s="6">
        <f>Data!L27</f>
        <v>79.390500000000003</v>
      </c>
      <c r="G27" s="6">
        <f>Data!M27</f>
        <v>27.259898517322199</v>
      </c>
      <c r="H27" s="5">
        <f>Data!P27</f>
        <v>0.66202122650423401</v>
      </c>
      <c r="I27" s="3">
        <f>Data!Q27</f>
        <v>7.9094531243038704</v>
      </c>
      <c r="J27" t="str">
        <f>ROUND(10*Data!D27,0)&amp;":"&amp;ROUND(Data!G27*I27*10,0)</f>
        <v>1000:641</v>
      </c>
      <c r="K27">
        <f>Data!R27</f>
        <v>-0.21064140679190599</v>
      </c>
      <c r="L27" s="6">
        <f>Data!S27</f>
        <v>-5.7420633726933401</v>
      </c>
      <c r="M27" s="6">
        <f>Data!T27</f>
        <v>-3.4433839285714298</v>
      </c>
      <c r="N27" s="2">
        <f>Data!J27</f>
        <v>0.27166629659765701</v>
      </c>
      <c r="O27" s="2">
        <f>Data!K27</f>
        <v>0.19569457563920001</v>
      </c>
    </row>
    <row r="28" spans="1:15">
      <c r="A28" s="1">
        <f>Data!A28</f>
        <v>43053</v>
      </c>
      <c r="B28" t="str">
        <f>Data!B28</f>
        <v>113502.SH</v>
      </c>
      <c r="C28" t="str">
        <f>Data!C28</f>
        <v>嘉澳转债</v>
      </c>
      <c r="D28" t="str">
        <f>Data!E28</f>
        <v>603822.SH</v>
      </c>
      <c r="E28" t="str">
        <f>Data!F28</f>
        <v>嘉澳环保</v>
      </c>
      <c r="F28" s="6">
        <f>Data!L28</f>
        <v>84.552700000000002</v>
      </c>
      <c r="G28" s="6">
        <f>Data!M28</f>
        <v>47.310146505618398</v>
      </c>
      <c r="H28" s="5">
        <f>Data!P28</f>
        <v>0.75254533243384703</v>
      </c>
      <c r="I28" s="3">
        <f>Data!Q28</f>
        <v>1.6546731144103899</v>
      </c>
      <c r="J28" t="str">
        <f>ROUND(10*Data!D28,0)&amp;":"&amp;ROUND(Data!G28*I28*10,0)</f>
        <v>1000:720</v>
      </c>
      <c r="K28">
        <f>Data!R28</f>
        <v>-1.6548023109496699</v>
      </c>
      <c r="L28" s="6">
        <f>Data!S28</f>
        <v>-78.288939768864793</v>
      </c>
      <c r="M28" s="6">
        <f>Data!T28</f>
        <v>-2.5783426349496801</v>
      </c>
      <c r="N28" s="2">
        <f>Data!J28</f>
        <v>0.52857031299967305</v>
      </c>
      <c r="O28" s="2">
        <f>Data!K28</f>
        <v>0.14504723067585201</v>
      </c>
    </row>
    <row r="29" spans="1:15">
      <c r="A29" s="1">
        <f>Data!A29</f>
        <v>43053</v>
      </c>
      <c r="B29" t="str">
        <f>Data!B29</f>
        <v>110038.SH</v>
      </c>
      <c r="C29" t="str">
        <f>Data!C29</f>
        <v>济川转债</v>
      </c>
      <c r="D29" t="str">
        <f>Data!E29</f>
        <v>600566.SH</v>
      </c>
      <c r="E29" t="str">
        <f>Data!F29</f>
        <v>济川药业</v>
      </c>
      <c r="F29" s="6">
        <f>Data!L29</f>
        <v>85.053200000000004</v>
      </c>
      <c r="G29" s="6">
        <f>Data!M29</f>
        <v>26.290698363313101</v>
      </c>
      <c r="H29" s="5">
        <f>Data!P29</f>
        <v>0.65921084299451305</v>
      </c>
      <c r="I29" s="3">
        <f>Data!Q29</f>
        <v>1.60626423731607</v>
      </c>
      <c r="J29" t="str">
        <f>ROUND(10*Data!D29,0)&amp;":"&amp;ROUND(Data!G29*I29*10,0)</f>
        <v>1000:652</v>
      </c>
      <c r="K29">
        <f>Data!R29</f>
        <v>-1.1547675059247899</v>
      </c>
      <c r="L29" s="6">
        <f>Data!S29</f>
        <v>-30.359644178023899</v>
      </c>
      <c r="M29" s="6">
        <f>Data!T29</f>
        <v>-2.9907787828947399</v>
      </c>
      <c r="N29" s="2">
        <f>Data!J29</f>
        <v>0.27518665592126001</v>
      </c>
      <c r="O29" s="2">
        <f>Data!K29</f>
        <v>0.13711191765511099</v>
      </c>
    </row>
    <row r="30" spans="1:15">
      <c r="A30" s="1">
        <f>Data!A30</f>
        <v>43053</v>
      </c>
      <c r="B30" t="str">
        <f>Data!B30</f>
        <v>110039.SH</v>
      </c>
      <c r="C30" t="str">
        <f>Data!C30</f>
        <v>宝信转债</v>
      </c>
      <c r="D30" t="str">
        <f>Data!E30</f>
        <v>600845.SH</v>
      </c>
      <c r="E30" t="str">
        <f>Data!F30</f>
        <v>宝信软件</v>
      </c>
      <c r="F30" s="6" t="str">
        <f>Data!L30</f>
        <v>NA</v>
      </c>
      <c r="G30" s="6" t="str">
        <f>Data!M30</f>
        <v>NA</v>
      </c>
      <c r="H30" s="5" t="str">
        <f>Data!P30</f>
        <v>NA</v>
      </c>
      <c r="I30" s="3" t="str">
        <f>Data!Q30</f>
        <v>NA</v>
      </c>
      <c r="J30" t="e">
        <f>ROUND(10*Data!D30,0)&amp;":"&amp;ROUND(Data!G30*I30*10,0)</f>
        <v>#VALUE!</v>
      </c>
      <c r="K30" t="str">
        <f>Data!R30</f>
        <v>NA</v>
      </c>
      <c r="L30" s="6" t="str">
        <f>Data!S30</f>
        <v>NA</v>
      </c>
      <c r="M30" s="6" t="str">
        <f>Data!T30</f>
        <v>NA</v>
      </c>
      <c r="N30" s="2">
        <f>Data!J30</f>
        <v>0.32329916605115899</v>
      </c>
      <c r="O30" s="2" t="str">
        <f>Data!K30</f>
        <v>NA</v>
      </c>
    </row>
    <row r="31" spans="1:15">
      <c r="A31" s="1">
        <f>Data!A31</f>
        <v>43053</v>
      </c>
      <c r="B31" t="str">
        <f>Data!B31</f>
        <v>128020.SZ</v>
      </c>
      <c r="C31" t="str">
        <f>Data!C31</f>
        <v>水晶转债</v>
      </c>
      <c r="D31" t="str">
        <f>Data!E31</f>
        <v>002273.SZ</v>
      </c>
      <c r="E31" t="str">
        <f>Data!F31</f>
        <v>水晶光电</v>
      </c>
      <c r="F31" s="6" t="str">
        <f>Data!L31</f>
        <v>NA</v>
      </c>
      <c r="G31" s="6" t="str">
        <f>Data!M31</f>
        <v>NA</v>
      </c>
      <c r="H31" s="5" t="str">
        <f>Data!P31</f>
        <v>NA</v>
      </c>
      <c r="I31" s="3" t="str">
        <f>Data!Q31</f>
        <v>NA</v>
      </c>
      <c r="J31" t="e">
        <f>ROUND(10*Data!D31,0)&amp;":"&amp;ROUND(Data!G31*I31*10,0)</f>
        <v>#VALUE!</v>
      </c>
      <c r="K31" t="str">
        <f>Data!R31</f>
        <v>NA</v>
      </c>
      <c r="L31" s="6" t="str">
        <f>Data!S31</f>
        <v>NA</v>
      </c>
      <c r="M31" s="6" t="str">
        <f>Data!T31</f>
        <v>NA</v>
      </c>
      <c r="N31" s="2">
        <f>Data!J31</f>
        <v>0.416685743864252</v>
      </c>
      <c r="O31" s="2" t="str">
        <f>Data!K31</f>
        <v>NA</v>
      </c>
    </row>
    <row r="32" spans="1:15">
      <c r="A32" s="1"/>
      <c r="F32" s="6"/>
      <c r="G32" s="6"/>
      <c r="L32" s="6"/>
      <c r="M32" s="6"/>
      <c r="N32" s="2"/>
      <c r="O32" s="2"/>
    </row>
    <row r="33" spans="1:15">
      <c r="A33" s="1"/>
      <c r="F33" s="6"/>
      <c r="G33" s="6"/>
      <c r="L33" s="6"/>
      <c r="M33" s="6"/>
      <c r="N33" s="2"/>
      <c r="O33" s="2"/>
    </row>
    <row r="34" spans="1:15">
      <c r="A34" s="1"/>
      <c r="F34" s="6"/>
      <c r="G34" s="6"/>
      <c r="L34" s="6"/>
      <c r="M34" s="6"/>
      <c r="N34" s="2"/>
      <c r="O34" s="2"/>
    </row>
    <row r="35" spans="1:15">
      <c r="A35" s="1"/>
      <c r="F35" s="6"/>
      <c r="G35" s="6"/>
      <c r="L35" s="6"/>
      <c r="M35" s="6"/>
      <c r="N35" s="2"/>
      <c r="O35" s="2"/>
    </row>
    <row r="36" spans="1:15">
      <c r="A36" s="1"/>
      <c r="F36" s="6"/>
      <c r="G36" s="6"/>
      <c r="L36" s="6"/>
      <c r="M36" s="6"/>
      <c r="N36" s="2"/>
      <c r="O36" s="2"/>
    </row>
    <row r="37" spans="1:15">
      <c r="A37" s="1"/>
      <c r="F37" s="6"/>
      <c r="G37" s="6"/>
      <c r="L37" s="6"/>
      <c r="M37" s="6"/>
      <c r="N37" s="2"/>
      <c r="O37" s="2"/>
    </row>
    <row r="38" spans="1:15">
      <c r="A38" s="1"/>
      <c r="F38" s="6"/>
      <c r="G38" s="6"/>
      <c r="L38" s="6"/>
      <c r="M38" s="6"/>
      <c r="N38" s="2"/>
      <c r="O38" s="2"/>
    </row>
    <row r="39" spans="1:15">
      <c r="A39" s="1"/>
      <c r="F39" s="6"/>
      <c r="G39" s="6"/>
      <c r="L39" s="6"/>
      <c r="M39" s="6"/>
      <c r="N39" s="2"/>
      <c r="O39" s="2"/>
    </row>
    <row r="40" spans="1:15">
      <c r="A40" s="1"/>
      <c r="F40" s="6"/>
      <c r="G40" s="6"/>
      <c r="L40" s="6"/>
      <c r="M40" s="6"/>
      <c r="N40" s="2"/>
      <c r="O40" s="2"/>
    </row>
    <row r="41" spans="1:15">
      <c r="A41" s="1"/>
      <c r="F41" s="6"/>
      <c r="G41" s="6"/>
      <c r="L41" s="6"/>
      <c r="M41" s="6"/>
      <c r="N41" s="2"/>
      <c r="O41" s="2"/>
    </row>
  </sheetData>
  <phoneticPr fontId="1" type="noConversion"/>
  <conditionalFormatting sqref="H2:H41">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L24"/>
  <sheetViews>
    <sheetView workbookViewId="0">
      <selection activeCell="F30" sqref="F30"/>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 min="8" max="9" width="13.25" customWidth="1"/>
    <col min="11" max="12" width="14.75" customWidth="1"/>
  </cols>
  <sheetData>
    <row r="1" spans="2:12" ht="35.25" customHeight="1" thickBot="1"/>
    <row r="2" spans="2:12">
      <c r="B2" s="66" t="s">
        <v>145</v>
      </c>
      <c r="C2" s="67"/>
      <c r="E2" s="66" t="s">
        <v>145</v>
      </c>
      <c r="F2" s="67"/>
      <c r="H2" s="66" t="s">
        <v>164</v>
      </c>
      <c r="I2" s="67"/>
      <c r="K2" s="66" t="s">
        <v>170</v>
      </c>
      <c r="L2" s="67"/>
    </row>
    <row r="3" spans="2:12">
      <c r="B3" s="18" t="s">
        <v>128</v>
      </c>
      <c r="C3" s="14" t="s">
        <v>129</v>
      </c>
      <c r="E3" s="18" t="s">
        <v>125</v>
      </c>
      <c r="F3" s="14">
        <v>41.5</v>
      </c>
      <c r="H3" s="18" t="s">
        <v>72</v>
      </c>
      <c r="I3" s="14" t="s">
        <v>217</v>
      </c>
      <c r="K3" s="18" t="s">
        <v>72</v>
      </c>
      <c r="L3" s="14" t="s">
        <v>216</v>
      </c>
    </row>
    <row r="4" spans="2:12">
      <c r="B4" s="18" t="s">
        <v>131</v>
      </c>
      <c r="C4" s="14" t="s">
        <v>132</v>
      </c>
      <c r="E4" s="18" t="s">
        <v>127</v>
      </c>
      <c r="F4" s="14">
        <v>38.479999999999997</v>
      </c>
      <c r="H4" s="18" t="s">
        <v>130</v>
      </c>
      <c r="I4" s="19" t="str">
        <f>[1]!S_Info_Name(I3)</f>
        <v>久立特材</v>
      </c>
      <c r="K4" s="18" t="s">
        <v>131</v>
      </c>
      <c r="L4" s="14"/>
    </row>
    <row r="5" spans="2:12" ht="14.25" thickBot="1">
      <c r="B5" s="18" t="s">
        <v>134</v>
      </c>
      <c r="C5" s="15">
        <v>1.4999999999999999E-2</v>
      </c>
      <c r="E5" s="18" t="s">
        <v>134</v>
      </c>
      <c r="F5" s="14">
        <v>1.4999999999999999E-2</v>
      </c>
      <c r="H5" s="18" t="s">
        <v>83</v>
      </c>
      <c r="I5" s="19">
        <f>RTD("wdf.rtq", ,I3, "LastPrice","RT_Price")</f>
        <v>8.14</v>
      </c>
      <c r="K5" s="18" t="s">
        <v>134</v>
      </c>
      <c r="L5" s="15">
        <v>1.4999999999999999E-2</v>
      </c>
    </row>
    <row r="6" spans="2:12">
      <c r="B6" s="66" t="s">
        <v>146</v>
      </c>
      <c r="C6" s="67"/>
      <c r="E6" s="18" t="s">
        <v>137</v>
      </c>
      <c r="F6" s="16">
        <v>0.35</v>
      </c>
      <c r="H6" s="36" t="s">
        <v>165</v>
      </c>
      <c r="I6" s="14">
        <v>1.2358</v>
      </c>
      <c r="K6" s="66" t="s">
        <v>146</v>
      </c>
      <c r="L6" s="67"/>
    </row>
    <row r="7" spans="2:12" ht="14.25" thickBot="1">
      <c r="B7" s="18" t="s">
        <v>130</v>
      </c>
      <c r="C7" s="19" t="str">
        <f>[1]!S_Info_Name(C3)</f>
        <v>东方雨虹</v>
      </c>
      <c r="E7" s="20" t="s">
        <v>136</v>
      </c>
      <c r="F7" s="17">
        <v>5.94</v>
      </c>
      <c r="H7" s="36" t="s">
        <v>166</v>
      </c>
      <c r="I7" s="35">
        <v>0.16</v>
      </c>
      <c r="K7" s="18" t="s">
        <v>130</v>
      </c>
      <c r="L7" s="19" t="str">
        <f>[1]!S_Info_Name(L3)</f>
        <v>久立特材</v>
      </c>
    </row>
    <row r="8" spans="2:12">
      <c r="B8" s="18" t="s">
        <v>126</v>
      </c>
      <c r="C8" s="19">
        <f>RTD("wdf.rtq", ,C3, "LastPrice","RT_Price")</f>
        <v>38.380000000000003</v>
      </c>
      <c r="E8" s="66" t="s">
        <v>148</v>
      </c>
      <c r="F8" s="67"/>
      <c r="H8" s="36" t="s">
        <v>167</v>
      </c>
      <c r="I8" s="37">
        <f>I7*I6</f>
        <v>0.19772800000000001</v>
      </c>
      <c r="K8" s="18" t="s">
        <v>126</v>
      </c>
      <c r="L8" s="19">
        <f>RTD("wdf.rtq", ,L3, "LastPrice","RT_Price")</f>
        <v>8.14</v>
      </c>
    </row>
    <row r="9" spans="2:12" ht="14.25" thickBot="1">
      <c r="B9" s="20" t="s">
        <v>137</v>
      </c>
      <c r="C9" s="21">
        <f>[1]!s_risk_stdevr100(C3,"")/100</f>
        <v>0.35273109436035155</v>
      </c>
      <c r="E9" s="18" t="s">
        <v>150</v>
      </c>
      <c r="F9" s="24">
        <f>BlackScholes(F3,F4,F5,F7,0,F6,"C",0,0)</f>
        <v>16.0364369314429</v>
      </c>
      <c r="H9" s="38" t="s">
        <v>168</v>
      </c>
      <c r="I9" s="39">
        <f>I8/I5</f>
        <v>2.4290909090909092E-2</v>
      </c>
      <c r="K9" s="20" t="s">
        <v>137</v>
      </c>
      <c r="L9" s="21">
        <f>[1]!s_risk_stdevr100(L3,"")/100</f>
        <v>0.3952693557739258</v>
      </c>
    </row>
    <row r="10" spans="2:12">
      <c r="B10" s="66" t="s">
        <v>147</v>
      </c>
      <c r="C10" s="67"/>
      <c r="E10" s="18" t="s">
        <v>149</v>
      </c>
      <c r="F10" s="24">
        <f>BlackScholes(F3,F4,F5,F7,0,F6,"C",0,0)*100/F4</f>
        <v>41.674732150319386</v>
      </c>
      <c r="K10" s="66" t="s">
        <v>147</v>
      </c>
      <c r="L10" s="67"/>
    </row>
    <row r="11" spans="2:12">
      <c r="B11" s="18" t="s">
        <v>70</v>
      </c>
      <c r="C11" s="19" t="str">
        <f>[1]!S_Info_Name(C4)</f>
        <v>雨虹转债</v>
      </c>
      <c r="E11" s="18" t="s">
        <v>141</v>
      </c>
      <c r="F11" s="26">
        <f>BlackScholes(F3,F4,F5,F7,0,F6,"C",0,1)</f>
        <v>0.73221861513268105</v>
      </c>
      <c r="K11" s="18" t="s">
        <v>70</v>
      </c>
      <c r="L11" s="19" t="s">
        <v>169</v>
      </c>
    </row>
    <row r="12" spans="2:12" ht="14.25" thickBot="1">
      <c r="B12" s="18" t="s">
        <v>82</v>
      </c>
      <c r="C12" s="19">
        <f>IF(RTD("wdf.rtq", ,C4, "LastPrice","RT_Price")=0,100,RTD("wdf.rtq", ,C4, "LastPrice","RT_Price"))</f>
        <v>117.21000000000001</v>
      </c>
      <c r="E12" s="20" t="s">
        <v>142</v>
      </c>
      <c r="F12" s="28">
        <f>BlackScholes(F3,F4,F5,F7,0,F6,"C",0,2)</f>
        <v>9.3015210176909113E-3</v>
      </c>
      <c r="K12" s="18" t="s">
        <v>82</v>
      </c>
      <c r="L12" s="19">
        <v>100</v>
      </c>
    </row>
    <row r="13" spans="2:12">
      <c r="B13" s="18" t="s">
        <v>138</v>
      </c>
      <c r="C13" s="22">
        <f>[1]!cb_anal_straightbondvalue(C4,"")</f>
        <v>82.997900000000001</v>
      </c>
      <c r="K13" s="18" t="s">
        <v>138</v>
      </c>
      <c r="L13" s="22">
        <v>82</v>
      </c>
    </row>
    <row r="14" spans="2:12">
      <c r="B14" s="18" t="s">
        <v>133</v>
      </c>
      <c r="C14" s="22">
        <f>[1]!cb_clause_conversion2_swapshareprice(C4,"")</f>
        <v>38.479999999999997</v>
      </c>
      <c r="K14" s="18" t="s">
        <v>133</v>
      </c>
      <c r="L14" s="22">
        <v>8.3699999999999992</v>
      </c>
    </row>
    <row r="15" spans="2:12">
      <c r="B15" s="18" t="s">
        <v>135</v>
      </c>
      <c r="C15" s="19" t="str">
        <f>[1]!cb_info_maturitydate(C4)</f>
        <v>2023-09-25</v>
      </c>
      <c r="K15" s="18" t="s">
        <v>203</v>
      </c>
      <c r="L15" s="22">
        <f>L8/L14*100</f>
        <v>97.252090800477902</v>
      </c>
    </row>
    <row r="16" spans="2:12" ht="14.25" thickBot="1">
      <c r="B16" s="20" t="s">
        <v>136</v>
      </c>
      <c r="C16" s="23">
        <f ca="1">(C15-TODAY())/365</f>
        <v>5.8630136986301373</v>
      </c>
      <c r="K16" s="20" t="s">
        <v>136</v>
      </c>
      <c r="L16" s="23">
        <v>6</v>
      </c>
    </row>
    <row r="17" spans="2:12">
      <c r="B17" s="66" t="s">
        <v>151</v>
      </c>
      <c r="C17" s="67"/>
      <c r="K17" s="66" t="s">
        <v>148</v>
      </c>
      <c r="L17" s="67"/>
    </row>
    <row r="18" spans="2:12">
      <c r="B18" s="18" t="s">
        <v>81</v>
      </c>
      <c r="C18" s="24">
        <f ca="1">BlackScholes(C8,C14,C5,C16,0,C9,"C",0,0)*100/C14</f>
        <v>35.85836492668453</v>
      </c>
      <c r="K18" s="18" t="s">
        <v>81</v>
      </c>
      <c r="L18" s="24">
        <f>BlackScholes(L8,L14,L5,L16,0,L9,"C",0,0)*100/L14</f>
        <v>38.054749619427483</v>
      </c>
    </row>
    <row r="19" spans="2:12">
      <c r="B19" s="18" t="s">
        <v>139</v>
      </c>
      <c r="C19" s="24">
        <f ca="1">C18+C13</f>
        <v>118.85626492668453</v>
      </c>
      <c r="K19" s="18" t="s">
        <v>139</v>
      </c>
      <c r="L19" s="24">
        <f>L18+L13</f>
        <v>120.05474961942748</v>
      </c>
    </row>
    <row r="20" spans="2:12">
      <c r="B20" s="18" t="s">
        <v>140</v>
      </c>
      <c r="C20" s="25">
        <f ca="1">C12/C19-1</f>
        <v>-1.3850888951457474E-2</v>
      </c>
      <c r="K20" s="18" t="s">
        <v>109</v>
      </c>
      <c r="L20" s="25">
        <f>L12/L19-1</f>
        <v>-0.1670466989686028</v>
      </c>
    </row>
    <row r="21" spans="2:12">
      <c r="B21" s="18" t="s">
        <v>141</v>
      </c>
      <c r="C21" s="26">
        <f ca="1">BlackScholes(C8,C14,C5,C16,0,C9,"C",0,1)</f>
        <v>0.70089217499962664</v>
      </c>
      <c r="K21" s="18" t="s">
        <v>96</v>
      </c>
      <c r="L21" s="26">
        <f>BlackScholes(L8,L14,L5,L16,0,L9,"C",0,1)</f>
        <v>0.70825041085368756</v>
      </c>
    </row>
    <row r="22" spans="2:12">
      <c r="B22" s="18" t="s">
        <v>142</v>
      </c>
      <c r="C22" s="26">
        <f ca="1">BlackScholes(C8,C14,C5,C16,0,C9,"C",0,2)</f>
        <v>1.0592539200545259E-2</v>
      </c>
      <c r="K22" s="18" t="s">
        <v>142</v>
      </c>
      <c r="L22" s="26">
        <f>BlackScholes(L8,L14,L5,L16,0,L9,"C",0,2)</f>
        <v>4.355518705463534E-2</v>
      </c>
    </row>
    <row r="23" spans="2:12">
      <c r="B23" s="18" t="s">
        <v>143</v>
      </c>
      <c r="C23" s="26">
        <f ca="1">C21*100/C14</f>
        <v>1.8214453612256409</v>
      </c>
      <c r="K23" s="18" t="s">
        <v>98</v>
      </c>
      <c r="L23" s="26">
        <f>L21*100/L14</f>
        <v>8.4617731284789439</v>
      </c>
    </row>
    <row r="24" spans="2:12" ht="14.25" thickBot="1">
      <c r="B24" s="20" t="s">
        <v>144</v>
      </c>
      <c r="C24" s="27" t="str">
        <f ca="1">ROUND(10*C12,0)&amp;":"&amp;ROUND(C8*C23*10,0)</f>
        <v>1172:699</v>
      </c>
      <c r="K24" s="20" t="s">
        <v>99</v>
      </c>
      <c r="L24" s="27" t="str">
        <f>ROUND(10*L12,0)&amp;":"&amp;ROUND(L8*L23*10,0)</f>
        <v>1000:689</v>
      </c>
    </row>
  </sheetData>
  <mergeCells count="11">
    <mergeCell ref="B2:C2"/>
    <mergeCell ref="B6:C6"/>
    <mergeCell ref="B10:C10"/>
    <mergeCell ref="B17:C17"/>
    <mergeCell ref="E2:F2"/>
    <mergeCell ref="E8:F8"/>
    <mergeCell ref="K17:L17"/>
    <mergeCell ref="H2:I2"/>
    <mergeCell ref="K2:L2"/>
    <mergeCell ref="K6:L6"/>
    <mergeCell ref="K10:L10"/>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32"/>
  <sheetViews>
    <sheetView workbookViewId="0">
      <selection activeCell="L21" sqref="L21"/>
    </sheetView>
  </sheetViews>
  <sheetFormatPr defaultRowHeight="13.5"/>
  <cols>
    <col min="1" max="1" width="11.5" style="52" customWidth="1"/>
    <col min="2" max="2" width="11.5" style="53" customWidth="1"/>
    <col min="3" max="3" width="11.5" style="54" customWidth="1"/>
    <col min="4" max="12" width="11.5" style="55" customWidth="1"/>
    <col min="16" max="16" width="9" style="47"/>
  </cols>
  <sheetData>
    <row r="1" spans="1:16" ht="30" customHeight="1">
      <c r="A1" s="52">
        <v>43054</v>
      </c>
    </row>
    <row r="2" spans="1:16" ht="30" customHeight="1"/>
    <row r="3" spans="1:16" ht="30" customHeight="1">
      <c r="A3" s="56" t="s">
        <v>231</v>
      </c>
      <c r="B3" s="57" t="s">
        <v>232</v>
      </c>
      <c r="C3" s="44" t="s">
        <v>233</v>
      </c>
      <c r="D3" s="58" t="s">
        <v>234</v>
      </c>
      <c r="E3" s="58" t="s">
        <v>260</v>
      </c>
      <c r="F3" s="58" t="s">
        <v>261</v>
      </c>
      <c r="G3" s="58" t="s">
        <v>262</v>
      </c>
      <c r="H3" s="58" t="s">
        <v>263</v>
      </c>
      <c r="I3" s="58" t="s">
        <v>127</v>
      </c>
      <c r="J3" s="58" t="s">
        <v>235</v>
      </c>
      <c r="K3" s="58" t="s">
        <v>266</v>
      </c>
      <c r="L3" s="58" t="s">
        <v>236</v>
      </c>
      <c r="P3" s="48" t="s">
        <v>274</v>
      </c>
    </row>
    <row r="4" spans="1:16" ht="30" customHeight="1">
      <c r="A4" s="56">
        <v>43054</v>
      </c>
      <c r="B4" s="57" t="s">
        <v>258</v>
      </c>
      <c r="C4" s="44" t="s">
        <v>251</v>
      </c>
      <c r="D4" s="58" t="s">
        <v>247</v>
      </c>
      <c r="E4" s="58">
        <v>6.0082191780821903</v>
      </c>
      <c r="F4" s="58" t="s">
        <v>259</v>
      </c>
      <c r="G4" s="58" t="s">
        <v>250</v>
      </c>
      <c r="H4" s="58">
        <v>29.71</v>
      </c>
      <c r="I4" s="58" t="s">
        <v>247</v>
      </c>
      <c r="J4" s="58" t="s">
        <v>247</v>
      </c>
      <c r="K4" s="58">
        <v>37.686540720685898</v>
      </c>
      <c r="L4" s="58" t="s">
        <v>247</v>
      </c>
      <c r="P4" s="48" t="e">
        <f>BlackScholes(H4,I4,0.015,E4,0,K4/100,"C",0,0)*100/I4+D4</f>
        <v>#VALUE!</v>
      </c>
    </row>
    <row r="5" spans="1:16" ht="30" customHeight="1">
      <c r="A5" s="56">
        <v>43048</v>
      </c>
      <c r="B5" s="57" t="s">
        <v>252</v>
      </c>
      <c r="C5" s="44" t="s">
        <v>242</v>
      </c>
      <c r="D5" s="58">
        <v>85.064899999999994</v>
      </c>
      <c r="E5" s="58">
        <v>4.9972602739726</v>
      </c>
      <c r="F5" s="58" t="s">
        <v>253</v>
      </c>
      <c r="G5" s="58" t="s">
        <v>241</v>
      </c>
      <c r="H5" s="58">
        <v>40.56</v>
      </c>
      <c r="I5" s="58">
        <v>41.04</v>
      </c>
      <c r="J5" s="58">
        <v>98.830409356725198</v>
      </c>
      <c r="K5" s="58">
        <v>28.810214898909202</v>
      </c>
      <c r="L5" s="58">
        <v>112.39994255372901</v>
      </c>
      <c r="P5" s="48">
        <f t="shared" ref="P5:P9" si="0">BlackScholes(H5,I5,0.015,E5,0,K5/100,"C",0,0)*100/I5+D5</f>
        <v>112.3999425537293</v>
      </c>
    </row>
    <row r="6" spans="1:16" ht="30" customHeight="1">
      <c r="A6" s="56">
        <v>43047</v>
      </c>
      <c r="B6" s="57" t="s">
        <v>245</v>
      </c>
      <c r="C6" s="44" t="s">
        <v>240</v>
      </c>
      <c r="D6" s="58">
        <v>84.5642</v>
      </c>
      <c r="E6" s="58">
        <v>5.9890410958904097</v>
      </c>
      <c r="F6" s="58" t="s">
        <v>246</v>
      </c>
      <c r="G6" s="58" t="s">
        <v>239</v>
      </c>
      <c r="H6" s="58">
        <v>43.54</v>
      </c>
      <c r="I6" s="58">
        <v>45.48</v>
      </c>
      <c r="J6" s="58">
        <v>95.734388742304304</v>
      </c>
      <c r="K6" s="58">
        <v>60.558272150571398</v>
      </c>
      <c r="L6" s="58">
        <v>137.39890171302301</v>
      </c>
      <c r="P6" s="48">
        <f t="shared" si="0"/>
        <v>137.39890171302252</v>
      </c>
    </row>
    <row r="7" spans="1:16" ht="30" customHeight="1">
      <c r="A7" s="56">
        <v>43045</v>
      </c>
      <c r="B7" s="57" t="s">
        <v>248</v>
      </c>
      <c r="C7" s="44" t="s">
        <v>227</v>
      </c>
      <c r="D7" s="58">
        <v>82.518900000000002</v>
      </c>
      <c r="E7" s="58">
        <v>5.9835616438356203</v>
      </c>
      <c r="F7" s="58" t="s">
        <v>249</v>
      </c>
      <c r="G7" s="58" t="s">
        <v>226</v>
      </c>
      <c r="H7" s="58">
        <v>8.1</v>
      </c>
      <c r="I7" s="58">
        <v>8.3699999999999992</v>
      </c>
      <c r="J7" s="58">
        <v>96.774193548387103</v>
      </c>
      <c r="K7" s="58">
        <v>24.7868620731861</v>
      </c>
      <c r="L7" s="58">
        <v>107.710407530656</v>
      </c>
      <c r="P7" s="48">
        <f t="shared" si="0"/>
        <v>107.71040753065583</v>
      </c>
    </row>
    <row r="8" spans="1:16" ht="30" customHeight="1">
      <c r="A8" s="56">
        <v>43041</v>
      </c>
      <c r="B8" s="57" t="s">
        <v>221</v>
      </c>
      <c r="C8" s="44" t="s">
        <v>219</v>
      </c>
      <c r="D8" s="58">
        <v>82.9392</v>
      </c>
      <c r="E8" s="58">
        <v>5.9780821917808202</v>
      </c>
      <c r="F8" s="58" t="s">
        <v>220</v>
      </c>
      <c r="G8" s="58" t="s">
        <v>228</v>
      </c>
      <c r="H8" s="58">
        <v>24.33</v>
      </c>
      <c r="I8" s="58">
        <v>23</v>
      </c>
      <c r="J8" s="58">
        <v>105.782608695652</v>
      </c>
      <c r="K8" s="58">
        <v>32.845938228502</v>
      </c>
      <c r="L8" s="58">
        <v>121.359540957661</v>
      </c>
      <c r="P8" s="48">
        <f t="shared" si="0"/>
        <v>121.35954095766132</v>
      </c>
    </row>
    <row r="9" spans="1:16" ht="30" customHeight="1">
      <c r="A9" s="56">
        <v>43041</v>
      </c>
      <c r="B9" s="57" t="s">
        <v>222</v>
      </c>
      <c r="C9" s="44" t="s">
        <v>218</v>
      </c>
      <c r="D9" s="58">
        <v>82.9392</v>
      </c>
      <c r="E9" s="58">
        <v>5.9780821917808202</v>
      </c>
      <c r="F9" s="58" t="s">
        <v>223</v>
      </c>
      <c r="G9" s="58" t="s">
        <v>224</v>
      </c>
      <c r="H9" s="58">
        <v>11.91</v>
      </c>
      <c r="I9" s="58">
        <v>11.9</v>
      </c>
      <c r="J9" s="58">
        <v>100.084033613445</v>
      </c>
      <c r="K9" s="58">
        <v>26.167245917864498</v>
      </c>
      <c r="L9" s="58">
        <v>111.53106226152801</v>
      </c>
      <c r="P9" s="48">
        <f t="shared" si="0"/>
        <v>111.53106226152772</v>
      </c>
    </row>
    <row r="10" spans="1:16" ht="30" customHeight="1">
      <c r="A10" s="56">
        <v>43039</v>
      </c>
      <c r="B10" s="57" t="s">
        <v>208</v>
      </c>
      <c r="C10" s="44" t="s">
        <v>209</v>
      </c>
      <c r="D10" s="58">
        <v>82.586500000000001</v>
      </c>
      <c r="E10" s="58">
        <v>5.9671232876712299</v>
      </c>
      <c r="F10" s="58" t="s">
        <v>210</v>
      </c>
      <c r="G10" s="58" t="s">
        <v>211</v>
      </c>
      <c r="H10" s="58">
        <v>38.549999999999997</v>
      </c>
      <c r="I10" s="58">
        <v>32.35</v>
      </c>
      <c r="J10" s="58">
        <v>119.165378670788</v>
      </c>
      <c r="K10" s="58">
        <v>35.116934550832198</v>
      </c>
      <c r="L10" s="58">
        <v>132.95472648404001</v>
      </c>
    </row>
    <row r="11" spans="1:16" ht="30" customHeight="1">
      <c r="A11" s="56">
        <v>43038</v>
      </c>
      <c r="B11" s="57" t="s">
        <v>212</v>
      </c>
      <c r="C11" s="44" t="s">
        <v>213</v>
      </c>
      <c r="D11" s="58">
        <v>82.597700000000003</v>
      </c>
      <c r="E11" s="58">
        <v>5.9643835616438396</v>
      </c>
      <c r="F11" s="58" t="s">
        <v>214</v>
      </c>
      <c r="G11" s="58" t="s">
        <v>215</v>
      </c>
      <c r="H11" s="58">
        <v>24.7</v>
      </c>
      <c r="I11" s="58">
        <v>23.92</v>
      </c>
      <c r="J11" s="58">
        <v>103.26086956521701</v>
      </c>
      <c r="K11" s="58">
        <v>30.6338698105655</v>
      </c>
      <c r="L11" s="58">
        <v>117.255850312975</v>
      </c>
    </row>
    <row r="12" spans="1:16" ht="30" customHeight="1"/>
    <row r="13" spans="1:16" ht="30" customHeight="1">
      <c r="A13" s="56" t="s">
        <v>243</v>
      </c>
      <c r="B13" s="57" t="s">
        <v>244</v>
      </c>
      <c r="C13" s="44" t="s">
        <v>233</v>
      </c>
      <c r="D13" s="58" t="s">
        <v>270</v>
      </c>
      <c r="E13" s="58" t="s">
        <v>267</v>
      </c>
      <c r="F13" s="58" t="s">
        <v>271</v>
      </c>
      <c r="G13" s="58" t="s">
        <v>265</v>
      </c>
      <c r="H13" s="58" t="s">
        <v>264</v>
      </c>
      <c r="I13" s="58" t="s">
        <v>272</v>
      </c>
      <c r="J13" s="58" t="s">
        <v>268</v>
      </c>
      <c r="K13" s="58" t="s">
        <v>269</v>
      </c>
      <c r="L13" s="58" t="s">
        <v>273</v>
      </c>
      <c r="P13" s="49" t="s">
        <v>275</v>
      </c>
    </row>
    <row r="14" spans="1:16" ht="30" customHeight="1">
      <c r="A14" s="56">
        <v>43056</v>
      </c>
      <c r="B14" s="57">
        <v>72273</v>
      </c>
      <c r="C14" s="44" t="s">
        <v>251</v>
      </c>
      <c r="D14" s="58">
        <v>34.840000569820397</v>
      </c>
      <c r="E14" s="58">
        <v>11.8</v>
      </c>
      <c r="F14" s="58">
        <v>32.579999715089798</v>
      </c>
      <c r="G14" s="58" t="s">
        <v>247</v>
      </c>
      <c r="H14" s="58" t="s">
        <v>247</v>
      </c>
      <c r="I14" s="58" t="s">
        <v>247</v>
      </c>
      <c r="J14" s="58">
        <v>1.78</v>
      </c>
      <c r="K14" s="58">
        <v>5.9912487377987196</v>
      </c>
      <c r="L14" s="58" t="s">
        <v>247</v>
      </c>
      <c r="P14" s="50" t="e">
        <f>K14*(VLOOKUP(C14,$C1:$L10,10,FALSE)-100)/100</f>
        <v>#VALUE!</v>
      </c>
    </row>
    <row r="15" spans="1:16" ht="30" customHeight="1">
      <c r="A15" s="56">
        <v>43052</v>
      </c>
      <c r="B15" s="57">
        <v>733566</v>
      </c>
      <c r="C15" s="44" t="s">
        <v>242</v>
      </c>
      <c r="D15" s="58">
        <v>79.290000021457701</v>
      </c>
      <c r="E15" s="58">
        <v>8.4315999999999995</v>
      </c>
      <c r="F15" s="58">
        <v>10.3549999892711</v>
      </c>
      <c r="G15" s="58">
        <v>641.02030000000002</v>
      </c>
      <c r="H15" s="58">
        <v>7.1528900000000002</v>
      </c>
      <c r="I15" s="58">
        <v>84.834313772000598</v>
      </c>
      <c r="J15" s="58">
        <v>1.0409999999999999</v>
      </c>
      <c r="K15" s="58">
        <v>2.5665680473372801</v>
      </c>
      <c r="L15" s="58">
        <v>0.31825296347219401</v>
      </c>
      <c r="P15" s="50">
        <f t="shared" ref="P15:P21" si="1">K15*(VLOOKUP(C15,$C2:$L11,10,FALSE)-100)/100</f>
        <v>0.31825296347218701</v>
      </c>
    </row>
    <row r="16" spans="1:16" ht="30" customHeight="1">
      <c r="A16" s="56">
        <v>43049</v>
      </c>
      <c r="B16" s="57">
        <v>754822</v>
      </c>
      <c r="C16" s="44" t="s">
        <v>240</v>
      </c>
      <c r="D16" s="58">
        <v>75.820001192390905</v>
      </c>
      <c r="E16" s="58">
        <v>1.85</v>
      </c>
      <c r="F16" s="58">
        <v>12.0899994038045</v>
      </c>
      <c r="G16" s="58">
        <v>564.55669999999998</v>
      </c>
      <c r="H16" s="58">
        <v>0.75021000000000004</v>
      </c>
      <c r="I16" s="58">
        <v>40.551891891891898</v>
      </c>
      <c r="J16" s="58">
        <v>2.5219999999999998</v>
      </c>
      <c r="K16" s="58">
        <v>5.7923748277445997</v>
      </c>
      <c r="L16" s="58">
        <v>2.1662845686780599</v>
      </c>
      <c r="P16" s="50">
        <f t="shared" si="1"/>
        <v>2.1662845686780887</v>
      </c>
    </row>
    <row r="17" spans="1:16" ht="30" customHeight="1">
      <c r="A17" s="56">
        <v>43047</v>
      </c>
      <c r="B17" s="57">
        <v>72318</v>
      </c>
      <c r="C17" s="44" t="s">
        <v>227</v>
      </c>
      <c r="D17" s="58">
        <v>49.049999594688401</v>
      </c>
      <c r="E17" s="58">
        <v>10.4</v>
      </c>
      <c r="F17" s="58">
        <v>25.475000202655799</v>
      </c>
      <c r="G17" s="58">
        <v>589.67550000000006</v>
      </c>
      <c r="H17" s="58">
        <v>2.8713709999999999</v>
      </c>
      <c r="I17" s="58">
        <v>27.609336538461498</v>
      </c>
      <c r="J17" s="58">
        <v>1.2358</v>
      </c>
      <c r="K17" s="58">
        <v>15.256790123456801</v>
      </c>
      <c r="L17" s="58">
        <v>1.17636069461537</v>
      </c>
      <c r="P17" s="50">
        <f t="shared" si="1"/>
        <v>1.1763606946153939</v>
      </c>
    </row>
    <row r="18" spans="1:16" ht="30" customHeight="1">
      <c r="A18" s="56">
        <v>43045</v>
      </c>
      <c r="B18" s="57">
        <v>783127</v>
      </c>
      <c r="C18" s="44" t="s">
        <v>219</v>
      </c>
      <c r="D18" s="58">
        <v>84.809998914599404</v>
      </c>
      <c r="E18" s="58">
        <v>15</v>
      </c>
      <c r="F18" s="58">
        <v>7.5950005427002996</v>
      </c>
      <c r="G18" s="58">
        <v>569.39149999999995</v>
      </c>
      <c r="H18" s="58">
        <v>1.5913299999999999</v>
      </c>
      <c r="I18" s="58">
        <v>10.6088666666667</v>
      </c>
      <c r="J18" s="58">
        <v>1.649</v>
      </c>
      <c r="K18" s="58">
        <v>6.7776407727085903</v>
      </c>
      <c r="L18" s="58">
        <v>1.4476729568098401</v>
      </c>
      <c r="P18" s="50">
        <f t="shared" si="1"/>
        <v>1.4476729568098228</v>
      </c>
    </row>
    <row r="19" spans="1:16" ht="30" customHeight="1">
      <c r="A19" s="56">
        <v>43045</v>
      </c>
      <c r="B19" s="57">
        <v>72527</v>
      </c>
      <c r="C19" s="44" t="s">
        <v>218</v>
      </c>
      <c r="D19" s="58">
        <v>52.369999170303302</v>
      </c>
      <c r="E19" s="58">
        <v>8.8250569999999993</v>
      </c>
      <c r="F19" s="58">
        <v>23.815000414848299</v>
      </c>
      <c r="G19" s="58">
        <v>588.51179999999999</v>
      </c>
      <c r="H19" s="58">
        <v>2.2910870000000001</v>
      </c>
      <c r="I19" s="58">
        <v>25.961158097902398</v>
      </c>
      <c r="J19" s="58">
        <v>1.423</v>
      </c>
      <c r="K19" s="58">
        <v>11.9479429051217</v>
      </c>
      <c r="L19" s="58">
        <v>1.37772473536137</v>
      </c>
      <c r="P19" s="50">
        <f t="shared" si="1"/>
        <v>1.3777247353614013</v>
      </c>
    </row>
    <row r="20" spans="1:16" ht="30" customHeight="1">
      <c r="A20" s="56">
        <v>43041</v>
      </c>
      <c r="B20" s="57">
        <v>783012</v>
      </c>
      <c r="C20" s="44" t="s">
        <v>209</v>
      </c>
      <c r="D20" s="58">
        <v>42.359999418258703</v>
      </c>
      <c r="E20" s="58">
        <v>28</v>
      </c>
      <c r="F20" s="58">
        <v>28.820000290870599</v>
      </c>
      <c r="G20" s="58">
        <v>514.47299999999996</v>
      </c>
      <c r="H20" s="58">
        <v>4.4614599999999998</v>
      </c>
      <c r="I20" s="58">
        <v>15.933785714285699</v>
      </c>
      <c r="J20" s="58">
        <v>1.4019999999999999</v>
      </c>
      <c r="K20" s="58">
        <v>3.63683527885863</v>
      </c>
      <c r="L20" s="58">
        <v>1.19850911882292</v>
      </c>
      <c r="P20" s="50">
        <f t="shared" si="1"/>
        <v>1.1985091188229353</v>
      </c>
    </row>
    <row r="21" spans="1:16" ht="30" customHeight="1">
      <c r="A21" s="56">
        <v>43040</v>
      </c>
      <c r="B21" s="57">
        <v>72597</v>
      </c>
      <c r="C21" s="44" t="s">
        <v>213</v>
      </c>
      <c r="D21" s="58">
        <v>59.680000901222201</v>
      </c>
      <c r="E21" s="58">
        <v>6</v>
      </c>
      <c r="F21" s="58">
        <v>20.1599995493889</v>
      </c>
      <c r="G21" s="58">
        <v>542.36400000000003</v>
      </c>
      <c r="H21" s="58">
        <v>0.65165200000000001</v>
      </c>
      <c r="I21" s="58">
        <v>10.8608666666667</v>
      </c>
      <c r="J21" s="58">
        <v>1.0632999999999999</v>
      </c>
      <c r="K21" s="58">
        <v>4.3048582995951401</v>
      </c>
      <c r="L21" s="58">
        <v>0.74283990436379999</v>
      </c>
      <c r="P21" s="50">
        <f t="shared" si="1"/>
        <v>0.7428399043638183</v>
      </c>
    </row>
    <row r="22" spans="1:16" ht="30" customHeight="1"/>
    <row r="23" spans="1:16" ht="30" customHeight="1"/>
    <row r="24" spans="1:16" ht="30" customHeight="1"/>
    <row r="25" spans="1:16" ht="30" customHeight="1"/>
    <row r="26" spans="1:16" ht="30" customHeight="1"/>
    <row r="27" spans="1:16" ht="30" customHeight="1"/>
    <row r="28" spans="1:16" ht="30" customHeight="1"/>
    <row r="29" spans="1:16" ht="30" customHeight="1"/>
    <row r="30" spans="1:16" ht="30" customHeight="1"/>
    <row r="31" spans="1:16" ht="30" customHeight="1"/>
    <row r="32" spans="1:16" ht="30" customHeight="1"/>
  </sheetData>
  <phoneticPr fontId="1" type="noConversion"/>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格式化IPO">
                <anchor moveWithCells="1" sizeWithCells="1">
                  <from>
                    <xdr:col>12</xdr:col>
                    <xdr:colOff>342900</xdr:colOff>
                    <xdr:row>2</xdr:row>
                    <xdr:rowOff>47625</xdr:rowOff>
                  </from>
                  <to>
                    <xdr:col>14</xdr:col>
                    <xdr:colOff>457200</xdr:colOff>
                    <xdr:row>3</xdr:row>
                    <xdr:rowOff>323850</xdr:rowOff>
                  </to>
                </anchor>
              </controlPr>
            </control>
          </mc:Choice>
        </mc:AlternateContent>
        <mc:AlternateContent xmlns:mc="http://schemas.openxmlformats.org/markup-compatibility/2006">
          <mc:Choice Requires="x14">
            <control shapeId="2051" r:id="rId5" name="Button 1">
              <controlPr defaultSize="0" print="0" autoFill="0" autoPict="0" macro="[0]!local_Click">
                <anchor moveWithCells="1" sizeWithCells="1">
                  <from>
                    <xdr:col>12</xdr:col>
                    <xdr:colOff>342900</xdr:colOff>
                    <xdr:row>0</xdr:row>
                    <xdr:rowOff>85725</xdr:rowOff>
                  </from>
                  <to>
                    <xdr:col>14</xdr:col>
                    <xdr:colOff>466725</xdr:colOff>
                    <xdr:row>1</xdr:row>
                    <xdr:rowOff>371475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31"/>
  <sheetViews>
    <sheetView workbookViewId="0">
      <selection activeCell="I35" sqref="I35"/>
    </sheetView>
  </sheetViews>
  <sheetFormatPr defaultRowHeight="13.5"/>
  <sheetData>
    <row r="1" spans="1:36">
      <c r="A1" t="s">
        <v>225</v>
      </c>
      <c r="B1" t="s">
        <v>0</v>
      </c>
      <c r="C1" t="s">
        <v>1</v>
      </c>
      <c r="D1" t="s">
        <v>171</v>
      </c>
      <c r="E1" t="s">
        <v>179</v>
      </c>
      <c r="F1" t="s">
        <v>2</v>
      </c>
      <c r="G1" t="s">
        <v>172</v>
      </c>
      <c r="H1" t="s">
        <v>173</v>
      </c>
      <c r="I1" t="s">
        <v>3</v>
      </c>
      <c r="J1" t="s">
        <v>4</v>
      </c>
      <c r="K1" t="s">
        <v>67</v>
      </c>
      <c r="L1" t="s">
        <v>174</v>
      </c>
      <c r="M1" t="s">
        <v>175</v>
      </c>
      <c r="N1" t="s">
        <v>5</v>
      </c>
      <c r="O1" t="s">
        <v>68</v>
      </c>
      <c r="P1" t="s">
        <v>6</v>
      </c>
      <c r="Q1" t="s">
        <v>176</v>
      </c>
      <c r="R1" t="s">
        <v>7</v>
      </c>
      <c r="S1" t="s">
        <v>8</v>
      </c>
      <c r="T1" t="s">
        <v>9</v>
      </c>
      <c r="U1" t="s">
        <v>69</v>
      </c>
      <c r="V1" t="s">
        <v>200</v>
      </c>
      <c r="W1" t="s">
        <v>201</v>
      </c>
      <c r="X1" s="40">
        <v>43040</v>
      </c>
      <c r="Y1" s="40">
        <v>43009</v>
      </c>
      <c r="Z1" s="40">
        <v>42979</v>
      </c>
      <c r="AA1" s="40">
        <v>42948</v>
      </c>
      <c r="AB1" s="40">
        <v>42917</v>
      </c>
      <c r="AC1" s="40">
        <v>42887</v>
      </c>
      <c r="AD1" s="40">
        <v>42856</v>
      </c>
      <c r="AE1" s="40">
        <v>42826</v>
      </c>
      <c r="AF1" s="40">
        <v>42795</v>
      </c>
      <c r="AG1" s="40">
        <v>42767</v>
      </c>
      <c r="AH1" s="40">
        <v>42736</v>
      </c>
      <c r="AI1" s="40">
        <v>42705</v>
      </c>
      <c r="AJ1" s="40">
        <v>42675</v>
      </c>
    </row>
    <row r="2" spans="1:36">
      <c r="A2" s="1">
        <v>43053</v>
      </c>
      <c r="B2" t="s">
        <v>21</v>
      </c>
      <c r="C2" t="s">
        <v>40</v>
      </c>
      <c r="D2">
        <v>108.0996</v>
      </c>
      <c r="E2" t="s">
        <v>180</v>
      </c>
      <c r="F2" t="s">
        <v>59</v>
      </c>
      <c r="G2">
        <v>5.95</v>
      </c>
      <c r="H2">
        <v>7.24</v>
      </c>
      <c r="I2">
        <v>2.10958904109589</v>
      </c>
      <c r="J2">
        <v>0.25059684167540602</v>
      </c>
      <c r="K2">
        <v>0.33932252574504601</v>
      </c>
      <c r="L2">
        <v>97.957800000000006</v>
      </c>
      <c r="M2">
        <v>6.8599045496962798</v>
      </c>
      <c r="N2">
        <v>104.817704549696</v>
      </c>
      <c r="O2">
        <v>6.8344010042346897</v>
      </c>
      <c r="P2">
        <v>0.393503589478093</v>
      </c>
      <c r="Q2">
        <v>5.43513245135488</v>
      </c>
      <c r="R2">
        <v>-0.225103602469715</v>
      </c>
      <c r="S2">
        <v>-1.5441892267350199</v>
      </c>
      <c r="T2">
        <v>-4.80747662337662</v>
      </c>
      <c r="U2">
        <v>3.1310506792749701E-2</v>
      </c>
      <c r="V2">
        <v>2.94507231996557E-2</v>
      </c>
      <c r="W2">
        <v>5.3663834915574998E-2</v>
      </c>
      <c r="X2">
        <v>2.91860737993733E-2</v>
      </c>
      <c r="Y2">
        <v>1.98612178537232E-2</v>
      </c>
      <c r="Z2">
        <v>-1.0999949155109301E-2</v>
      </c>
      <c r="AA2">
        <v>-4.4162782571601699E-3</v>
      </c>
      <c r="AB2">
        <v>-2.0310357975370098E-2</v>
      </c>
      <c r="AC2">
        <v>-3.04867066181033E-2</v>
      </c>
      <c r="AD2">
        <v>-3.1702029444165898E-2</v>
      </c>
      <c r="AE2">
        <v>-1.1882925561995099E-3</v>
      </c>
      <c r="AF2">
        <v>9.68683107413989E-2</v>
      </c>
      <c r="AG2">
        <v>0.10321850095285801</v>
      </c>
      <c r="AH2">
        <v>8.8020786037979401E-2</v>
      </c>
      <c r="AI2">
        <v>7.6202758445646404E-2</v>
      </c>
      <c r="AJ2">
        <v>8.6568741756669093E-2</v>
      </c>
    </row>
    <row r="3" spans="1:36">
      <c r="A3" s="1">
        <v>43053</v>
      </c>
      <c r="B3" t="s">
        <v>23</v>
      </c>
      <c r="C3" t="s">
        <v>42</v>
      </c>
      <c r="D3">
        <v>103.5564</v>
      </c>
      <c r="E3" t="s">
        <v>185</v>
      </c>
      <c r="F3" t="s">
        <v>61</v>
      </c>
      <c r="G3">
        <v>8.0299999999999994</v>
      </c>
      <c r="H3">
        <v>10.37</v>
      </c>
      <c r="I3">
        <v>3.2191780821917799</v>
      </c>
      <c r="J3">
        <v>0.27264217591343398</v>
      </c>
      <c r="K3">
        <v>0.282001971610577</v>
      </c>
      <c r="L3">
        <v>94.623999999999995</v>
      </c>
      <c r="M3">
        <v>9.2041036099009208</v>
      </c>
      <c r="N3">
        <v>103.82810360990101</v>
      </c>
      <c r="O3">
        <v>9.19684346423813</v>
      </c>
      <c r="P3">
        <v>0.42877990059532001</v>
      </c>
      <c r="Q3">
        <v>4.1348109989905497</v>
      </c>
      <c r="R3">
        <v>-0.276838134247259</v>
      </c>
      <c r="S3">
        <v>-2.5480468707834398</v>
      </c>
      <c r="T3">
        <v>-2.7747455319148902</v>
      </c>
      <c r="U3">
        <v>-2.6168599873668298E-3</v>
      </c>
      <c r="V3">
        <v>9.0923976653645697E-2</v>
      </c>
      <c r="W3">
        <v>8.20259790438429E-2</v>
      </c>
      <c r="X3">
        <v>-4.3981928450640998E-3</v>
      </c>
      <c r="Y3">
        <v>-7.3798584651534301E-3</v>
      </c>
      <c r="Z3">
        <v>1.53530979599321E-2</v>
      </c>
      <c r="AA3">
        <v>2.9908850391212601E-2</v>
      </c>
      <c r="AB3">
        <v>2.5170476882899102E-2</v>
      </c>
      <c r="AC3">
        <v>3.2709084849055797E-2</v>
      </c>
      <c r="AD3">
        <v>7.2390257272774497E-2</v>
      </c>
      <c r="AE3">
        <v>0.212094534929579</v>
      </c>
      <c r="AF3">
        <v>0.210663563858528</v>
      </c>
      <c r="AG3">
        <v>0.200646833126604</v>
      </c>
      <c r="AH3">
        <v>0.153627027705101</v>
      </c>
      <c r="AI3">
        <v>0.12471743336642301</v>
      </c>
      <c r="AJ3">
        <v>8.2967848025119001E-2</v>
      </c>
    </row>
    <row r="4" spans="1:36">
      <c r="A4" s="1">
        <v>43053</v>
      </c>
      <c r="B4" t="s">
        <v>28</v>
      </c>
      <c r="C4" t="s">
        <v>47</v>
      </c>
      <c r="D4">
        <v>104.8926</v>
      </c>
      <c r="E4" t="s">
        <v>181</v>
      </c>
      <c r="F4" t="s">
        <v>66</v>
      </c>
      <c r="G4">
        <v>20.440000000000001</v>
      </c>
      <c r="H4">
        <v>42.8</v>
      </c>
      <c r="I4">
        <v>3.5753424657534199</v>
      </c>
      <c r="J4">
        <v>0.22583188254685599</v>
      </c>
      <c r="K4">
        <v>0.608751939000021</v>
      </c>
      <c r="L4">
        <v>93.256500000000003</v>
      </c>
      <c r="M4">
        <v>0.64868446396056001</v>
      </c>
      <c r="N4">
        <v>93.905184463960595</v>
      </c>
      <c r="O4">
        <v>0.62642925581805198</v>
      </c>
      <c r="P4">
        <v>8.20191091075929E-2</v>
      </c>
      <c r="Q4">
        <v>0.191633432494376</v>
      </c>
      <c r="R4">
        <v>-0.20589238965082499</v>
      </c>
      <c r="S4">
        <v>-0.133559194414204</v>
      </c>
      <c r="T4">
        <v>-3.2545413793103402</v>
      </c>
      <c r="U4">
        <v>0.11700541986855099</v>
      </c>
      <c r="V4">
        <v>0.117255024625045</v>
      </c>
      <c r="W4">
        <v>2.6060999130432499E-2</v>
      </c>
      <c r="X4">
        <v>0.109277795041825</v>
      </c>
      <c r="Y4">
        <v>9.9952505798544006E-2</v>
      </c>
      <c r="Z4">
        <v>0.112719456072401</v>
      </c>
      <c r="AA4">
        <v>0.108338930474654</v>
      </c>
      <c r="AB4">
        <v>9.4417217173604601E-2</v>
      </c>
      <c r="AC4">
        <v>8.9282236244095106E-2</v>
      </c>
      <c r="AD4">
        <v>8.5762347337165007E-2</v>
      </c>
      <c r="AE4">
        <v>0.105492961776879</v>
      </c>
      <c r="AF4">
        <v>0.126250402104889</v>
      </c>
      <c r="AG4">
        <v>0.14316997745384299</v>
      </c>
      <c r="AH4">
        <v>0.13684804718208399</v>
      </c>
      <c r="AI4">
        <v>0.15620618634939501</v>
      </c>
      <c r="AJ4">
        <v>0.16006887179655799</v>
      </c>
    </row>
    <row r="5" spans="1:36">
      <c r="A5" s="1">
        <v>43053</v>
      </c>
      <c r="B5" t="s">
        <v>22</v>
      </c>
      <c r="C5" t="s">
        <v>41</v>
      </c>
      <c r="D5">
        <v>101.16330000000001</v>
      </c>
      <c r="E5" t="s">
        <v>191</v>
      </c>
      <c r="F5" t="s">
        <v>60</v>
      </c>
      <c r="G5">
        <v>6.92</v>
      </c>
      <c r="H5">
        <v>9.77</v>
      </c>
      <c r="I5">
        <v>4.0931506849315102</v>
      </c>
      <c r="J5">
        <v>0.29952380057570799</v>
      </c>
      <c r="K5">
        <v>0.28502999650923999</v>
      </c>
      <c r="L5">
        <v>92.592100000000002</v>
      </c>
      <c r="M5">
        <v>10.049631569314201</v>
      </c>
      <c r="N5">
        <v>102.641731569314</v>
      </c>
      <c r="O5">
        <v>9.9571737165562393</v>
      </c>
      <c r="P5">
        <v>0.43453122217732698</v>
      </c>
      <c r="Q5">
        <v>4.4476071870760201</v>
      </c>
      <c r="R5">
        <v>-0.23197523844124099</v>
      </c>
      <c r="S5">
        <v>-2.3312656795382898</v>
      </c>
      <c r="T5">
        <v>-2.0940348058902298</v>
      </c>
      <c r="U5">
        <v>-1.44038058079313E-2</v>
      </c>
      <c r="V5">
        <v>3.6386181864523102E-2</v>
      </c>
      <c r="W5">
        <v>3.2978312001959102E-2</v>
      </c>
      <c r="X5">
        <v>-2.0525653087546801E-2</v>
      </c>
      <c r="Y5">
        <v>-8.6366833054221104E-3</v>
      </c>
      <c r="Z5">
        <v>2.4132806278960899E-2</v>
      </c>
      <c r="AA5">
        <v>2.9963335357149901E-2</v>
      </c>
      <c r="AB5">
        <v>2.2447290882494801E-2</v>
      </c>
      <c r="AC5">
        <v>-1.4637245990820001E-2</v>
      </c>
      <c r="AD5">
        <v>9.1862859932826002E-2</v>
      </c>
      <c r="AE5">
        <v>5.69680068294501E-2</v>
      </c>
      <c r="AF5">
        <v>5.7123385538063898E-2</v>
      </c>
      <c r="AG5">
        <v>6.6915032294544194E-2</v>
      </c>
      <c r="AH5">
        <v>5.2888827629906099E-2</v>
      </c>
      <c r="AI5">
        <v>5.5624180137661398E-2</v>
      </c>
      <c r="AJ5">
        <v>3.2152096515334898E-2</v>
      </c>
    </row>
    <row r="6" spans="1:36">
      <c r="A6" s="1">
        <v>43053</v>
      </c>
      <c r="B6" t="s">
        <v>17</v>
      </c>
      <c r="C6" t="s">
        <v>36</v>
      </c>
      <c r="D6">
        <v>123.91849999999999</v>
      </c>
      <c r="E6" t="s">
        <v>182</v>
      </c>
      <c r="F6" t="s">
        <v>55</v>
      </c>
      <c r="G6">
        <v>8.58</v>
      </c>
      <c r="H6">
        <v>7.43</v>
      </c>
      <c r="I6">
        <v>4.13972602739726</v>
      </c>
      <c r="J6">
        <v>0.30119854654873002</v>
      </c>
      <c r="K6">
        <v>0.25727854085181501</v>
      </c>
      <c r="L6">
        <v>90.381</v>
      </c>
      <c r="M6">
        <v>37.319948753627997</v>
      </c>
      <c r="N6">
        <v>127.700948753628</v>
      </c>
      <c r="O6">
        <v>37.332259903127699</v>
      </c>
      <c r="P6">
        <v>0.73974743405896903</v>
      </c>
      <c r="Q6">
        <v>9.9562238769713201</v>
      </c>
      <c r="R6">
        <v>-0.25971147062703198</v>
      </c>
      <c r="S6">
        <v>-9.6924187745301804</v>
      </c>
      <c r="T6">
        <v>-8.1013815354070093</v>
      </c>
      <c r="U6">
        <v>-2.9619582239168898E-2</v>
      </c>
      <c r="V6">
        <v>-2.42807682909436E-4</v>
      </c>
      <c r="W6">
        <v>3.05674175447774E-2</v>
      </c>
      <c r="X6">
        <v>-2.5851498780233299E-2</v>
      </c>
      <c r="Y6">
        <v>-1.9399478675016301E-2</v>
      </c>
      <c r="Z6">
        <v>5.5073564302949001E-3</v>
      </c>
      <c r="AA6">
        <v>2.2473262858482301E-3</v>
      </c>
      <c r="AB6">
        <v>3.1683511917336401E-3</v>
      </c>
      <c r="AC6">
        <v>-9.6802411506005208E-3</v>
      </c>
      <c r="AD6">
        <v>-2.7939873355004499E-2</v>
      </c>
      <c r="AE6">
        <v>-3.2919365968413002E-2</v>
      </c>
      <c r="AF6">
        <v>-2.6486184615949E-2</v>
      </c>
      <c r="AG6">
        <v>-9.9573817750234096E-3</v>
      </c>
      <c r="AH6">
        <v>1.7310622110111199E-2</v>
      </c>
      <c r="AI6">
        <v>4.0978118997344E-2</v>
      </c>
      <c r="AJ6">
        <v>7.2549558938326902E-2</v>
      </c>
    </row>
    <row r="7" spans="1:36">
      <c r="A7" s="1">
        <v>43053</v>
      </c>
      <c r="B7" t="s">
        <v>15</v>
      </c>
      <c r="C7" t="s">
        <v>34</v>
      </c>
      <c r="D7">
        <v>126.7899</v>
      </c>
      <c r="E7" t="s">
        <v>183</v>
      </c>
      <c r="F7" t="s">
        <v>53</v>
      </c>
      <c r="G7">
        <v>10.5</v>
      </c>
      <c r="H7">
        <v>8.81</v>
      </c>
      <c r="I7">
        <v>4.1424657534246601</v>
      </c>
      <c r="J7">
        <v>0.44526513541229501</v>
      </c>
      <c r="K7">
        <v>0.23783707279115701</v>
      </c>
      <c r="L7">
        <v>91.879800000000003</v>
      </c>
      <c r="M7">
        <v>51.0390852361298</v>
      </c>
      <c r="N7">
        <v>142.91888523613</v>
      </c>
      <c r="O7">
        <v>51.150401178055098</v>
      </c>
      <c r="P7">
        <v>0.762797959490633</v>
      </c>
      <c r="Q7">
        <v>8.6583196309947006</v>
      </c>
      <c r="R7">
        <v>-0.40746054642464202</v>
      </c>
      <c r="S7">
        <v>-20.796413559327299</v>
      </c>
      <c r="T7">
        <v>-8.4273720238095198</v>
      </c>
      <c r="U7">
        <v>-0.112854121479338</v>
      </c>
      <c r="V7">
        <v>-3.0766368185621801E-2</v>
      </c>
      <c r="W7">
        <v>5.8540067687781701E-2</v>
      </c>
      <c r="X7">
        <v>-0.121988296999457</v>
      </c>
      <c r="Y7">
        <v>-0.12818413546063301</v>
      </c>
      <c r="Z7">
        <v>-0.116538159412252</v>
      </c>
      <c r="AA7">
        <v>-0.107712213167208</v>
      </c>
      <c r="AB7">
        <v>-1.6612917395293601E-2</v>
      </c>
      <c r="AC7">
        <v>2.0811501808504301E-2</v>
      </c>
      <c r="AD7">
        <v>1.2922738508990999E-3</v>
      </c>
      <c r="AE7">
        <v>7.2467886166285101E-3</v>
      </c>
      <c r="AF7">
        <v>1.6617069338039001E-2</v>
      </c>
      <c r="AG7">
        <v>4.1497909251196202E-3</v>
      </c>
      <c r="AH7">
        <v>-1.5726783071867601E-3</v>
      </c>
      <c r="AI7">
        <v>-1.18618275260804E-2</v>
      </c>
      <c r="AJ7">
        <v>1.17184478821058E-2</v>
      </c>
    </row>
    <row r="8" spans="1:36">
      <c r="A8" s="1">
        <v>43053</v>
      </c>
      <c r="B8" t="s">
        <v>16</v>
      </c>
      <c r="C8" t="s">
        <v>35</v>
      </c>
      <c r="D8">
        <v>121.0568</v>
      </c>
      <c r="E8" t="s">
        <v>184</v>
      </c>
      <c r="F8" t="s">
        <v>54</v>
      </c>
      <c r="G8">
        <v>20.09</v>
      </c>
      <c r="H8">
        <v>18.649999999999999</v>
      </c>
      <c r="I8">
        <v>4.1698630136986301</v>
      </c>
      <c r="J8">
        <v>0.223904033483735</v>
      </c>
      <c r="K8">
        <v>0.28549347877339898</v>
      </c>
      <c r="L8">
        <v>90.745800000000003</v>
      </c>
      <c r="M8">
        <v>25.920724047060101</v>
      </c>
      <c r="N8">
        <v>116.66652404705999</v>
      </c>
      <c r="O8">
        <v>26.000620758031701</v>
      </c>
      <c r="P8">
        <v>0.70127846171119501</v>
      </c>
      <c r="Q8">
        <v>3.7602062290144498</v>
      </c>
      <c r="R8">
        <v>-0.52102987207120299</v>
      </c>
      <c r="S8">
        <v>-13.505471534232701</v>
      </c>
      <c r="T8">
        <v>-7.26906373193167</v>
      </c>
      <c r="U8">
        <v>3.7630982741621202E-2</v>
      </c>
      <c r="V8">
        <v>1.93105707333928E-2</v>
      </c>
      <c r="W8">
        <v>4.3881823295449998E-2</v>
      </c>
      <c r="X8">
        <v>3.4509458276807799E-2</v>
      </c>
      <c r="Y8">
        <v>3.52057890935688E-2</v>
      </c>
      <c r="Z8">
        <v>5.8060109896420402E-2</v>
      </c>
      <c r="AA8">
        <v>7.5709902237097906E-2</v>
      </c>
      <c r="AB8">
        <v>6.2768589053650098E-2</v>
      </c>
      <c r="AC8">
        <v>5.0143257076448997E-2</v>
      </c>
      <c r="AD8">
        <v>4.37460965637032E-2</v>
      </c>
      <c r="AE8">
        <v>1.7152545870630701E-2</v>
      </c>
      <c r="AF8">
        <v>2.7710333635327499E-3</v>
      </c>
      <c r="AG8">
        <v>-2.7410293362618E-2</v>
      </c>
      <c r="AH8">
        <v>-4.4745861251948703E-2</v>
      </c>
      <c r="AI8">
        <v>-4.5192246508211999E-2</v>
      </c>
      <c r="AJ8">
        <v>-2.6599630421232701E-2</v>
      </c>
    </row>
    <row r="9" spans="1:36">
      <c r="A9" s="1">
        <v>43053</v>
      </c>
      <c r="B9" t="s">
        <v>13</v>
      </c>
      <c r="C9" t="s">
        <v>32</v>
      </c>
      <c r="D9">
        <v>129.38319999999999</v>
      </c>
      <c r="E9" t="s">
        <v>186</v>
      </c>
      <c r="F9" t="s">
        <v>51</v>
      </c>
      <c r="G9">
        <v>27.65</v>
      </c>
      <c r="H9">
        <v>21.43</v>
      </c>
      <c r="I9">
        <v>4.1890410958904098</v>
      </c>
      <c r="J9">
        <v>0.219209294092436</v>
      </c>
      <c r="K9">
        <v>0.18539680719149801</v>
      </c>
      <c r="L9">
        <v>90.056700000000006</v>
      </c>
      <c r="M9">
        <v>41.977149351006197</v>
      </c>
      <c r="N9">
        <v>132.03384935100601</v>
      </c>
      <c r="O9">
        <v>41.900231341153599</v>
      </c>
      <c r="P9">
        <v>0.82442781618293903</v>
      </c>
      <c r="Q9">
        <v>3.8470733372978998</v>
      </c>
      <c r="R9">
        <v>-0.58947436365585104</v>
      </c>
      <c r="S9">
        <v>-24.744453401771001</v>
      </c>
      <c r="T9">
        <v>-9.38794800523217</v>
      </c>
      <c r="U9">
        <v>-2.0075528843816401E-2</v>
      </c>
      <c r="V9">
        <v>-3.5962539087340997E-2</v>
      </c>
      <c r="W9">
        <v>2.5191332693925799E-2</v>
      </c>
      <c r="X9">
        <v>-2.04018530544029E-2</v>
      </c>
      <c r="Y9">
        <v>-2.2807335263077998E-2</v>
      </c>
      <c r="Z9">
        <v>-9.39579985513736E-3</v>
      </c>
      <c r="AA9">
        <v>-5.6706654736156598E-3</v>
      </c>
      <c r="AB9">
        <v>-1.54776238725502E-2</v>
      </c>
      <c r="AC9">
        <v>-2.19940816497412E-2</v>
      </c>
      <c r="AD9">
        <v>-3.6231181811420099E-2</v>
      </c>
      <c r="AE9">
        <v>-6.2838339958431202E-2</v>
      </c>
      <c r="AF9">
        <v>-5.4356894153279503E-2</v>
      </c>
      <c r="AG9">
        <v>-4.4154991763215898E-2</v>
      </c>
      <c r="AH9">
        <v>-3.6064423985409801E-2</v>
      </c>
      <c r="AI9">
        <v>-6.3230429047805001E-2</v>
      </c>
      <c r="AJ9">
        <v>-7.7724311636318794E-2</v>
      </c>
    </row>
    <row r="10" spans="1:36">
      <c r="A10" s="1">
        <v>43053</v>
      </c>
      <c r="B10" t="s">
        <v>18</v>
      </c>
      <c r="C10" t="s">
        <v>37</v>
      </c>
      <c r="D10">
        <v>118.4894</v>
      </c>
      <c r="E10" t="s">
        <v>194</v>
      </c>
      <c r="F10" t="s">
        <v>56</v>
      </c>
      <c r="G10">
        <v>9.84</v>
      </c>
      <c r="H10">
        <v>9.32</v>
      </c>
      <c r="I10">
        <v>4.1890410958904098</v>
      </c>
      <c r="J10">
        <v>0.296463541842023</v>
      </c>
      <c r="K10">
        <v>0.25664209762731399</v>
      </c>
      <c r="L10">
        <v>92.052700000000002</v>
      </c>
      <c r="M10">
        <v>30.042184864060399</v>
      </c>
      <c r="N10">
        <v>122.09488486406001</v>
      </c>
      <c r="O10">
        <v>30.1192175741112</v>
      </c>
      <c r="P10">
        <v>0.690201840079674</v>
      </c>
      <c r="Q10">
        <v>7.4055991424857703</v>
      </c>
      <c r="R10">
        <v>-0.31122337365119801</v>
      </c>
      <c r="S10">
        <v>-9.3498301252458305</v>
      </c>
      <c r="T10">
        <v>-6.3109192282537601</v>
      </c>
      <c r="U10">
        <v>-2.9530187673911801E-2</v>
      </c>
      <c r="V10">
        <v>-3.44323021464642E-2</v>
      </c>
      <c r="W10">
        <v>4.5228278797690702E-2</v>
      </c>
      <c r="X10">
        <v>-3.3489025449291901E-2</v>
      </c>
      <c r="Y10">
        <v>-1.44829386933478E-2</v>
      </c>
      <c r="Z10">
        <v>2.72728932608063E-2</v>
      </c>
      <c r="AA10">
        <v>3.8001215925940197E-2</v>
      </c>
      <c r="AB10">
        <v>1.7188945999360099E-2</v>
      </c>
      <c r="AC10">
        <v>-2.5302147248056701E-2</v>
      </c>
      <c r="AD10">
        <v>-5.9747035321051002E-2</v>
      </c>
      <c r="AE10">
        <v>-4.7444147397913299E-2</v>
      </c>
      <c r="AF10">
        <v>-6.2277483645796203E-2</v>
      </c>
      <c r="AG10">
        <v>-8.3755383271774203E-2</v>
      </c>
      <c r="AH10">
        <v>-8.7733675916315396E-2</v>
      </c>
      <c r="AI10">
        <v>-7.5844350349989001E-2</v>
      </c>
      <c r="AJ10">
        <v>-6.1256377595114202E-2</v>
      </c>
    </row>
    <row r="11" spans="1:36">
      <c r="A11" s="1">
        <v>43053</v>
      </c>
      <c r="B11" t="s">
        <v>26</v>
      </c>
      <c r="C11" t="s">
        <v>45</v>
      </c>
      <c r="D11">
        <v>103.9885</v>
      </c>
      <c r="E11" t="s">
        <v>187</v>
      </c>
      <c r="F11" t="s">
        <v>64</v>
      </c>
      <c r="G11">
        <v>5.95</v>
      </c>
      <c r="H11">
        <v>9.3000000000000007</v>
      </c>
      <c r="I11">
        <v>4.3397260273972602</v>
      </c>
      <c r="J11">
        <v>0.14904625769986299</v>
      </c>
      <c r="K11">
        <v>0.40229717026626099</v>
      </c>
      <c r="L11">
        <v>91.228499999999997</v>
      </c>
      <c r="M11">
        <v>1.26065182373744</v>
      </c>
      <c r="N11">
        <v>92.489151823737402</v>
      </c>
      <c r="O11">
        <v>1.22980919058939</v>
      </c>
      <c r="P11">
        <v>0.141516422982676</v>
      </c>
      <c r="Q11">
        <v>1.5216819675556601</v>
      </c>
      <c r="R11">
        <v>-5.85951382309245E-2</v>
      </c>
      <c r="S11">
        <v>-7.3868067872962503E-2</v>
      </c>
      <c r="T11">
        <v>-2.94027777777778</v>
      </c>
      <c r="U11">
        <v>0.124331858920899</v>
      </c>
      <c r="V11">
        <v>5.8936155911028E-2</v>
      </c>
      <c r="W11">
        <v>4.1391896438369498E-2</v>
      </c>
      <c r="X11">
        <v>0.119215768800477</v>
      </c>
      <c r="Y11">
        <v>0.110508978522914</v>
      </c>
      <c r="Z11">
        <v>0.11607206384091</v>
      </c>
      <c r="AA11">
        <v>0.102900414526994</v>
      </c>
      <c r="AB11">
        <v>7.9009880425502999E-2</v>
      </c>
      <c r="AC11">
        <v>7.3352075201407602E-2</v>
      </c>
      <c r="AD11">
        <v>5.8829711100494501E-2</v>
      </c>
      <c r="AE11">
        <v>4.1145475146568501E-2</v>
      </c>
      <c r="AF11">
        <v>3.4739477807536799E-2</v>
      </c>
      <c r="AG11">
        <v>2.4947808274952299E-2</v>
      </c>
      <c r="AH11">
        <v>6.2527769298429898E-3</v>
      </c>
      <c r="AI11">
        <v>3.8602605594670902E-3</v>
      </c>
      <c r="AJ11">
        <v>1.31350356764794E-2</v>
      </c>
    </row>
    <row r="12" spans="1:36">
      <c r="A12" s="1">
        <v>43053</v>
      </c>
      <c r="B12" t="s">
        <v>25</v>
      </c>
      <c r="C12" t="s">
        <v>44</v>
      </c>
      <c r="D12">
        <v>101.7251</v>
      </c>
      <c r="E12" t="s">
        <v>195</v>
      </c>
      <c r="F12" t="s">
        <v>63</v>
      </c>
      <c r="G12">
        <v>5.59</v>
      </c>
      <c r="H12">
        <v>7.74</v>
      </c>
      <c r="I12">
        <v>4.4328767123287696</v>
      </c>
      <c r="J12">
        <v>0.29883124532335598</v>
      </c>
      <c r="K12">
        <v>0.37002449362069001</v>
      </c>
      <c r="L12">
        <v>86.378</v>
      </c>
      <c r="M12">
        <v>11.438465610919399</v>
      </c>
      <c r="N12">
        <v>97.816465610919394</v>
      </c>
      <c r="O12">
        <v>11.437982959061999</v>
      </c>
      <c r="P12">
        <v>0.461381216550449</v>
      </c>
      <c r="Q12">
        <v>5.9609976298507599</v>
      </c>
      <c r="R12">
        <v>-0.18292607675081099</v>
      </c>
      <c r="S12">
        <v>-2.0923936382545598</v>
      </c>
      <c r="T12">
        <v>-3.4621084672435098</v>
      </c>
      <c r="U12">
        <v>3.9958859325666299E-2</v>
      </c>
      <c r="V12">
        <v>0.122165196891485</v>
      </c>
      <c r="W12">
        <v>3.5456240597755699E-2</v>
      </c>
      <c r="X12">
        <v>4.2346767505462603E-2</v>
      </c>
      <c r="Y12">
        <v>5.3538926385990199E-2</v>
      </c>
      <c r="Z12">
        <v>8.5691780458020603E-2</v>
      </c>
      <c r="AA12">
        <v>0.11619130332531501</v>
      </c>
      <c r="AB12">
        <v>0.120125199315885</v>
      </c>
      <c r="AC12">
        <v>0.119138868816014</v>
      </c>
      <c r="AD12">
        <v>0.136227614576926</v>
      </c>
      <c r="AE12">
        <v>0.144871117978745</v>
      </c>
      <c r="AF12">
        <v>0.147873066221934</v>
      </c>
      <c r="AG12">
        <v>0.162764752239382</v>
      </c>
      <c r="AH12">
        <v>0.15534119709565899</v>
      </c>
      <c r="AI12">
        <v>0.15532088344026601</v>
      </c>
      <c r="AJ12">
        <v>0.10092815715242399</v>
      </c>
    </row>
    <row r="13" spans="1:36">
      <c r="A13" s="1">
        <v>43053</v>
      </c>
      <c r="B13" t="s">
        <v>24</v>
      </c>
      <c r="C13" t="s">
        <v>43</v>
      </c>
      <c r="D13">
        <v>98.693200000000004</v>
      </c>
      <c r="E13" t="s">
        <v>192</v>
      </c>
      <c r="F13" t="s">
        <v>62</v>
      </c>
      <c r="G13">
        <v>3.5</v>
      </c>
      <c r="H13">
        <v>5.25</v>
      </c>
      <c r="I13">
        <v>4.5643835616438402</v>
      </c>
      <c r="J13">
        <v>0.188162901721902</v>
      </c>
      <c r="K13">
        <v>0.25895648185619002</v>
      </c>
      <c r="L13">
        <v>91.943200000000004</v>
      </c>
      <c r="M13">
        <v>3.5192355256656702</v>
      </c>
      <c r="N13">
        <v>95.462435525665697</v>
      </c>
      <c r="O13">
        <v>3.5407541926527801</v>
      </c>
      <c r="P13">
        <v>0.26196172666782402</v>
      </c>
      <c r="Q13">
        <v>4.9897471746252204</v>
      </c>
      <c r="R13">
        <v>-6.1168896961025197E-2</v>
      </c>
      <c r="S13">
        <v>-0.21526775525102301</v>
      </c>
      <c r="T13">
        <v>-1.4788415366146499</v>
      </c>
      <c r="U13">
        <v>3.3843306600591601E-2</v>
      </c>
      <c r="V13">
        <v>1.8295040818209801E-2</v>
      </c>
      <c r="W13">
        <v>3.2088595545394498E-2</v>
      </c>
      <c r="X13">
        <v>3.3091954167593397E-2</v>
      </c>
      <c r="Y13">
        <v>2.97541848193183E-2</v>
      </c>
      <c r="Z13">
        <v>3.9162021795001098E-2</v>
      </c>
      <c r="AA13">
        <v>5.7687370741743398E-2</v>
      </c>
      <c r="AB13">
        <v>4.6817892715502102E-2</v>
      </c>
      <c r="AC13">
        <v>4.1137414605961597E-2</v>
      </c>
      <c r="AD13">
        <v>3.2156188230803497E-2</v>
      </c>
      <c r="AE13">
        <v>2.6890253652761702E-2</v>
      </c>
      <c r="AF13">
        <v>1.7570560184235799E-2</v>
      </c>
      <c r="AG13">
        <v>-1.6015635281246499E-2</v>
      </c>
      <c r="AH13">
        <v>-3.8415136867803699E-2</v>
      </c>
      <c r="AI13">
        <v>-3.1705885837871803E-2</v>
      </c>
      <c r="AJ13">
        <v>-9.0811270382847795E-3</v>
      </c>
    </row>
    <row r="14" spans="1:36">
      <c r="A14" s="1">
        <v>43053</v>
      </c>
      <c r="B14" t="s">
        <v>27</v>
      </c>
      <c r="C14" t="s">
        <v>46</v>
      </c>
      <c r="D14">
        <v>98.833799999999997</v>
      </c>
      <c r="E14" t="s">
        <v>196</v>
      </c>
      <c r="F14" t="s">
        <v>65</v>
      </c>
      <c r="G14">
        <v>5.58</v>
      </c>
      <c r="H14">
        <v>10.029999999999999</v>
      </c>
      <c r="I14">
        <v>4.7041095890411002</v>
      </c>
      <c r="J14">
        <v>0.31684548243271898</v>
      </c>
      <c r="K14">
        <v>0.38591272003104898</v>
      </c>
      <c r="L14">
        <v>89.612700000000004</v>
      </c>
      <c r="M14">
        <v>6.2664036056191899</v>
      </c>
      <c r="N14">
        <v>95.879103605619207</v>
      </c>
      <c r="O14">
        <v>6.1800422949599003</v>
      </c>
      <c r="P14">
        <v>0.341997302403732</v>
      </c>
      <c r="Q14">
        <v>3.4097437926593499</v>
      </c>
      <c r="R14">
        <v>-0.16887249474517199</v>
      </c>
      <c r="S14">
        <v>-1.05822320996106</v>
      </c>
      <c r="T14">
        <v>-1.9602221898660399</v>
      </c>
      <c r="U14">
        <v>3.0816896312823201E-2</v>
      </c>
      <c r="V14">
        <v>1.86501891673981E-2</v>
      </c>
      <c r="W14">
        <v>2.13724888727184E-2</v>
      </c>
      <c r="X14">
        <v>2.74371380644815E-2</v>
      </c>
      <c r="Y14">
        <v>1.2679846034248E-2</v>
      </c>
      <c r="Z14">
        <v>1.53029001022885E-2</v>
      </c>
      <c r="AA14">
        <v>2.2656660985190199E-2</v>
      </c>
      <c r="AB14">
        <v>-1.6957148188441001E-2</v>
      </c>
      <c r="AC14">
        <v>-2.76886588860982E-3</v>
      </c>
      <c r="AD14">
        <v>4.4305270322100299E-2</v>
      </c>
      <c r="AE14">
        <v>3.9524308201798697E-2</v>
      </c>
      <c r="AF14">
        <v>3.6483496264470297E-2</v>
      </c>
      <c r="AG14">
        <v>3.3224476217101603E-2</v>
      </c>
      <c r="AH14">
        <v>2.1950859884216401E-2</v>
      </c>
      <c r="AI14">
        <v>1.2500417985700001E-2</v>
      </c>
      <c r="AJ14">
        <v>2.4906453914944199E-3</v>
      </c>
    </row>
    <row r="15" spans="1:36">
      <c r="A15" s="1">
        <v>43053</v>
      </c>
      <c r="B15" t="s">
        <v>10</v>
      </c>
      <c r="C15" t="s">
        <v>29</v>
      </c>
      <c r="D15">
        <v>110.16679999999999</v>
      </c>
      <c r="E15" t="s">
        <v>188</v>
      </c>
      <c r="F15" t="s">
        <v>48</v>
      </c>
      <c r="G15">
        <v>4.03</v>
      </c>
      <c r="H15">
        <v>4.26</v>
      </c>
      <c r="I15">
        <v>5.3369863013698602</v>
      </c>
      <c r="J15">
        <v>0.134857352344257</v>
      </c>
      <c r="K15">
        <v>0.28849844871832903</v>
      </c>
      <c r="L15">
        <v>84.637299999999996</v>
      </c>
      <c r="M15">
        <v>12.7512652015117</v>
      </c>
      <c r="N15">
        <v>97.388565201511696</v>
      </c>
      <c r="O15">
        <v>12.7940308071313</v>
      </c>
      <c r="P15">
        <v>0.59273267256596296</v>
      </c>
      <c r="Q15">
        <v>13.913912501548401</v>
      </c>
      <c r="R15">
        <v>-7.3334920914575594E-2</v>
      </c>
      <c r="S15">
        <v>-0.93511302511364103</v>
      </c>
      <c r="T15">
        <v>-4.7835048767967097</v>
      </c>
      <c r="U15">
        <v>0.131208779717087</v>
      </c>
      <c r="V15">
        <v>9.0453545030386606E-2</v>
      </c>
      <c r="W15">
        <v>4.08602103383073E-2</v>
      </c>
      <c r="X15">
        <v>0.120807166547891</v>
      </c>
      <c r="Y15">
        <v>0.12253664283514</v>
      </c>
      <c r="Z15">
        <v>0.13319359986493101</v>
      </c>
      <c r="AA15">
        <v>0.13208369334954301</v>
      </c>
      <c r="AB15">
        <v>9.1085643397270905E-2</v>
      </c>
      <c r="AC15">
        <v>7.7866760000895999E-2</v>
      </c>
      <c r="AD15">
        <v>5.7427387069844099E-2</v>
      </c>
      <c r="AE15">
        <v>4.68292408454965E-2</v>
      </c>
      <c r="AF15">
        <v>3.6490372317656602E-5</v>
      </c>
      <c r="AG15">
        <v>0</v>
      </c>
      <c r="AH15">
        <v>0</v>
      </c>
      <c r="AI15">
        <v>0</v>
      </c>
      <c r="AJ15">
        <v>0</v>
      </c>
    </row>
    <row r="16" spans="1:36">
      <c r="A16" s="1">
        <v>43053</v>
      </c>
      <c r="B16" t="s">
        <v>12</v>
      </c>
      <c r="C16" t="s">
        <v>31</v>
      </c>
      <c r="D16">
        <v>107.676</v>
      </c>
      <c r="E16" t="s">
        <v>189</v>
      </c>
      <c r="F16" t="s">
        <v>50</v>
      </c>
      <c r="G16">
        <v>13.82</v>
      </c>
      <c r="H16">
        <v>16.72</v>
      </c>
      <c r="I16">
        <v>5.3561643835616399</v>
      </c>
      <c r="J16">
        <v>0.26703003990899998</v>
      </c>
      <c r="K16">
        <v>0.35882756202872101</v>
      </c>
      <c r="L16">
        <v>84.257999999999996</v>
      </c>
      <c r="M16">
        <v>16.7394908130773</v>
      </c>
      <c r="N16">
        <v>100.99749081307699</v>
      </c>
      <c r="O16">
        <v>16.692793084266199</v>
      </c>
      <c r="P16">
        <v>0.55202063083552</v>
      </c>
      <c r="Q16">
        <v>3.3015587968631599</v>
      </c>
      <c r="R16">
        <v>-0.38781224658662999</v>
      </c>
      <c r="S16">
        <v>-6.49177953893577</v>
      </c>
      <c r="T16">
        <v>-4.3721585677749397</v>
      </c>
      <c r="U16">
        <v>6.6125496120324798E-2</v>
      </c>
      <c r="V16">
        <v>5.6874346420905601E-2</v>
      </c>
      <c r="W16">
        <v>5.4977328104883399E-2</v>
      </c>
      <c r="X16">
        <v>5.5779591154669503E-2</v>
      </c>
      <c r="Y16">
        <v>5.2016405549834902E-2</v>
      </c>
      <c r="Z16">
        <v>7.5619773226017997E-2</v>
      </c>
      <c r="AA16">
        <v>0.12573638175951901</v>
      </c>
      <c r="AB16">
        <v>8.9843198756180895E-2</v>
      </c>
      <c r="AC16">
        <v>6.2598078293035E-2</v>
      </c>
      <c r="AD16">
        <v>4.2383159964510898E-2</v>
      </c>
      <c r="AE16">
        <v>-2.9815091547767701E-2</v>
      </c>
      <c r="AF16">
        <v>-8.5122756227182197E-2</v>
      </c>
      <c r="AG16">
        <v>0</v>
      </c>
      <c r="AH16">
        <v>0</v>
      </c>
      <c r="AI16">
        <v>0</v>
      </c>
      <c r="AJ16">
        <v>0</v>
      </c>
    </row>
    <row r="17" spans="1:36">
      <c r="A17" s="1">
        <v>43053</v>
      </c>
      <c r="B17" t="s">
        <v>14</v>
      </c>
      <c r="C17" t="s">
        <v>33</v>
      </c>
      <c r="D17">
        <v>115.6096</v>
      </c>
      <c r="E17" t="s">
        <v>197</v>
      </c>
      <c r="F17" t="s">
        <v>52</v>
      </c>
      <c r="G17">
        <v>21.34</v>
      </c>
      <c r="H17">
        <v>20.46</v>
      </c>
      <c r="I17">
        <v>5.4219178082191801</v>
      </c>
      <c r="J17">
        <v>0.549208579393903</v>
      </c>
      <c r="K17">
        <v>0.247374519829827</v>
      </c>
      <c r="L17">
        <v>87.060199999999995</v>
      </c>
      <c r="M17">
        <v>53.152794647150202</v>
      </c>
      <c r="N17">
        <v>140.21299464715</v>
      </c>
      <c r="O17">
        <v>53.087521563584097</v>
      </c>
      <c r="P17">
        <v>0.76911704183232199</v>
      </c>
      <c r="Q17">
        <v>3.7591253266486899</v>
      </c>
      <c r="R17">
        <v>-0.84888726401444003</v>
      </c>
      <c r="S17">
        <v>-45.120730422740699</v>
      </c>
      <c r="T17">
        <v>-5.2655538150581096</v>
      </c>
      <c r="U17">
        <v>-0.17547157243924</v>
      </c>
      <c r="V17">
        <v>-0.166372334813923</v>
      </c>
      <c r="W17">
        <v>4.0087142213766198E-2</v>
      </c>
      <c r="X17">
        <v>-0.187395720557297</v>
      </c>
      <c r="Y17">
        <v>-0.19497462749467601</v>
      </c>
      <c r="Z17">
        <v>-0.21760487037905199</v>
      </c>
      <c r="AA17">
        <v>-0.19981669816610501</v>
      </c>
      <c r="AB17">
        <v>-0.145987644996737</v>
      </c>
      <c r="AC17">
        <v>-0.114328520029995</v>
      </c>
      <c r="AD17">
        <v>-0.13443527145815501</v>
      </c>
      <c r="AE17">
        <v>-0.13339305896874201</v>
      </c>
      <c r="AF17">
        <v>0</v>
      </c>
      <c r="AG17">
        <v>0</v>
      </c>
      <c r="AH17">
        <v>0</v>
      </c>
      <c r="AI17">
        <v>0</v>
      </c>
      <c r="AJ17">
        <v>0</v>
      </c>
    </row>
    <row r="18" spans="1:36">
      <c r="A18" s="1">
        <v>43053</v>
      </c>
      <c r="B18" t="s">
        <v>20</v>
      </c>
      <c r="C18" t="s">
        <v>39</v>
      </c>
      <c r="D18">
        <v>102.0026</v>
      </c>
      <c r="E18" t="s">
        <v>193</v>
      </c>
      <c r="F18" t="s">
        <v>58</v>
      </c>
      <c r="G18">
        <v>6.48</v>
      </c>
      <c r="H18">
        <v>8</v>
      </c>
      <c r="I18">
        <v>5.5479452054794498</v>
      </c>
      <c r="J18">
        <v>0.292499843973624</v>
      </c>
      <c r="K18">
        <v>0.23924450817218099</v>
      </c>
      <c r="L18">
        <v>88.063100000000006</v>
      </c>
      <c r="M18">
        <v>18.1894175322448</v>
      </c>
      <c r="N18">
        <v>106.25251753224499</v>
      </c>
      <c r="O18">
        <v>18.132208092948499</v>
      </c>
      <c r="P18">
        <v>0.56332824283267902</v>
      </c>
      <c r="Q18">
        <v>7.04160303540848</v>
      </c>
      <c r="R18">
        <v>-0.191416202159232</v>
      </c>
      <c r="S18">
        <v>-3.4817492235108398</v>
      </c>
      <c r="T18">
        <v>-2.5125518518518501</v>
      </c>
      <c r="U18">
        <v>-3.9998276096893902E-2</v>
      </c>
      <c r="V18">
        <v>-2.1463240328932098E-2</v>
      </c>
      <c r="W18">
        <v>2.96636935213235E-2</v>
      </c>
      <c r="X18">
        <v>-3.2240976231716997E-2</v>
      </c>
      <c r="Y18">
        <v>-2.37130000132788E-2</v>
      </c>
      <c r="Z18">
        <v>-1.7054697728686699E-3</v>
      </c>
      <c r="AA18">
        <v>1.91065485340775E-3</v>
      </c>
      <c r="AB18">
        <v>-2.1785221505937299E-2</v>
      </c>
      <c r="AC18">
        <v>-5.9545520923803601E-2</v>
      </c>
      <c r="AD18">
        <v>0</v>
      </c>
      <c r="AE18">
        <v>0</v>
      </c>
      <c r="AF18">
        <v>0</v>
      </c>
      <c r="AG18">
        <v>0</v>
      </c>
      <c r="AH18">
        <v>0</v>
      </c>
      <c r="AI18">
        <v>0</v>
      </c>
      <c r="AJ18">
        <v>0</v>
      </c>
    </row>
    <row r="19" spans="1:36">
      <c r="A19" s="1">
        <v>43053</v>
      </c>
      <c r="B19" t="s">
        <v>19</v>
      </c>
      <c r="C19" t="s">
        <v>38</v>
      </c>
      <c r="D19">
        <v>109.71850000000001</v>
      </c>
      <c r="E19" t="s">
        <v>198</v>
      </c>
      <c r="F19" t="s">
        <v>57</v>
      </c>
      <c r="G19">
        <v>12</v>
      </c>
      <c r="H19">
        <v>12.9</v>
      </c>
      <c r="I19">
        <v>5.5643835616438402</v>
      </c>
      <c r="J19">
        <v>0.28309109420818002</v>
      </c>
      <c r="K19">
        <v>0.27625015393934399</v>
      </c>
      <c r="L19">
        <v>85.689899999999994</v>
      </c>
      <c r="M19">
        <v>24.7130573386085</v>
      </c>
      <c r="N19">
        <v>110.402957338609</v>
      </c>
      <c r="O19">
        <v>24.809437876619</v>
      </c>
      <c r="P19">
        <v>0.63704854472599504</v>
      </c>
      <c r="Q19">
        <v>4.93836081182942</v>
      </c>
      <c r="R19">
        <v>-0.33698972742743899</v>
      </c>
      <c r="S19">
        <v>-8.3280464564363594</v>
      </c>
      <c r="T19">
        <v>-4.3182860659773503</v>
      </c>
      <c r="U19">
        <v>-6.1996286612979699E-3</v>
      </c>
      <c r="V19">
        <v>-2.74549438299641E-2</v>
      </c>
      <c r="W19">
        <v>5.4589632961689998E-2</v>
      </c>
      <c r="X19">
        <v>-1.03975875231682E-2</v>
      </c>
      <c r="Y19">
        <v>-1.0633665627982101E-2</v>
      </c>
      <c r="Z19">
        <v>-3.4637958851108899E-3</v>
      </c>
      <c r="AA19">
        <v>9.8117099432126608E-3</v>
      </c>
      <c r="AB19">
        <v>-2.5139678069161099E-2</v>
      </c>
      <c r="AC19">
        <v>-0.137225709541934</v>
      </c>
      <c r="AD19">
        <v>0</v>
      </c>
      <c r="AE19">
        <v>0</v>
      </c>
      <c r="AF19">
        <v>0</v>
      </c>
      <c r="AG19">
        <v>0</v>
      </c>
      <c r="AH19">
        <v>0</v>
      </c>
      <c r="AI19">
        <v>0</v>
      </c>
      <c r="AJ19">
        <v>0</v>
      </c>
    </row>
    <row r="20" spans="1:36">
      <c r="A20" s="1">
        <v>43053</v>
      </c>
      <c r="B20" t="s">
        <v>11</v>
      </c>
      <c r="C20" t="s">
        <v>30</v>
      </c>
      <c r="D20">
        <v>118.3082</v>
      </c>
      <c r="E20" t="s">
        <v>190</v>
      </c>
      <c r="F20" t="s">
        <v>49</v>
      </c>
      <c r="G20">
        <v>20.04</v>
      </c>
      <c r="H20">
        <v>20.2</v>
      </c>
      <c r="I20">
        <v>5.6438356164383601</v>
      </c>
      <c r="J20">
        <v>0.20774622706844201</v>
      </c>
      <c r="K20">
        <v>0.354228308783819</v>
      </c>
      <c r="L20">
        <v>83.395600000000002</v>
      </c>
      <c r="M20">
        <v>22.505440470616101</v>
      </c>
      <c r="N20">
        <v>105.901040470616</v>
      </c>
      <c r="O20">
        <v>22.450013844508899</v>
      </c>
      <c r="P20">
        <v>0.656227159969069</v>
      </c>
      <c r="Q20">
        <v>3.2486493067775699</v>
      </c>
      <c r="R20">
        <v>-0.451473391736329</v>
      </c>
      <c r="S20">
        <v>-10.1606075417891</v>
      </c>
      <c r="T20">
        <v>-6.1859703883495101</v>
      </c>
      <c r="U20">
        <v>0.117158051273599</v>
      </c>
      <c r="V20">
        <v>0.114192728213261</v>
      </c>
      <c r="W20">
        <v>6.3667454682007504E-2</v>
      </c>
      <c r="X20">
        <v>0.102314145920512</v>
      </c>
      <c r="Y20">
        <v>0.117288118613118</v>
      </c>
      <c r="Z20">
        <v>0.13452676866896199</v>
      </c>
      <c r="AA20">
        <v>0.16736768959904</v>
      </c>
      <c r="AB20">
        <v>2.1023623783100499E-2</v>
      </c>
      <c r="AC20">
        <v>0</v>
      </c>
      <c r="AD20">
        <v>0</v>
      </c>
      <c r="AE20">
        <v>0</v>
      </c>
      <c r="AF20">
        <v>0</v>
      </c>
      <c r="AG20">
        <v>0</v>
      </c>
      <c r="AH20">
        <v>0</v>
      </c>
      <c r="AI20">
        <v>0</v>
      </c>
      <c r="AJ20">
        <v>0</v>
      </c>
    </row>
    <row r="21" spans="1:36">
      <c r="A21" s="1">
        <v>43053</v>
      </c>
      <c r="B21" t="s">
        <v>158</v>
      </c>
      <c r="C21" t="s">
        <v>160</v>
      </c>
      <c r="D21">
        <v>117.9081</v>
      </c>
      <c r="E21" t="s">
        <v>199</v>
      </c>
      <c r="F21" t="s">
        <v>161</v>
      </c>
      <c r="G21">
        <v>38.5</v>
      </c>
      <c r="H21">
        <v>38.479999999999997</v>
      </c>
      <c r="I21">
        <v>5.86301369863014</v>
      </c>
      <c r="J21">
        <v>0.33955762913784898</v>
      </c>
      <c r="K21">
        <v>0.33920059016613402</v>
      </c>
      <c r="L21">
        <v>82.986599999999996</v>
      </c>
      <c r="M21">
        <v>34.967637294355399</v>
      </c>
      <c r="N21">
        <v>117.954237294355</v>
      </c>
      <c r="O21">
        <v>34.817397429791299</v>
      </c>
      <c r="P21">
        <v>0.69801250625394395</v>
      </c>
      <c r="Q21">
        <v>1.81396181458925</v>
      </c>
      <c r="R21">
        <v>-1.1426644011174401</v>
      </c>
      <c r="S21">
        <v>-39.956274327446501</v>
      </c>
      <c r="T21">
        <v>-5.9562371495327104</v>
      </c>
      <c r="U21">
        <v>-3.9114571391119001E-4</v>
      </c>
      <c r="V21">
        <v>-7.46412933516587E-2</v>
      </c>
      <c r="W21">
        <v>8.0022651414644902E-2</v>
      </c>
      <c r="X21">
        <v>-3.5867339298894401E-3</v>
      </c>
      <c r="Y21">
        <v>-9.2539436110872494E-2</v>
      </c>
      <c r="Z21">
        <v>-0.15589672681387001</v>
      </c>
      <c r="AA21">
        <v>0</v>
      </c>
      <c r="AB21">
        <v>0</v>
      </c>
      <c r="AC21">
        <v>0</v>
      </c>
      <c r="AD21">
        <v>0</v>
      </c>
      <c r="AE21">
        <v>0</v>
      </c>
      <c r="AF21">
        <v>0</v>
      </c>
      <c r="AG21">
        <v>0</v>
      </c>
      <c r="AH21">
        <v>0</v>
      </c>
      <c r="AI21">
        <v>0</v>
      </c>
      <c r="AJ21">
        <v>0</v>
      </c>
    </row>
    <row r="22" spans="1:36">
      <c r="A22" s="1">
        <v>43053</v>
      </c>
      <c r="B22" t="s">
        <v>204</v>
      </c>
      <c r="C22" t="s">
        <v>205</v>
      </c>
      <c r="D22">
        <v>125.3544</v>
      </c>
      <c r="E22" t="s">
        <v>206</v>
      </c>
      <c r="F22" t="s">
        <v>207</v>
      </c>
      <c r="G22">
        <v>10.7</v>
      </c>
      <c r="H22">
        <v>8.8000000000000007</v>
      </c>
      <c r="I22">
        <v>5.9506849315068502</v>
      </c>
      <c r="J22">
        <v>0.33636809030430997</v>
      </c>
      <c r="K22">
        <v>0.23985981322425501</v>
      </c>
      <c r="L22">
        <v>83.0411</v>
      </c>
      <c r="M22">
        <v>50.877103235776403</v>
      </c>
      <c r="N22">
        <v>133.91820323577599</v>
      </c>
      <c r="O22">
        <v>50.879617342925499</v>
      </c>
      <c r="P22">
        <v>0.77556496827757404</v>
      </c>
      <c r="Q22">
        <v>8.8132382758815204</v>
      </c>
      <c r="R22">
        <v>-0.27825333208327402</v>
      </c>
      <c r="S22">
        <v>-14.156723502099499</v>
      </c>
      <c r="T22">
        <v>-7.1106604511970497</v>
      </c>
      <c r="U22">
        <v>-6.3948014749712206E-2</v>
      </c>
      <c r="V22">
        <v>-0.12105616521377301</v>
      </c>
      <c r="W22">
        <v>3.0089053589685801E-2</v>
      </c>
      <c r="X22">
        <v>-0.12021296025130999</v>
      </c>
      <c r="Y22">
        <v>-0.12386684842198201</v>
      </c>
      <c r="Z22">
        <v>0</v>
      </c>
      <c r="AA22">
        <v>0</v>
      </c>
      <c r="AB22">
        <v>0</v>
      </c>
      <c r="AC22">
        <v>0</v>
      </c>
      <c r="AD22">
        <v>0</v>
      </c>
      <c r="AE22">
        <v>0</v>
      </c>
      <c r="AF22">
        <v>0</v>
      </c>
      <c r="AG22">
        <v>0</v>
      </c>
      <c r="AH22">
        <v>0</v>
      </c>
      <c r="AI22">
        <v>0</v>
      </c>
      <c r="AJ22">
        <v>0</v>
      </c>
    </row>
    <row r="23" spans="1:36">
      <c r="A23" s="1">
        <v>43053</v>
      </c>
      <c r="B23" t="s">
        <v>212</v>
      </c>
      <c r="C23" t="s">
        <v>213</v>
      </c>
      <c r="D23">
        <v>99.988500000000002</v>
      </c>
      <c r="E23" t="s">
        <v>214</v>
      </c>
      <c r="F23" t="s">
        <v>215</v>
      </c>
      <c r="G23">
        <v>24.7</v>
      </c>
      <c r="H23">
        <v>23.92</v>
      </c>
      <c r="I23">
        <v>5.9643835616438396</v>
      </c>
      <c r="J23">
        <v>0.27209280776584299</v>
      </c>
      <c r="K23">
        <v>0.11068664508972401</v>
      </c>
      <c r="L23">
        <v>82.586500000000001</v>
      </c>
      <c r="M23">
        <v>31.657084865731999</v>
      </c>
      <c r="N23">
        <v>114.243584865732</v>
      </c>
      <c r="O23">
        <v>31.6652940663819</v>
      </c>
      <c r="P23">
        <v>0.69678542833303303</v>
      </c>
      <c r="Q23">
        <v>2.9129825599207102</v>
      </c>
      <c r="R23">
        <v>-0.62527852365898495</v>
      </c>
      <c r="S23">
        <v>-19.794495288192099</v>
      </c>
      <c r="T23">
        <v>-2.9176527331189699</v>
      </c>
      <c r="U23">
        <v>-0.124777989788098</v>
      </c>
      <c r="V23">
        <v>-0.10985157766451201</v>
      </c>
      <c r="W23">
        <v>1.41984638345164E-2</v>
      </c>
      <c r="X23">
        <v>-0.10985157766451201</v>
      </c>
      <c r="Y23">
        <v>0</v>
      </c>
      <c r="Z23">
        <v>0</v>
      </c>
      <c r="AA23">
        <v>0</v>
      </c>
      <c r="AB23">
        <v>0</v>
      </c>
      <c r="AC23">
        <v>0</v>
      </c>
      <c r="AD23">
        <v>0</v>
      </c>
      <c r="AE23">
        <v>0</v>
      </c>
      <c r="AF23">
        <v>0</v>
      </c>
      <c r="AG23">
        <v>0</v>
      </c>
      <c r="AH23">
        <v>0</v>
      </c>
      <c r="AI23">
        <v>0</v>
      </c>
      <c r="AJ23">
        <v>0</v>
      </c>
    </row>
    <row r="24" spans="1:36">
      <c r="A24" s="1">
        <v>43053</v>
      </c>
      <c r="B24" t="s">
        <v>208</v>
      </c>
      <c r="C24" t="s">
        <v>209</v>
      </c>
      <c r="D24">
        <v>99.9893</v>
      </c>
      <c r="E24" t="s">
        <v>210</v>
      </c>
      <c r="F24" t="s">
        <v>211</v>
      </c>
      <c r="G24">
        <v>38.549999999999997</v>
      </c>
      <c r="H24">
        <v>32.35</v>
      </c>
      <c r="I24">
        <v>5.9671232876712299</v>
      </c>
      <c r="J24">
        <v>0.44773670978075802</v>
      </c>
      <c r="K24">
        <v>0.45453861236572302</v>
      </c>
      <c r="L24">
        <v>82.575199999999995</v>
      </c>
      <c r="M24">
        <v>58.765059297209298</v>
      </c>
      <c r="N24">
        <v>141.340259297209</v>
      </c>
      <c r="O24">
        <v>58.929945118561001</v>
      </c>
      <c r="P24">
        <v>0.78494796254329602</v>
      </c>
      <c r="Q24">
        <v>2.42642337725903</v>
      </c>
      <c r="R24">
        <v>-1.2011702951649501</v>
      </c>
      <c r="S24">
        <v>-70.586843621414701</v>
      </c>
      <c r="T24">
        <v>-2.9183409090909098</v>
      </c>
      <c r="U24">
        <v>-0.29256320529493901</v>
      </c>
      <c r="V24">
        <v>-0.246236540729596</v>
      </c>
      <c r="W24">
        <v>4.5198557423848797E-2</v>
      </c>
      <c r="X24">
        <v>-0.246236540729596</v>
      </c>
      <c r="Y24">
        <v>0</v>
      </c>
      <c r="Z24">
        <v>0</v>
      </c>
      <c r="AA24">
        <v>0</v>
      </c>
      <c r="AB24">
        <v>0</v>
      </c>
      <c r="AC24">
        <v>0</v>
      </c>
      <c r="AD24">
        <v>0</v>
      </c>
      <c r="AE24">
        <v>0</v>
      </c>
      <c r="AF24">
        <v>0</v>
      </c>
      <c r="AG24">
        <v>0</v>
      </c>
      <c r="AH24">
        <v>0</v>
      </c>
      <c r="AI24">
        <v>0</v>
      </c>
      <c r="AJ24">
        <v>0</v>
      </c>
    </row>
    <row r="25" spans="1:36">
      <c r="A25" s="1">
        <v>43053</v>
      </c>
      <c r="B25" t="s">
        <v>221</v>
      </c>
      <c r="C25" t="s">
        <v>219</v>
      </c>
      <c r="D25">
        <v>99.992599999999996</v>
      </c>
      <c r="E25" t="s">
        <v>220</v>
      </c>
      <c r="F25" t="s">
        <v>228</v>
      </c>
      <c r="G25">
        <v>24.33</v>
      </c>
      <c r="H25">
        <v>23</v>
      </c>
      <c r="I25">
        <v>5.9780821917808202</v>
      </c>
      <c r="J25">
        <v>0.39884872562260199</v>
      </c>
      <c r="K25">
        <v>8.2397323917205501E-2</v>
      </c>
      <c r="L25">
        <v>82.927800000000005</v>
      </c>
      <c r="M25">
        <v>44.452883553653997</v>
      </c>
      <c r="N25">
        <v>127.38068355365399</v>
      </c>
      <c r="O25">
        <v>44.486860116217201</v>
      </c>
      <c r="P25">
        <v>0.73800064274043997</v>
      </c>
      <c r="Q25">
        <v>3.2086984466975701</v>
      </c>
      <c r="R25">
        <v>-0.76219661965111496</v>
      </c>
      <c r="S25">
        <v>-33.881837578339699</v>
      </c>
      <c r="T25">
        <v>-2.8545609532538898</v>
      </c>
      <c r="U25">
        <v>-0.21500970782683801</v>
      </c>
      <c r="V25">
        <v>-0.20664455321897601</v>
      </c>
      <c r="W25">
        <v>9.7618967112689005E-3</v>
      </c>
      <c r="X25">
        <v>-0.20664455321897601</v>
      </c>
      <c r="Y25">
        <v>0</v>
      </c>
      <c r="Z25">
        <v>0</v>
      </c>
      <c r="AA25">
        <v>0</v>
      </c>
      <c r="AB25">
        <v>0</v>
      </c>
      <c r="AC25">
        <v>0</v>
      </c>
      <c r="AD25">
        <v>0</v>
      </c>
      <c r="AE25">
        <v>0</v>
      </c>
      <c r="AF25">
        <v>0</v>
      </c>
      <c r="AG25">
        <v>0</v>
      </c>
      <c r="AH25">
        <v>0</v>
      </c>
      <c r="AI25">
        <v>0</v>
      </c>
      <c r="AJ25">
        <v>0</v>
      </c>
    </row>
    <row r="26" spans="1:36">
      <c r="A26" s="1">
        <v>43053</v>
      </c>
      <c r="B26" t="s">
        <v>222</v>
      </c>
      <c r="C26" t="s">
        <v>218</v>
      </c>
      <c r="D26">
        <v>99.992599999999996</v>
      </c>
      <c r="E26" t="s">
        <v>223</v>
      </c>
      <c r="F26" t="s">
        <v>224</v>
      </c>
      <c r="G26">
        <v>11.91</v>
      </c>
      <c r="H26">
        <v>11.9</v>
      </c>
      <c r="I26">
        <v>5.9780821917808202</v>
      </c>
      <c r="J26">
        <v>0.28627478139435403</v>
      </c>
      <c r="K26">
        <v>0.13184690070673399</v>
      </c>
      <c r="L26">
        <v>82.927800000000005</v>
      </c>
      <c r="M26">
        <v>30.7423171546181</v>
      </c>
      <c r="N26">
        <v>113.670117154618</v>
      </c>
      <c r="O26">
        <v>30.615101098444701</v>
      </c>
      <c r="P26">
        <v>0.68413186100908097</v>
      </c>
      <c r="Q26">
        <v>5.7490072353704296</v>
      </c>
      <c r="R26">
        <v>-0.31532263951108402</v>
      </c>
      <c r="S26">
        <v>-9.6937485898810607</v>
      </c>
      <c r="T26">
        <v>-2.8545609532538898</v>
      </c>
      <c r="U26">
        <v>-0.1203264102914</v>
      </c>
      <c r="V26">
        <v>-0.10423067395628299</v>
      </c>
      <c r="W26">
        <v>1.79836870301836E-2</v>
      </c>
      <c r="X26">
        <v>-0.10423067395628299</v>
      </c>
      <c r="Y26">
        <v>0</v>
      </c>
      <c r="Z26">
        <v>0</v>
      </c>
      <c r="AA26">
        <v>0</v>
      </c>
      <c r="AB26">
        <v>0</v>
      </c>
      <c r="AC26">
        <v>0</v>
      </c>
      <c r="AD26">
        <v>0</v>
      </c>
      <c r="AE26">
        <v>0</v>
      </c>
      <c r="AF26">
        <v>0</v>
      </c>
      <c r="AG26">
        <v>0</v>
      </c>
      <c r="AH26">
        <v>0</v>
      </c>
      <c r="AI26">
        <v>0</v>
      </c>
      <c r="AJ26">
        <v>0</v>
      </c>
    </row>
    <row r="27" spans="1:36">
      <c r="A27" s="1">
        <v>43053</v>
      </c>
      <c r="B27" t="s">
        <v>248</v>
      </c>
      <c r="C27" t="s">
        <v>227</v>
      </c>
      <c r="D27">
        <v>99.994200000000006</v>
      </c>
      <c r="E27" t="s">
        <v>249</v>
      </c>
      <c r="F27" t="s">
        <v>226</v>
      </c>
      <c r="G27">
        <v>8.1</v>
      </c>
      <c r="H27">
        <v>8.3699999999999992</v>
      </c>
      <c r="I27">
        <v>5.9835616438356203</v>
      </c>
      <c r="J27">
        <v>0.27166629659765701</v>
      </c>
      <c r="K27">
        <v>0.19569457563920001</v>
      </c>
      <c r="L27">
        <v>79.390500000000003</v>
      </c>
      <c r="M27">
        <v>27.259898517322199</v>
      </c>
      <c r="N27">
        <v>106.650398517322</v>
      </c>
      <c r="O27">
        <v>27.271424761098601</v>
      </c>
      <c r="P27">
        <v>0.66202122650423401</v>
      </c>
      <c r="Q27">
        <v>7.9094531243038704</v>
      </c>
      <c r="R27">
        <v>-0.21064140679190599</v>
      </c>
      <c r="S27">
        <v>-5.7420633726933401</v>
      </c>
      <c r="T27">
        <v>-3.4433839285714298</v>
      </c>
      <c r="U27">
        <v>-6.2411379702825003E-2</v>
      </c>
      <c r="V27">
        <v>-8.7507742809223896E-2</v>
      </c>
      <c r="W27">
        <v>1.98970619830902E-2</v>
      </c>
      <c r="X27">
        <v>-8.7507742809223896E-2</v>
      </c>
      <c r="Y27">
        <v>0</v>
      </c>
      <c r="Z27">
        <v>0</v>
      </c>
      <c r="AA27">
        <v>0</v>
      </c>
      <c r="AB27">
        <v>0</v>
      </c>
      <c r="AC27">
        <v>0</v>
      </c>
      <c r="AD27">
        <v>0</v>
      </c>
      <c r="AE27">
        <v>0</v>
      </c>
      <c r="AF27">
        <v>0</v>
      </c>
      <c r="AG27">
        <v>0</v>
      </c>
      <c r="AH27">
        <v>0</v>
      </c>
      <c r="AI27">
        <v>0</v>
      </c>
      <c r="AJ27">
        <v>0</v>
      </c>
    </row>
    <row r="28" spans="1:36">
      <c r="A28" s="1">
        <v>43053</v>
      </c>
      <c r="B28" t="s">
        <v>245</v>
      </c>
      <c r="C28" t="s">
        <v>240</v>
      </c>
      <c r="D28">
        <v>99.994500000000002</v>
      </c>
      <c r="E28" t="s">
        <v>246</v>
      </c>
      <c r="F28" t="s">
        <v>239</v>
      </c>
      <c r="G28">
        <v>43.54</v>
      </c>
      <c r="H28">
        <v>45.48</v>
      </c>
      <c r="I28">
        <v>5.9890410958904097</v>
      </c>
      <c r="J28">
        <v>0.52857031299967305</v>
      </c>
      <c r="K28">
        <v>0.14504723067585201</v>
      </c>
      <c r="L28">
        <v>84.552700000000002</v>
      </c>
      <c r="M28">
        <v>47.310146505618398</v>
      </c>
      <c r="N28">
        <v>131.86284650561799</v>
      </c>
      <c r="O28">
        <v>47.250660369359998</v>
      </c>
      <c r="P28">
        <v>0.75254533243384703</v>
      </c>
      <c r="Q28">
        <v>1.6546731144103899</v>
      </c>
      <c r="R28">
        <v>-1.6548023109496699</v>
      </c>
      <c r="S28">
        <v>-78.288939768864793</v>
      </c>
      <c r="T28">
        <v>-2.5783426349496801</v>
      </c>
      <c r="U28">
        <v>-0.24167798094864101</v>
      </c>
      <c r="V28">
        <v>-0.25856164778801799</v>
      </c>
      <c r="W28">
        <v>1.5698084634226998E-2</v>
      </c>
      <c r="X28">
        <v>-0.25856164778801799</v>
      </c>
      <c r="Y28">
        <v>0</v>
      </c>
      <c r="Z28">
        <v>0</v>
      </c>
      <c r="AA28">
        <v>0</v>
      </c>
      <c r="AB28">
        <v>0</v>
      </c>
      <c r="AC28">
        <v>0</v>
      </c>
      <c r="AD28">
        <v>0</v>
      </c>
      <c r="AE28">
        <v>0</v>
      </c>
      <c r="AF28">
        <v>0</v>
      </c>
      <c r="AG28">
        <v>0</v>
      </c>
      <c r="AH28">
        <v>0</v>
      </c>
      <c r="AI28">
        <v>0</v>
      </c>
      <c r="AJ28">
        <v>0</v>
      </c>
    </row>
    <row r="29" spans="1:36">
      <c r="A29" s="1">
        <v>43053</v>
      </c>
      <c r="B29" t="s">
        <v>252</v>
      </c>
      <c r="C29" t="s">
        <v>242</v>
      </c>
      <c r="D29">
        <v>99.998900000000006</v>
      </c>
      <c r="E29" t="s">
        <v>253</v>
      </c>
      <c r="F29" t="s">
        <v>241</v>
      </c>
      <c r="G29">
        <v>40.56</v>
      </c>
      <c r="H29">
        <v>41.04</v>
      </c>
      <c r="I29">
        <v>4.9972602739726</v>
      </c>
      <c r="J29">
        <v>0.27518665592126001</v>
      </c>
      <c r="K29">
        <v>0.13711191765511099</v>
      </c>
      <c r="L29">
        <v>85.053200000000004</v>
      </c>
      <c r="M29">
        <v>26.290698363313101</v>
      </c>
      <c r="N29">
        <v>111.343898363313</v>
      </c>
      <c r="O29">
        <v>26.230641595407601</v>
      </c>
      <c r="P29">
        <v>0.65921084299451305</v>
      </c>
      <c r="Q29">
        <v>1.60626423731607</v>
      </c>
      <c r="R29">
        <v>-1.1547675059247899</v>
      </c>
      <c r="S29">
        <v>-30.359644178023899</v>
      </c>
      <c r="T29">
        <v>-2.9907787828947399</v>
      </c>
      <c r="U29">
        <v>-0.101891513860011</v>
      </c>
      <c r="V29">
        <v>-0.112399665506489</v>
      </c>
      <c r="W29">
        <v>1.4743553504171201E-2</v>
      </c>
      <c r="X29">
        <v>-0.112399665506489</v>
      </c>
      <c r="Y29">
        <v>0</v>
      </c>
      <c r="Z29">
        <v>0</v>
      </c>
      <c r="AA29">
        <v>0</v>
      </c>
      <c r="AB29">
        <v>0</v>
      </c>
      <c r="AC29">
        <v>0</v>
      </c>
      <c r="AD29">
        <v>0</v>
      </c>
      <c r="AE29">
        <v>0</v>
      </c>
      <c r="AF29">
        <v>0</v>
      </c>
      <c r="AG29">
        <v>0</v>
      </c>
      <c r="AH29">
        <v>0</v>
      </c>
      <c r="AI29">
        <v>0</v>
      </c>
      <c r="AJ29">
        <v>0</v>
      </c>
    </row>
    <row r="30" spans="1:36">
      <c r="A30" s="1">
        <v>43053</v>
      </c>
      <c r="B30" t="s">
        <v>254</v>
      </c>
      <c r="C30" t="s">
        <v>255</v>
      </c>
      <c r="D30" t="s">
        <v>247</v>
      </c>
      <c r="E30" t="s">
        <v>256</v>
      </c>
      <c r="F30" t="s">
        <v>257</v>
      </c>
      <c r="G30">
        <v>18.649999999999999</v>
      </c>
      <c r="H30" t="s">
        <v>247</v>
      </c>
      <c r="I30">
        <v>6.0082191780821903</v>
      </c>
      <c r="J30">
        <v>0.32329916605115899</v>
      </c>
      <c r="K30" t="s">
        <v>247</v>
      </c>
      <c r="L30" t="s">
        <v>247</v>
      </c>
      <c r="M30" t="s">
        <v>247</v>
      </c>
      <c r="N30" t="s">
        <v>247</v>
      </c>
      <c r="O30" t="s">
        <v>247</v>
      </c>
      <c r="P30" t="s">
        <v>247</v>
      </c>
      <c r="Q30" t="s">
        <v>247</v>
      </c>
      <c r="R30" t="s">
        <v>247</v>
      </c>
      <c r="S30" t="s">
        <v>247</v>
      </c>
      <c r="T30" t="s">
        <v>247</v>
      </c>
      <c r="U30" t="s">
        <v>247</v>
      </c>
      <c r="V30" t="s">
        <v>247</v>
      </c>
      <c r="W30" t="s">
        <v>247</v>
      </c>
      <c r="X30">
        <v>0</v>
      </c>
      <c r="Y30">
        <v>0</v>
      </c>
      <c r="Z30">
        <v>0</v>
      </c>
      <c r="AA30">
        <v>0</v>
      </c>
      <c r="AB30">
        <v>0</v>
      </c>
      <c r="AC30">
        <v>0</v>
      </c>
      <c r="AD30">
        <v>0</v>
      </c>
      <c r="AE30">
        <v>0</v>
      </c>
      <c r="AF30">
        <v>0</v>
      </c>
      <c r="AG30">
        <v>0</v>
      </c>
      <c r="AH30">
        <v>0</v>
      </c>
      <c r="AI30">
        <v>0</v>
      </c>
      <c r="AJ30">
        <v>0</v>
      </c>
    </row>
    <row r="31" spans="1:36">
      <c r="A31" s="1">
        <v>43053</v>
      </c>
      <c r="B31" t="s">
        <v>258</v>
      </c>
      <c r="C31" t="s">
        <v>251</v>
      </c>
      <c r="D31" t="s">
        <v>247</v>
      </c>
      <c r="E31" t="s">
        <v>259</v>
      </c>
      <c r="F31" t="s">
        <v>250</v>
      </c>
      <c r="G31">
        <v>29.71</v>
      </c>
      <c r="H31" t="s">
        <v>247</v>
      </c>
      <c r="I31">
        <v>6.0082191780821903</v>
      </c>
      <c r="J31">
        <v>0.416685743864252</v>
      </c>
      <c r="K31" t="s">
        <v>247</v>
      </c>
      <c r="L31" t="s">
        <v>247</v>
      </c>
      <c r="M31" t="s">
        <v>247</v>
      </c>
      <c r="N31" t="s">
        <v>247</v>
      </c>
      <c r="O31" t="s">
        <v>247</v>
      </c>
      <c r="P31" t="s">
        <v>247</v>
      </c>
      <c r="Q31" t="s">
        <v>247</v>
      </c>
      <c r="R31" t="s">
        <v>247</v>
      </c>
      <c r="S31" t="s">
        <v>247</v>
      </c>
      <c r="T31" t="s">
        <v>247</v>
      </c>
      <c r="U31" t="s">
        <v>247</v>
      </c>
      <c r="V31" t="s">
        <v>247</v>
      </c>
      <c r="W31" t="s">
        <v>247</v>
      </c>
      <c r="X31">
        <v>0</v>
      </c>
      <c r="Y31">
        <v>0</v>
      </c>
      <c r="Z31">
        <v>0</v>
      </c>
      <c r="AA31">
        <v>0</v>
      </c>
      <c r="AB31">
        <v>0</v>
      </c>
      <c r="AC31">
        <v>0</v>
      </c>
      <c r="AD31">
        <v>0</v>
      </c>
      <c r="AE31">
        <v>0</v>
      </c>
      <c r="AF31">
        <v>0</v>
      </c>
      <c r="AG31">
        <v>0</v>
      </c>
      <c r="AH31">
        <v>0</v>
      </c>
      <c r="AI31">
        <v>0</v>
      </c>
      <c r="AJ31">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使用说明</vt:lpstr>
      <vt:lpstr>实时溢价率</vt:lpstr>
      <vt:lpstr>历史溢价率</vt:lpstr>
      <vt:lpstr>期权价值</vt:lpstr>
      <vt:lpstr>个券试算</vt:lpstr>
      <vt:lpstr>IPO</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cp:lastPrinted>2017-11-15T07:00:12Z</cp:lastPrinted>
  <dcterms:created xsi:type="dcterms:W3CDTF">2017-10-17T03:32:25Z</dcterms:created>
  <dcterms:modified xsi:type="dcterms:W3CDTF">2017-11-15T07:13:01Z</dcterms:modified>
</cp:coreProperties>
</file>