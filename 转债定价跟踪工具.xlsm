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
    </mc:Choice>
  </mc:AlternateContent>
  <bookViews>
    <workbookView xWindow="0" yWindow="0" windowWidth="24000" windowHeight="9195" activeTab="5"/>
  </bookViews>
  <sheets>
    <sheet name="使用说明" sheetId="5" r:id="rId1"/>
    <sheet name="实时溢价率" sheetId="4" r:id="rId2"/>
    <sheet name="历史溢价率" sheetId="1" r:id="rId3"/>
    <sheet name="期权价值" sheetId="3" r:id="rId4"/>
    <sheet name="个券试算" sheetId="6" r:id="rId5"/>
    <sheet name="IPO" sheetId="9" r:id="rId6"/>
    <sheet name="Sheet1" sheetId="7" state="hidden" r:id="rId7"/>
    <sheet name="Data" sheetId="2" state="hidden" r:id="rId8"/>
  </sheets>
  <functionGroups builtInGroupCount="18"/>
  <externalReferences>
    <externalReference r:id="rId9"/>
  </externalReferences>
  <calcPr calcId="152511"/>
  <fileRecoveryPr autoRecover="0"/>
</workbook>
</file>

<file path=xl/calcChain.xml><?xml version="1.0" encoding="utf-8"?>
<calcChain xmlns="http://schemas.openxmlformats.org/spreadsheetml/2006/main">
  <c r="D5" i="5" l="1"/>
  <c r="A3" i="3" l="1"/>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s="1"/>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s="1"/>
  <c r="K34" i="3"/>
  <c r="L34" i="3"/>
  <c r="M34" i="3"/>
  <c r="N34" i="3"/>
  <c r="O34" i="3"/>
  <c r="A35" i="3"/>
  <c r="B35" i="3"/>
  <c r="C35" i="3"/>
  <c r="D35" i="3"/>
  <c r="E35" i="3"/>
  <c r="F35" i="3"/>
  <c r="G35" i="3"/>
  <c r="H35" i="3"/>
  <c r="I35" i="3"/>
  <c r="J35" i="3" s="1"/>
  <c r="K35" i="3"/>
  <c r="L35" i="3"/>
  <c r="M35" i="3"/>
  <c r="N35" i="3"/>
  <c r="O35" i="3"/>
  <c r="A36" i="3"/>
  <c r="B36" i="3"/>
  <c r="C36" i="3"/>
  <c r="D36" i="3"/>
  <c r="E36" i="3"/>
  <c r="F36" i="3"/>
  <c r="G36" i="3"/>
  <c r="H36" i="3"/>
  <c r="I36" i="3"/>
  <c r="J36" i="3" s="1"/>
  <c r="K36" i="3"/>
  <c r="L36" i="3"/>
  <c r="M36" i="3"/>
  <c r="N36" i="3"/>
  <c r="O36" i="3"/>
  <c r="A37" i="3"/>
  <c r="B37" i="3"/>
  <c r="C37" i="3"/>
  <c r="D37" i="3"/>
  <c r="E37" i="3"/>
  <c r="F37" i="3"/>
  <c r="G37" i="3"/>
  <c r="H37" i="3"/>
  <c r="I37" i="3"/>
  <c r="J37" i="3" s="1"/>
  <c r="K37" i="3"/>
  <c r="L37" i="3"/>
  <c r="M37" i="3"/>
  <c r="N37" i="3"/>
  <c r="O37" i="3"/>
  <c r="A38" i="3"/>
  <c r="B38" i="3"/>
  <c r="C38" i="3"/>
  <c r="D38" i="3"/>
  <c r="E38" i="3"/>
  <c r="F38" i="3"/>
  <c r="G38" i="3"/>
  <c r="H38" i="3"/>
  <c r="I38" i="3"/>
  <c r="J38" i="3" s="1"/>
  <c r="K38" i="3"/>
  <c r="L38" i="3"/>
  <c r="M38" i="3"/>
  <c r="N38" i="3"/>
  <c r="O38" i="3"/>
  <c r="A39" i="3"/>
  <c r="B39" i="3"/>
  <c r="C39" i="3"/>
  <c r="D39" i="3"/>
  <c r="E39" i="3"/>
  <c r="F39" i="3"/>
  <c r="G39" i="3"/>
  <c r="H39" i="3"/>
  <c r="I39" i="3"/>
  <c r="J39" i="3" s="1"/>
  <c r="K39" i="3"/>
  <c r="L39" i="3"/>
  <c r="M39" i="3"/>
  <c r="N39" i="3"/>
  <c r="O39" i="3"/>
  <c r="A3" i="1"/>
  <c r="B3" i="1"/>
  <c r="C3" i="1"/>
  <c r="D3" i="1"/>
  <c r="E3" i="1"/>
  <c r="F3" i="1"/>
  <c r="G3" i="1"/>
  <c r="I3" i="1"/>
  <c r="J3" i="1"/>
  <c r="L3" i="1"/>
  <c r="M3" i="1"/>
  <c r="N3" i="1"/>
  <c r="O3" i="1"/>
  <c r="P3" i="1"/>
  <c r="Q3" i="1"/>
  <c r="R3" i="1"/>
  <c r="S3" i="1"/>
  <c r="T3" i="1"/>
  <c r="U3" i="1"/>
  <c r="V3" i="1"/>
  <c r="W3" i="1"/>
  <c r="A4" i="1"/>
  <c r="B4" i="1"/>
  <c r="C4" i="1"/>
  <c r="D4" i="1"/>
  <c r="E4" i="1"/>
  <c r="F4" i="1"/>
  <c r="G4" i="1"/>
  <c r="I4" i="1"/>
  <c r="J4" i="1"/>
  <c r="L4" i="1"/>
  <c r="M4" i="1"/>
  <c r="N4" i="1"/>
  <c r="O4" i="1"/>
  <c r="P4" i="1"/>
  <c r="Q4" i="1"/>
  <c r="R4" i="1"/>
  <c r="S4" i="1"/>
  <c r="T4" i="1"/>
  <c r="U4" i="1"/>
  <c r="V4" i="1"/>
  <c r="W4" i="1"/>
  <c r="A5" i="1"/>
  <c r="B5" i="1"/>
  <c r="C5" i="1"/>
  <c r="D5" i="1"/>
  <c r="E5" i="1"/>
  <c r="F5" i="1"/>
  <c r="G5" i="1"/>
  <c r="I5" i="1"/>
  <c r="J5" i="1"/>
  <c r="L5" i="1"/>
  <c r="M5" i="1"/>
  <c r="N5" i="1"/>
  <c r="O5" i="1"/>
  <c r="P5" i="1"/>
  <c r="Q5" i="1"/>
  <c r="R5" i="1"/>
  <c r="S5" i="1"/>
  <c r="T5" i="1"/>
  <c r="U5" i="1"/>
  <c r="V5" i="1"/>
  <c r="W5" i="1"/>
  <c r="A6" i="1"/>
  <c r="B6" i="1"/>
  <c r="C6" i="1"/>
  <c r="D6" i="1"/>
  <c r="E6" i="1"/>
  <c r="F6" i="1"/>
  <c r="G6" i="1"/>
  <c r="I6" i="1"/>
  <c r="J6" i="1"/>
  <c r="L6" i="1"/>
  <c r="M6" i="1"/>
  <c r="N6" i="1"/>
  <c r="O6" i="1"/>
  <c r="P6" i="1"/>
  <c r="Q6" i="1"/>
  <c r="R6" i="1"/>
  <c r="S6" i="1"/>
  <c r="T6" i="1"/>
  <c r="U6" i="1"/>
  <c r="V6" i="1"/>
  <c r="W6" i="1"/>
  <c r="A7" i="1"/>
  <c r="B7" i="1"/>
  <c r="C7" i="1"/>
  <c r="D7" i="1"/>
  <c r="E7" i="1"/>
  <c r="F7" i="1"/>
  <c r="G7" i="1"/>
  <c r="I7" i="1"/>
  <c r="J7" i="1"/>
  <c r="L7" i="1"/>
  <c r="M7" i="1"/>
  <c r="N7" i="1"/>
  <c r="O7" i="1"/>
  <c r="P7" i="1"/>
  <c r="Q7" i="1"/>
  <c r="R7" i="1"/>
  <c r="S7" i="1"/>
  <c r="T7" i="1"/>
  <c r="U7" i="1"/>
  <c r="V7" i="1"/>
  <c r="W7" i="1"/>
  <c r="A8" i="1"/>
  <c r="B8" i="1"/>
  <c r="C8" i="1"/>
  <c r="D8" i="1"/>
  <c r="E8" i="1"/>
  <c r="F8" i="1"/>
  <c r="G8" i="1"/>
  <c r="I8" i="1"/>
  <c r="J8" i="1"/>
  <c r="L8" i="1"/>
  <c r="M8" i="1"/>
  <c r="N8" i="1"/>
  <c r="O8" i="1"/>
  <c r="P8" i="1"/>
  <c r="Q8" i="1"/>
  <c r="R8" i="1"/>
  <c r="S8" i="1"/>
  <c r="T8" i="1"/>
  <c r="U8" i="1"/>
  <c r="V8" i="1"/>
  <c r="W8" i="1"/>
  <c r="A9" i="1"/>
  <c r="B9" i="1"/>
  <c r="C9" i="1"/>
  <c r="D9" i="1"/>
  <c r="E9" i="1"/>
  <c r="F9" i="1"/>
  <c r="G9" i="1"/>
  <c r="I9" i="1"/>
  <c r="J9" i="1"/>
  <c r="L9" i="1"/>
  <c r="M9" i="1"/>
  <c r="N9" i="1"/>
  <c r="O9" i="1"/>
  <c r="P9" i="1"/>
  <c r="Q9" i="1"/>
  <c r="R9" i="1"/>
  <c r="S9" i="1"/>
  <c r="T9" i="1"/>
  <c r="U9" i="1"/>
  <c r="V9" i="1"/>
  <c r="W9" i="1"/>
  <c r="A10" i="1"/>
  <c r="B10" i="1"/>
  <c r="C10" i="1"/>
  <c r="D10" i="1"/>
  <c r="E10" i="1"/>
  <c r="F10" i="1"/>
  <c r="G10" i="1"/>
  <c r="I10" i="1"/>
  <c r="J10" i="1"/>
  <c r="L10" i="1"/>
  <c r="M10" i="1"/>
  <c r="N10" i="1"/>
  <c r="O10" i="1"/>
  <c r="P10" i="1"/>
  <c r="Q10" i="1"/>
  <c r="R10" i="1"/>
  <c r="S10" i="1"/>
  <c r="T10" i="1"/>
  <c r="U10" i="1"/>
  <c r="V10" i="1"/>
  <c r="W10" i="1"/>
  <c r="A11" i="1"/>
  <c r="B11" i="1"/>
  <c r="C11" i="1"/>
  <c r="D11" i="1"/>
  <c r="E11" i="1"/>
  <c r="F11" i="1"/>
  <c r="G11" i="1"/>
  <c r="I11" i="1"/>
  <c r="J11" i="1"/>
  <c r="L11" i="1"/>
  <c r="M11" i="1"/>
  <c r="N11" i="1"/>
  <c r="O11" i="1"/>
  <c r="P11" i="1"/>
  <c r="Q11" i="1"/>
  <c r="R11" i="1"/>
  <c r="S11" i="1"/>
  <c r="T11" i="1"/>
  <c r="U11" i="1"/>
  <c r="V11" i="1"/>
  <c r="W11" i="1"/>
  <c r="A12" i="1"/>
  <c r="B12" i="1"/>
  <c r="C12" i="1"/>
  <c r="D12" i="1"/>
  <c r="E12" i="1"/>
  <c r="F12" i="1"/>
  <c r="G12" i="1"/>
  <c r="I12" i="1"/>
  <c r="J12" i="1"/>
  <c r="L12" i="1"/>
  <c r="M12" i="1"/>
  <c r="N12" i="1"/>
  <c r="O12" i="1"/>
  <c r="P12" i="1"/>
  <c r="Q12" i="1"/>
  <c r="R12" i="1"/>
  <c r="S12" i="1"/>
  <c r="T12" i="1"/>
  <c r="U12" i="1"/>
  <c r="V12" i="1"/>
  <c r="W12" i="1"/>
  <c r="A13" i="1"/>
  <c r="B13" i="1"/>
  <c r="C13" i="1"/>
  <c r="D13" i="1"/>
  <c r="E13" i="1"/>
  <c r="F13" i="1"/>
  <c r="G13" i="1"/>
  <c r="I13" i="1"/>
  <c r="J13" i="1"/>
  <c r="L13" i="1"/>
  <c r="M13" i="1"/>
  <c r="N13" i="1"/>
  <c r="O13" i="1"/>
  <c r="P13" i="1"/>
  <c r="Q13" i="1"/>
  <c r="R13" i="1"/>
  <c r="S13" i="1"/>
  <c r="T13" i="1"/>
  <c r="U13" i="1"/>
  <c r="V13" i="1"/>
  <c r="W13" i="1"/>
  <c r="A14" i="1"/>
  <c r="B14" i="1"/>
  <c r="C14" i="1"/>
  <c r="D14" i="1"/>
  <c r="E14" i="1"/>
  <c r="F14" i="1"/>
  <c r="G14" i="1"/>
  <c r="I14" i="1"/>
  <c r="J14" i="1"/>
  <c r="L14" i="1"/>
  <c r="M14" i="1"/>
  <c r="N14" i="1"/>
  <c r="O14" i="1"/>
  <c r="P14" i="1"/>
  <c r="Q14" i="1"/>
  <c r="R14" i="1"/>
  <c r="S14" i="1"/>
  <c r="T14" i="1"/>
  <c r="U14" i="1"/>
  <c r="V14" i="1"/>
  <c r="W14" i="1"/>
  <c r="A15" i="1"/>
  <c r="B15" i="1"/>
  <c r="C15" i="1"/>
  <c r="D15" i="1"/>
  <c r="E15" i="1"/>
  <c r="F15" i="1"/>
  <c r="G15" i="1"/>
  <c r="I15" i="1"/>
  <c r="J15" i="1"/>
  <c r="L15" i="1"/>
  <c r="M15" i="1"/>
  <c r="N15" i="1"/>
  <c r="O15" i="1"/>
  <c r="P15" i="1"/>
  <c r="Q15" i="1"/>
  <c r="R15" i="1"/>
  <c r="S15" i="1"/>
  <c r="T15" i="1"/>
  <c r="U15" i="1"/>
  <c r="V15" i="1"/>
  <c r="W15" i="1"/>
  <c r="A16" i="1"/>
  <c r="B16" i="1"/>
  <c r="C16" i="1"/>
  <c r="D16" i="1"/>
  <c r="E16" i="1"/>
  <c r="F16" i="1"/>
  <c r="G16" i="1"/>
  <c r="I16" i="1"/>
  <c r="J16" i="1"/>
  <c r="L16" i="1"/>
  <c r="M16" i="1"/>
  <c r="N16" i="1"/>
  <c r="O16" i="1"/>
  <c r="P16" i="1"/>
  <c r="Q16" i="1"/>
  <c r="R16" i="1"/>
  <c r="S16" i="1"/>
  <c r="T16" i="1"/>
  <c r="U16" i="1"/>
  <c r="V16" i="1"/>
  <c r="W16" i="1"/>
  <c r="A17" i="1"/>
  <c r="B17" i="1"/>
  <c r="C17" i="1"/>
  <c r="D17" i="1"/>
  <c r="E17" i="1"/>
  <c r="F17" i="1"/>
  <c r="G17" i="1"/>
  <c r="I17" i="1"/>
  <c r="J17" i="1"/>
  <c r="L17" i="1"/>
  <c r="M17" i="1"/>
  <c r="N17" i="1"/>
  <c r="O17" i="1"/>
  <c r="P17" i="1"/>
  <c r="Q17" i="1"/>
  <c r="R17" i="1"/>
  <c r="S17" i="1"/>
  <c r="T17" i="1"/>
  <c r="U17" i="1"/>
  <c r="V17" i="1"/>
  <c r="W17" i="1"/>
  <c r="A18" i="1"/>
  <c r="B18" i="1"/>
  <c r="C18" i="1"/>
  <c r="D18" i="1"/>
  <c r="E18" i="1"/>
  <c r="F18" i="1"/>
  <c r="G18" i="1"/>
  <c r="I18" i="1"/>
  <c r="J18" i="1"/>
  <c r="L18" i="1"/>
  <c r="M18" i="1"/>
  <c r="N18" i="1"/>
  <c r="O18" i="1"/>
  <c r="P18" i="1"/>
  <c r="Q18" i="1"/>
  <c r="R18" i="1"/>
  <c r="S18" i="1"/>
  <c r="T18" i="1"/>
  <c r="U18" i="1"/>
  <c r="V18" i="1"/>
  <c r="W18" i="1"/>
  <c r="A19" i="1"/>
  <c r="B19" i="1"/>
  <c r="C19" i="1"/>
  <c r="D19" i="1"/>
  <c r="E19" i="1"/>
  <c r="F19" i="1"/>
  <c r="G19" i="1"/>
  <c r="I19" i="1"/>
  <c r="J19" i="1"/>
  <c r="L19" i="1"/>
  <c r="M19" i="1"/>
  <c r="N19" i="1"/>
  <c r="O19" i="1"/>
  <c r="P19" i="1"/>
  <c r="Q19" i="1"/>
  <c r="R19" i="1"/>
  <c r="S19" i="1"/>
  <c r="T19" i="1"/>
  <c r="U19" i="1"/>
  <c r="V19" i="1"/>
  <c r="W19" i="1"/>
  <c r="A20" i="1"/>
  <c r="B20" i="1"/>
  <c r="C20" i="1"/>
  <c r="D20" i="1"/>
  <c r="E20" i="1"/>
  <c r="F20" i="1"/>
  <c r="G20" i="1"/>
  <c r="I20" i="1"/>
  <c r="J20" i="1"/>
  <c r="L20" i="1"/>
  <c r="M20" i="1"/>
  <c r="N20" i="1"/>
  <c r="O20" i="1"/>
  <c r="P20" i="1"/>
  <c r="Q20" i="1"/>
  <c r="R20" i="1"/>
  <c r="S20" i="1"/>
  <c r="T20" i="1"/>
  <c r="U20" i="1"/>
  <c r="V20" i="1"/>
  <c r="W20" i="1"/>
  <c r="A21" i="1"/>
  <c r="B21" i="1"/>
  <c r="C21" i="1"/>
  <c r="D21" i="1"/>
  <c r="E21" i="1"/>
  <c r="F21" i="1"/>
  <c r="G21" i="1"/>
  <c r="I21" i="1"/>
  <c r="J21" i="1"/>
  <c r="L21" i="1"/>
  <c r="M21" i="1"/>
  <c r="N21" i="1"/>
  <c r="O21" i="1"/>
  <c r="P21" i="1"/>
  <c r="Q21" i="1"/>
  <c r="R21" i="1"/>
  <c r="S21" i="1"/>
  <c r="T21" i="1"/>
  <c r="U21" i="1"/>
  <c r="V21" i="1"/>
  <c r="W21" i="1"/>
  <c r="A22" i="1"/>
  <c r="B22" i="1"/>
  <c r="C22" i="1"/>
  <c r="D22" i="1"/>
  <c r="E22" i="1"/>
  <c r="F22" i="1"/>
  <c r="G22" i="1"/>
  <c r="I22" i="1"/>
  <c r="J22" i="1"/>
  <c r="L22" i="1"/>
  <c r="M22" i="1"/>
  <c r="N22" i="1"/>
  <c r="O22" i="1"/>
  <c r="P22" i="1"/>
  <c r="Q22" i="1"/>
  <c r="R22" i="1"/>
  <c r="S22" i="1"/>
  <c r="T22" i="1"/>
  <c r="U22" i="1"/>
  <c r="V22" i="1"/>
  <c r="W22" i="1"/>
  <c r="A23" i="1"/>
  <c r="B23" i="1"/>
  <c r="C23" i="1"/>
  <c r="D23" i="1"/>
  <c r="E23" i="1"/>
  <c r="F23" i="1"/>
  <c r="G23" i="1"/>
  <c r="I23" i="1"/>
  <c r="J23" i="1"/>
  <c r="L23" i="1"/>
  <c r="M23" i="1"/>
  <c r="N23" i="1"/>
  <c r="O23" i="1"/>
  <c r="P23" i="1"/>
  <c r="Q23" i="1"/>
  <c r="R23" i="1"/>
  <c r="S23" i="1"/>
  <c r="T23" i="1"/>
  <c r="U23" i="1"/>
  <c r="V23" i="1"/>
  <c r="W23" i="1"/>
  <c r="A24" i="1"/>
  <c r="B24" i="1"/>
  <c r="C24" i="1"/>
  <c r="D24" i="1"/>
  <c r="E24" i="1"/>
  <c r="F24" i="1"/>
  <c r="G24" i="1"/>
  <c r="I24" i="1"/>
  <c r="J24" i="1"/>
  <c r="L24" i="1"/>
  <c r="M24" i="1"/>
  <c r="N24" i="1"/>
  <c r="O24" i="1"/>
  <c r="P24" i="1"/>
  <c r="Q24" i="1"/>
  <c r="R24" i="1"/>
  <c r="S24" i="1"/>
  <c r="T24" i="1"/>
  <c r="U24" i="1"/>
  <c r="V24" i="1"/>
  <c r="W24" i="1"/>
  <c r="A25" i="1"/>
  <c r="B25" i="1"/>
  <c r="C25" i="1"/>
  <c r="D25" i="1"/>
  <c r="E25" i="1"/>
  <c r="F25" i="1"/>
  <c r="G25" i="1"/>
  <c r="I25" i="1"/>
  <c r="J25" i="1"/>
  <c r="L25" i="1"/>
  <c r="M25" i="1"/>
  <c r="N25" i="1"/>
  <c r="O25" i="1"/>
  <c r="P25" i="1"/>
  <c r="Q25" i="1"/>
  <c r="R25" i="1"/>
  <c r="S25" i="1"/>
  <c r="T25" i="1"/>
  <c r="U25" i="1"/>
  <c r="V25" i="1"/>
  <c r="W25" i="1"/>
  <c r="A26" i="1"/>
  <c r="B26" i="1"/>
  <c r="C26" i="1"/>
  <c r="D26" i="1"/>
  <c r="E26" i="1"/>
  <c r="F26" i="1"/>
  <c r="G26" i="1"/>
  <c r="I26" i="1"/>
  <c r="J26" i="1"/>
  <c r="L26" i="1"/>
  <c r="M26" i="1"/>
  <c r="N26" i="1"/>
  <c r="O26" i="1"/>
  <c r="P26" i="1"/>
  <c r="Q26" i="1"/>
  <c r="R26" i="1"/>
  <c r="S26" i="1"/>
  <c r="T26" i="1"/>
  <c r="U26" i="1"/>
  <c r="V26" i="1"/>
  <c r="W26" i="1"/>
  <c r="A27" i="1"/>
  <c r="B27" i="1"/>
  <c r="C27" i="1"/>
  <c r="D27" i="1"/>
  <c r="E27" i="1"/>
  <c r="F27" i="1"/>
  <c r="G27" i="1"/>
  <c r="I27" i="1"/>
  <c r="J27" i="1"/>
  <c r="L27" i="1"/>
  <c r="M27" i="1"/>
  <c r="N27" i="1"/>
  <c r="O27" i="1"/>
  <c r="P27" i="1"/>
  <c r="Q27" i="1"/>
  <c r="R27" i="1"/>
  <c r="S27" i="1"/>
  <c r="T27" i="1"/>
  <c r="U27" i="1"/>
  <c r="V27" i="1"/>
  <c r="W27" i="1"/>
  <c r="A28" i="1"/>
  <c r="B28" i="1"/>
  <c r="C28" i="1"/>
  <c r="D28" i="1"/>
  <c r="E28" i="1"/>
  <c r="F28" i="1"/>
  <c r="G28" i="1"/>
  <c r="I28" i="1"/>
  <c r="J28" i="1"/>
  <c r="L28" i="1"/>
  <c r="M28" i="1"/>
  <c r="N28" i="1"/>
  <c r="O28" i="1"/>
  <c r="P28" i="1"/>
  <c r="Q28" i="1"/>
  <c r="R28" i="1"/>
  <c r="S28" i="1"/>
  <c r="T28" i="1"/>
  <c r="U28" i="1"/>
  <c r="V28" i="1"/>
  <c r="W28" i="1"/>
  <c r="A29" i="1"/>
  <c r="B29" i="1"/>
  <c r="C29" i="1"/>
  <c r="D29" i="1"/>
  <c r="E29" i="1"/>
  <c r="F29" i="1"/>
  <c r="G29" i="1"/>
  <c r="I29" i="1"/>
  <c r="J29" i="1"/>
  <c r="L29" i="1"/>
  <c r="M29" i="1"/>
  <c r="N29" i="1"/>
  <c r="O29" i="1"/>
  <c r="P29" i="1"/>
  <c r="Q29" i="1"/>
  <c r="R29" i="1"/>
  <c r="S29" i="1"/>
  <c r="T29" i="1"/>
  <c r="U29" i="1"/>
  <c r="V29" i="1"/>
  <c r="W29" i="1"/>
  <c r="A30" i="1"/>
  <c r="B30" i="1"/>
  <c r="C30" i="1"/>
  <c r="D30" i="1"/>
  <c r="E30" i="1"/>
  <c r="F30" i="1"/>
  <c r="G30" i="1"/>
  <c r="I30" i="1"/>
  <c r="J30" i="1"/>
  <c r="L30" i="1"/>
  <c r="M30" i="1"/>
  <c r="N30" i="1"/>
  <c r="O30" i="1"/>
  <c r="P30" i="1"/>
  <c r="Q30" i="1"/>
  <c r="R30" i="1"/>
  <c r="S30" i="1"/>
  <c r="T30" i="1"/>
  <c r="U30" i="1"/>
  <c r="V30" i="1"/>
  <c r="W30" i="1"/>
  <c r="A31" i="1"/>
  <c r="B31" i="1"/>
  <c r="C31" i="1"/>
  <c r="D31" i="1"/>
  <c r="E31" i="1"/>
  <c r="F31" i="1"/>
  <c r="G31" i="1"/>
  <c r="I31" i="1"/>
  <c r="J31" i="1"/>
  <c r="L31" i="1"/>
  <c r="M31" i="1"/>
  <c r="N31" i="1"/>
  <c r="O31" i="1"/>
  <c r="P31" i="1"/>
  <c r="Q31" i="1"/>
  <c r="R31" i="1"/>
  <c r="S31" i="1"/>
  <c r="T31" i="1"/>
  <c r="U31" i="1"/>
  <c r="V31" i="1"/>
  <c r="W31" i="1"/>
  <c r="A32" i="1"/>
  <c r="B32" i="1"/>
  <c r="C32" i="1"/>
  <c r="D32" i="1"/>
  <c r="E32" i="1"/>
  <c r="F32" i="1"/>
  <c r="G32" i="1"/>
  <c r="I32" i="1"/>
  <c r="J32" i="1"/>
  <c r="L32" i="1"/>
  <c r="M32" i="1"/>
  <c r="N32" i="1"/>
  <c r="O32" i="1"/>
  <c r="P32" i="1"/>
  <c r="Q32" i="1"/>
  <c r="R32" i="1"/>
  <c r="S32" i="1"/>
  <c r="T32" i="1"/>
  <c r="U32" i="1"/>
  <c r="V32" i="1"/>
  <c r="W32" i="1"/>
  <c r="A33" i="1"/>
  <c r="B33" i="1"/>
  <c r="C33" i="1"/>
  <c r="D33" i="1"/>
  <c r="E33" i="1"/>
  <c r="F33" i="1"/>
  <c r="G33" i="1"/>
  <c r="I33" i="1"/>
  <c r="J33" i="1"/>
  <c r="L33" i="1"/>
  <c r="M33" i="1"/>
  <c r="N33" i="1"/>
  <c r="O33" i="1"/>
  <c r="P33" i="1"/>
  <c r="Q33" i="1"/>
  <c r="R33" i="1"/>
  <c r="S33" i="1"/>
  <c r="T33" i="1"/>
  <c r="U33" i="1"/>
  <c r="V33" i="1"/>
  <c r="W33" i="1"/>
  <c r="A34" i="1"/>
  <c r="B34" i="1"/>
  <c r="C34" i="1"/>
  <c r="D34" i="1"/>
  <c r="E34" i="1"/>
  <c r="F34" i="1"/>
  <c r="G34" i="1"/>
  <c r="I34" i="1"/>
  <c r="J34" i="1"/>
  <c r="L34" i="1"/>
  <c r="M34" i="1"/>
  <c r="N34" i="1"/>
  <c r="O34" i="1"/>
  <c r="P34" i="1"/>
  <c r="Q34" i="1"/>
  <c r="R34" i="1"/>
  <c r="S34" i="1"/>
  <c r="T34" i="1"/>
  <c r="U34" i="1"/>
  <c r="V34" i="1"/>
  <c r="W34" i="1"/>
  <c r="A35" i="1"/>
  <c r="B35" i="1"/>
  <c r="C35" i="1"/>
  <c r="D35" i="1"/>
  <c r="E35" i="1"/>
  <c r="F35" i="1"/>
  <c r="G35" i="1"/>
  <c r="I35" i="1"/>
  <c r="J35" i="1"/>
  <c r="L35" i="1"/>
  <c r="M35" i="1"/>
  <c r="N35" i="1"/>
  <c r="O35" i="1"/>
  <c r="P35" i="1"/>
  <c r="Q35" i="1"/>
  <c r="R35" i="1"/>
  <c r="S35" i="1"/>
  <c r="T35" i="1"/>
  <c r="U35" i="1"/>
  <c r="V35" i="1"/>
  <c r="W35" i="1"/>
  <c r="A36" i="1"/>
  <c r="B36" i="1"/>
  <c r="C36" i="1"/>
  <c r="D36" i="1"/>
  <c r="E36" i="1"/>
  <c r="F36" i="1"/>
  <c r="G36" i="1"/>
  <c r="I36" i="1"/>
  <c r="J36" i="1"/>
  <c r="L36" i="1"/>
  <c r="M36" i="1"/>
  <c r="N36" i="1"/>
  <c r="O36" i="1"/>
  <c r="P36" i="1"/>
  <c r="Q36" i="1"/>
  <c r="R36" i="1"/>
  <c r="S36" i="1"/>
  <c r="T36" i="1"/>
  <c r="U36" i="1"/>
  <c r="V36" i="1"/>
  <c r="W36" i="1"/>
  <c r="A37" i="1"/>
  <c r="B37" i="1"/>
  <c r="C37" i="1"/>
  <c r="D37" i="1"/>
  <c r="E37" i="1"/>
  <c r="F37" i="1"/>
  <c r="G37" i="1"/>
  <c r="I37" i="1"/>
  <c r="J37" i="1"/>
  <c r="L37" i="1"/>
  <c r="M37" i="1"/>
  <c r="N37" i="1"/>
  <c r="O37" i="1"/>
  <c r="P37" i="1"/>
  <c r="Q37" i="1"/>
  <c r="R37" i="1"/>
  <c r="S37" i="1"/>
  <c r="T37" i="1"/>
  <c r="U37" i="1"/>
  <c r="V37" i="1"/>
  <c r="W37" i="1"/>
  <c r="A38" i="1"/>
  <c r="B38" i="1"/>
  <c r="C38" i="1"/>
  <c r="D38" i="1"/>
  <c r="E38" i="1"/>
  <c r="F38" i="1"/>
  <c r="G38" i="1"/>
  <c r="I38" i="1"/>
  <c r="J38" i="1"/>
  <c r="L38" i="1"/>
  <c r="M38" i="1"/>
  <c r="N38" i="1"/>
  <c r="O38" i="1"/>
  <c r="P38" i="1"/>
  <c r="Q38" i="1"/>
  <c r="R38" i="1"/>
  <c r="S38" i="1"/>
  <c r="T38" i="1"/>
  <c r="U38" i="1"/>
  <c r="V38" i="1"/>
  <c r="W38" i="1"/>
  <c r="A39" i="1"/>
  <c r="B39" i="1"/>
  <c r="C39" i="1"/>
  <c r="D39" i="1"/>
  <c r="E39" i="1"/>
  <c r="F39" i="1"/>
  <c r="G39" i="1"/>
  <c r="I39" i="1"/>
  <c r="J39" i="1"/>
  <c r="L39" i="1"/>
  <c r="M39" i="1"/>
  <c r="N39" i="1"/>
  <c r="O39" i="1"/>
  <c r="P39" i="1"/>
  <c r="Q39" i="1"/>
  <c r="R39" i="1"/>
  <c r="S39" i="1"/>
  <c r="T39" i="1"/>
  <c r="U39" i="1"/>
  <c r="V39" i="1"/>
  <c r="W39" i="1"/>
  <c r="A3" i="4"/>
  <c r="B3" i="4"/>
  <c r="E3" i="4"/>
  <c r="F3" i="4"/>
  <c r="I3" i="4"/>
  <c r="J3" i="4" s="1"/>
  <c r="O3" i="4"/>
  <c r="P3" i="4"/>
  <c r="A4" i="4"/>
  <c r="B4" i="4"/>
  <c r="E4" i="4"/>
  <c r="F4" i="4"/>
  <c r="I4" i="4"/>
  <c r="J4" i="4" s="1"/>
  <c r="O4" i="4"/>
  <c r="P4" i="4"/>
  <c r="A5" i="4"/>
  <c r="B5" i="4"/>
  <c r="E5" i="4"/>
  <c r="F5" i="4"/>
  <c r="I5" i="4"/>
  <c r="J5" i="4" s="1"/>
  <c r="O5" i="4"/>
  <c r="P5" i="4"/>
  <c r="A6" i="4"/>
  <c r="B6" i="4"/>
  <c r="E6" i="4"/>
  <c r="F6" i="4"/>
  <c r="I6" i="4"/>
  <c r="J6" i="4" s="1"/>
  <c r="O6" i="4"/>
  <c r="P6" i="4"/>
  <c r="A7" i="4"/>
  <c r="B7" i="4"/>
  <c r="E7" i="4"/>
  <c r="F7" i="4"/>
  <c r="I7" i="4"/>
  <c r="J7" i="4" s="1"/>
  <c r="O7" i="4"/>
  <c r="P7" i="4"/>
  <c r="A8" i="4"/>
  <c r="B8" i="4"/>
  <c r="E8" i="4"/>
  <c r="F8" i="4"/>
  <c r="I8" i="4"/>
  <c r="J8" i="4" s="1"/>
  <c r="O8" i="4"/>
  <c r="P8" i="4"/>
  <c r="A9" i="4"/>
  <c r="B9" i="4"/>
  <c r="E9" i="4"/>
  <c r="F9" i="4"/>
  <c r="I9" i="4"/>
  <c r="J9" i="4" s="1"/>
  <c r="O9" i="4"/>
  <c r="P9" i="4"/>
  <c r="A10" i="4"/>
  <c r="B10" i="4"/>
  <c r="E10" i="4"/>
  <c r="F10" i="4"/>
  <c r="I10" i="4"/>
  <c r="J10" i="4" s="1"/>
  <c r="O10" i="4"/>
  <c r="P10" i="4"/>
  <c r="A11" i="4"/>
  <c r="B11" i="4"/>
  <c r="E11" i="4"/>
  <c r="F11" i="4"/>
  <c r="I11" i="4"/>
  <c r="J11" i="4" s="1"/>
  <c r="O11" i="4"/>
  <c r="P11" i="4"/>
  <c r="A12" i="4"/>
  <c r="B12" i="4"/>
  <c r="E12" i="4"/>
  <c r="F12" i="4"/>
  <c r="I12" i="4"/>
  <c r="J12" i="4" s="1"/>
  <c r="O12" i="4"/>
  <c r="P12" i="4"/>
  <c r="A13" i="4"/>
  <c r="B13" i="4"/>
  <c r="E13" i="4"/>
  <c r="F13" i="4"/>
  <c r="I13" i="4"/>
  <c r="J13" i="4" s="1"/>
  <c r="O13" i="4"/>
  <c r="P13" i="4"/>
  <c r="A14" i="4"/>
  <c r="B14" i="4"/>
  <c r="E14" i="4"/>
  <c r="F14" i="4"/>
  <c r="I14" i="4"/>
  <c r="J14" i="4" s="1"/>
  <c r="O14" i="4"/>
  <c r="P14" i="4"/>
  <c r="A15" i="4"/>
  <c r="B15" i="4"/>
  <c r="E15" i="4"/>
  <c r="F15" i="4"/>
  <c r="I15" i="4"/>
  <c r="J15" i="4" s="1"/>
  <c r="O15" i="4"/>
  <c r="P15" i="4"/>
  <c r="A16" i="4"/>
  <c r="B16" i="4"/>
  <c r="E16" i="4"/>
  <c r="F16" i="4"/>
  <c r="I16" i="4"/>
  <c r="J16" i="4" s="1"/>
  <c r="O16" i="4"/>
  <c r="P16" i="4"/>
  <c r="A17" i="4"/>
  <c r="B17" i="4"/>
  <c r="E17" i="4"/>
  <c r="F17" i="4"/>
  <c r="I17" i="4"/>
  <c r="J17" i="4" s="1"/>
  <c r="O17" i="4"/>
  <c r="P17" i="4"/>
  <c r="A18" i="4"/>
  <c r="B18" i="4"/>
  <c r="E18" i="4"/>
  <c r="F18" i="4"/>
  <c r="I18" i="4"/>
  <c r="J18" i="4" s="1"/>
  <c r="O18" i="4"/>
  <c r="P18" i="4"/>
  <c r="A19" i="4"/>
  <c r="B19" i="4"/>
  <c r="E19" i="4"/>
  <c r="F19" i="4"/>
  <c r="I19" i="4"/>
  <c r="J19" i="4" s="1"/>
  <c r="O19" i="4"/>
  <c r="P19" i="4"/>
  <c r="A20" i="4"/>
  <c r="B20" i="4"/>
  <c r="E20" i="4"/>
  <c r="F20" i="4"/>
  <c r="I20" i="4"/>
  <c r="J20" i="4" s="1"/>
  <c r="O20" i="4"/>
  <c r="P20" i="4"/>
  <c r="A21" i="4"/>
  <c r="B21" i="4"/>
  <c r="E21" i="4"/>
  <c r="F21" i="4"/>
  <c r="I21" i="4"/>
  <c r="J21" i="4" s="1"/>
  <c r="O21" i="4"/>
  <c r="P21" i="4"/>
  <c r="A22" i="4"/>
  <c r="B22" i="4"/>
  <c r="E22" i="4"/>
  <c r="F22" i="4"/>
  <c r="I22" i="4"/>
  <c r="J22" i="4" s="1"/>
  <c r="O22" i="4"/>
  <c r="P22" i="4"/>
  <c r="A23" i="4"/>
  <c r="B23" i="4"/>
  <c r="E23" i="4"/>
  <c r="F23" i="4"/>
  <c r="I23" i="4"/>
  <c r="J23" i="4" s="1"/>
  <c r="O23" i="4"/>
  <c r="P23" i="4"/>
  <c r="A24" i="4"/>
  <c r="B24" i="4"/>
  <c r="E24" i="4"/>
  <c r="F24" i="4"/>
  <c r="I24" i="4"/>
  <c r="J24" i="4" s="1"/>
  <c r="O24" i="4"/>
  <c r="P24" i="4"/>
  <c r="A25" i="4"/>
  <c r="B25" i="4"/>
  <c r="E25" i="4"/>
  <c r="F25" i="4"/>
  <c r="I25" i="4"/>
  <c r="J25" i="4" s="1"/>
  <c r="O25" i="4"/>
  <c r="P25" i="4"/>
  <c r="A26" i="4"/>
  <c r="B26" i="4"/>
  <c r="E26" i="4"/>
  <c r="F26" i="4"/>
  <c r="I26" i="4"/>
  <c r="J26" i="4" s="1"/>
  <c r="O26" i="4"/>
  <c r="P26" i="4"/>
  <c r="A27" i="4"/>
  <c r="B27" i="4"/>
  <c r="E27" i="4"/>
  <c r="F27" i="4"/>
  <c r="I27" i="4"/>
  <c r="J27" i="4" s="1"/>
  <c r="O27" i="4"/>
  <c r="P27" i="4"/>
  <c r="A28" i="4"/>
  <c r="B28" i="4"/>
  <c r="E28" i="4"/>
  <c r="F28" i="4"/>
  <c r="I28" i="4"/>
  <c r="J28" i="4" s="1"/>
  <c r="O28" i="4"/>
  <c r="P28" i="4"/>
  <c r="A29" i="4"/>
  <c r="B29" i="4"/>
  <c r="E29" i="4"/>
  <c r="F29" i="4"/>
  <c r="I29" i="4"/>
  <c r="J29" i="4" s="1"/>
  <c r="O29" i="4"/>
  <c r="P29" i="4"/>
  <c r="A30" i="4"/>
  <c r="B30" i="4"/>
  <c r="E30" i="4"/>
  <c r="F30" i="4"/>
  <c r="I30" i="4"/>
  <c r="J30" i="4" s="1"/>
  <c r="O30" i="4"/>
  <c r="P30" i="4"/>
  <c r="A31" i="4"/>
  <c r="B31" i="4"/>
  <c r="E31" i="4"/>
  <c r="F31" i="4"/>
  <c r="I31" i="4"/>
  <c r="J31" i="4" s="1"/>
  <c r="O31" i="4"/>
  <c r="P31" i="4"/>
  <c r="A32" i="4"/>
  <c r="B32" i="4"/>
  <c r="E32" i="4"/>
  <c r="F32" i="4"/>
  <c r="I32" i="4"/>
  <c r="J32" i="4" s="1"/>
  <c r="O32" i="4"/>
  <c r="P32" i="4"/>
  <c r="A33" i="4"/>
  <c r="B33" i="4"/>
  <c r="E33" i="4"/>
  <c r="F33" i="4"/>
  <c r="I33" i="4"/>
  <c r="J33" i="4" s="1"/>
  <c r="O33" i="4"/>
  <c r="P33" i="4"/>
  <c r="A34" i="4"/>
  <c r="B34" i="4"/>
  <c r="E34" i="4"/>
  <c r="F34" i="4"/>
  <c r="I34" i="4"/>
  <c r="J34" i="4" s="1"/>
  <c r="O34" i="4"/>
  <c r="P34" i="4"/>
  <c r="A35" i="4"/>
  <c r="B35" i="4"/>
  <c r="E35" i="4"/>
  <c r="F35" i="4"/>
  <c r="I35" i="4"/>
  <c r="J35" i="4" s="1"/>
  <c r="O35" i="4"/>
  <c r="P35" i="4"/>
  <c r="A36" i="4"/>
  <c r="B36" i="4"/>
  <c r="E36" i="4"/>
  <c r="F36" i="4"/>
  <c r="I36" i="4"/>
  <c r="J36" i="4" s="1"/>
  <c r="O36" i="4"/>
  <c r="P36" i="4"/>
  <c r="A37" i="4"/>
  <c r="B37" i="4"/>
  <c r="E37" i="4"/>
  <c r="F37" i="4"/>
  <c r="I37" i="4"/>
  <c r="J37" i="4" s="1"/>
  <c r="O37" i="4"/>
  <c r="P37" i="4"/>
  <c r="A38" i="4"/>
  <c r="B38" i="4"/>
  <c r="E38" i="4"/>
  <c r="F38" i="4"/>
  <c r="I38" i="4"/>
  <c r="J38" i="4" s="1"/>
  <c r="O38" i="4"/>
  <c r="P38" i="4"/>
  <c r="A39" i="4"/>
  <c r="B39" i="4"/>
  <c r="E39" i="4"/>
  <c r="F39" i="4"/>
  <c r="I39" i="4"/>
  <c r="J39" i="4" s="1"/>
  <c r="O39" i="4"/>
  <c r="P39" i="4"/>
  <c r="K8" i="7"/>
  <c r="C8" i="4"/>
  <c r="G27" i="4"/>
  <c r="G16" i="4"/>
  <c r="G23" i="4"/>
  <c r="G31" i="4"/>
  <c r="C29" i="4"/>
  <c r="C33" i="4"/>
  <c r="C5" i="4"/>
  <c r="G34" i="4"/>
  <c r="C16" i="4"/>
  <c r="G10" i="4"/>
  <c r="G35" i="4"/>
  <c r="G19" i="4"/>
  <c r="G26" i="4"/>
  <c r="C13" i="4"/>
  <c r="C21" i="4"/>
  <c r="C10" i="4"/>
  <c r="C20" i="4"/>
  <c r="G7" i="4"/>
  <c r="G29" i="4"/>
  <c r="C19" i="4"/>
  <c r="G39" i="4"/>
  <c r="G3" i="4"/>
  <c r="C17" i="4"/>
  <c r="C37" i="4"/>
  <c r="G15" i="4"/>
  <c r="G38" i="4"/>
  <c r="C24" i="4"/>
  <c r="G6" i="4"/>
  <c r="C26" i="4"/>
  <c r="G11" i="4"/>
  <c r="C22" i="4"/>
  <c r="G28" i="4"/>
  <c r="G4" i="4"/>
  <c r="C12" i="4"/>
  <c r="C18" i="4"/>
  <c r="C9" i="4"/>
  <c r="G21" i="4"/>
  <c r="G9" i="4"/>
  <c r="G30" i="4"/>
  <c r="C14" i="4"/>
  <c r="C25" i="4"/>
  <c r="C6" i="4"/>
  <c r="C28" i="4"/>
  <c r="G14" i="4"/>
  <c r="G22" i="4"/>
  <c r="C36" i="4"/>
  <c r="C39" i="4"/>
  <c r="G8" i="4"/>
  <c r="G12" i="4"/>
  <c r="G20" i="4"/>
  <c r="G24" i="4"/>
  <c r="C30" i="4"/>
  <c r="G32" i="4"/>
  <c r="C34" i="4"/>
  <c r="G36" i="4"/>
  <c r="C38" i="4"/>
  <c r="C3" i="4"/>
  <c r="C11" i="4"/>
  <c r="G17" i="4"/>
  <c r="G25" i="4"/>
  <c r="G33" i="4"/>
  <c r="G37" i="4"/>
  <c r="G5" i="4"/>
  <c r="C15" i="4"/>
  <c r="C27" i="4"/>
  <c r="C35" i="4"/>
  <c r="C4" i="4"/>
  <c r="G18" i="4"/>
  <c r="C32" i="4"/>
  <c r="C7" i="4"/>
  <c r="G13" i="4"/>
  <c r="C23" i="4"/>
  <c r="C31" i="4"/>
  <c r="H28" i="1" l="1"/>
  <c r="K28" i="1" s="1"/>
  <c r="H31" i="1"/>
  <c r="H33" i="1"/>
  <c r="H30" i="1"/>
  <c r="K30" i="1" s="1"/>
  <c r="H39" i="1"/>
  <c r="K39" i="1" s="1"/>
  <c r="H35" i="1"/>
  <c r="K35" i="1" s="1"/>
  <c r="H12" i="1"/>
  <c r="K12" i="1" s="1"/>
  <c r="H27" i="1"/>
  <c r="K27" i="1" s="1"/>
  <c r="H23" i="1"/>
  <c r="K23" i="1" s="1"/>
  <c r="H19" i="1"/>
  <c r="K19" i="1" s="1"/>
  <c r="H15" i="1"/>
  <c r="K15" i="1" s="1"/>
  <c r="H11" i="1"/>
  <c r="K11" i="1" s="1"/>
  <c r="H6" i="1"/>
  <c r="K6" i="1" s="1"/>
  <c r="H22" i="1"/>
  <c r="K22" i="1" s="1"/>
  <c r="H24" i="1"/>
  <c r="K24" i="1" s="1"/>
  <c r="H20" i="1"/>
  <c r="K20" i="1" s="1"/>
  <c r="H16" i="1"/>
  <c r="K16" i="1" s="1"/>
  <c r="H7" i="1"/>
  <c r="K7" i="1" s="1"/>
  <c r="H3" i="1"/>
  <c r="K3" i="1" s="1"/>
  <c r="K33" i="1"/>
  <c r="H32" i="1"/>
  <c r="K32" i="1" s="1"/>
  <c r="K31" i="1"/>
  <c r="H29" i="1"/>
  <c r="K29" i="1" s="1"/>
  <c r="H18" i="1"/>
  <c r="K18" i="1" s="1"/>
  <c r="H38" i="1"/>
  <c r="K38" i="1" s="1"/>
  <c r="H26" i="1"/>
  <c r="K26" i="1" s="1"/>
  <c r="H17" i="1"/>
  <c r="K17" i="1" s="1"/>
  <c r="H14" i="1"/>
  <c r="K14" i="1" s="1"/>
  <c r="H8" i="1"/>
  <c r="K8" i="1" s="1"/>
  <c r="H5" i="1"/>
  <c r="K5" i="1" s="1"/>
  <c r="H21" i="1"/>
  <c r="K21" i="1" s="1"/>
  <c r="H9" i="1"/>
  <c r="K9" i="1" s="1"/>
  <c r="H37" i="1"/>
  <c r="K37" i="1" s="1"/>
  <c r="H36" i="1"/>
  <c r="K36" i="1" s="1"/>
  <c r="H34" i="1"/>
  <c r="K34" i="1" s="1"/>
  <c r="H25" i="1"/>
  <c r="K25" i="1" s="1"/>
  <c r="H13" i="1"/>
  <c r="K13" i="1" s="1"/>
  <c r="H10" i="1"/>
  <c r="K10" i="1" s="1"/>
  <c r="H4" i="1"/>
  <c r="K4" i="1" s="1"/>
  <c r="K33" i="4"/>
  <c r="E31" i="7"/>
  <c r="K31" i="4"/>
  <c r="D16" i="4"/>
  <c r="K21" i="4"/>
  <c r="H14" i="4"/>
  <c r="C4" i="7"/>
  <c r="K20" i="4"/>
  <c r="E4" i="7"/>
  <c r="H32" i="4"/>
  <c r="K10" i="4"/>
  <c r="D29" i="4"/>
  <c r="D22" i="7"/>
  <c r="D8" i="4"/>
  <c r="H20" i="4"/>
  <c r="K7" i="4"/>
  <c r="D24" i="4"/>
  <c r="H28" i="4"/>
  <c r="H10" i="4"/>
  <c r="D4" i="7"/>
  <c r="H12" i="7"/>
  <c r="I23" i="7"/>
  <c r="D31" i="4"/>
  <c r="H35" i="4"/>
  <c r="D12" i="7"/>
  <c r="K39" i="4"/>
  <c r="E8" i="7"/>
  <c r="D35" i="4"/>
  <c r="K5" i="4"/>
  <c r="D38" i="4"/>
  <c r="H38" i="4"/>
  <c r="H24" i="4"/>
  <c r="H21" i="4"/>
  <c r="D18" i="7"/>
  <c r="E23" i="7"/>
  <c r="D32" i="7"/>
  <c r="K18" i="4"/>
  <c r="H18" i="7"/>
  <c r="H36" i="4"/>
  <c r="K25" i="4"/>
  <c r="H13" i="4"/>
  <c r="K19" i="4"/>
  <c r="K32" i="4"/>
  <c r="C13" i="7"/>
  <c r="H9" i="4"/>
  <c r="C12" i="7"/>
  <c r="D31" i="7"/>
  <c r="H15" i="4"/>
  <c r="K3" i="4"/>
  <c r="H37" i="4"/>
  <c r="E12" i="7"/>
  <c r="D34" i="4"/>
  <c r="D33" i="4"/>
  <c r="K38" i="4"/>
  <c r="D18" i="4"/>
  <c r="K17" i="4"/>
  <c r="K13" i="4"/>
  <c r="I22" i="7"/>
  <c r="K9" i="4"/>
  <c r="H31" i="4"/>
  <c r="D5" i="4"/>
  <c r="K29" i="4"/>
  <c r="H4" i="4"/>
  <c r="E22" i="7"/>
  <c r="K15" i="4"/>
  <c r="D26" i="4"/>
  <c r="D14" i="7"/>
  <c r="K11" i="4"/>
  <c r="K30" i="4"/>
  <c r="K28" i="4"/>
  <c r="H25" i="4"/>
  <c r="K14" i="4"/>
  <c r="H34" i="4"/>
  <c r="E14" i="7"/>
  <c r="H5" i="4"/>
  <c r="D17" i="4"/>
  <c r="K22" i="4"/>
  <c r="D12" i="4"/>
  <c r="H17" i="4"/>
  <c r="K6" i="4"/>
  <c r="H7" i="4"/>
  <c r="D10" i="4"/>
  <c r="H30" i="4"/>
  <c r="H8" i="4"/>
  <c r="E32" i="7"/>
  <c r="K34" i="4"/>
  <c r="D13" i="7"/>
  <c r="D19" i="4"/>
  <c r="H3" i="4"/>
  <c r="C31" i="7"/>
  <c r="D8" i="7"/>
  <c r="H6" i="4"/>
  <c r="L9" i="6"/>
  <c r="C22" i="7"/>
  <c r="D28" i="4"/>
  <c r="E18" i="7"/>
  <c r="D36" i="4"/>
  <c r="D15" i="4"/>
  <c r="D7" i="4"/>
  <c r="H11" i="4"/>
  <c r="K23" i="4"/>
  <c r="D21" i="4"/>
  <c r="C32" i="7"/>
  <c r="D27" i="4"/>
  <c r="K8" i="4"/>
  <c r="K27" i="4"/>
  <c r="K36" i="4"/>
  <c r="H33" i="4"/>
  <c r="D13" i="4"/>
  <c r="D6" i="4"/>
  <c r="H18" i="4"/>
  <c r="D4" i="4"/>
  <c r="H12" i="4"/>
  <c r="H39" i="4"/>
  <c r="D22" i="4"/>
  <c r="D23" i="7"/>
  <c r="H22" i="4"/>
  <c r="H23" i="4"/>
  <c r="D14" i="4"/>
  <c r="H29" i="4"/>
  <c r="D30" i="4"/>
  <c r="K24" i="4"/>
  <c r="H23" i="7"/>
  <c r="D20" i="4"/>
  <c r="J22" i="7"/>
  <c r="D39" i="4"/>
  <c r="H19" i="4"/>
  <c r="D32" i="4"/>
  <c r="K16" i="4"/>
  <c r="J23" i="7"/>
  <c r="K12" i="4"/>
  <c r="D37" i="4"/>
  <c r="H13" i="7"/>
  <c r="C14" i="7"/>
  <c r="K35" i="4"/>
  <c r="D23" i="4"/>
  <c r="H26" i="4"/>
  <c r="C23" i="7"/>
  <c r="H16" i="4"/>
  <c r="D25" i="4"/>
  <c r="H22" i="7"/>
  <c r="K26" i="4"/>
  <c r="D11" i="4"/>
  <c r="C8" i="7"/>
  <c r="D3" i="4"/>
  <c r="D9" i="4"/>
  <c r="K37" i="4"/>
  <c r="H27" i="4"/>
  <c r="K4" i="4"/>
  <c r="R5" i="4"/>
  <c r="R10" i="4"/>
  <c r="R8" i="4"/>
  <c r="R9" i="4"/>
  <c r="R29" i="4"/>
  <c r="R6" i="4"/>
  <c r="R22" i="4"/>
  <c r="R37" i="4"/>
  <c r="R26" i="4"/>
  <c r="R27" i="4"/>
  <c r="R19" i="4"/>
  <c r="R31" i="4"/>
  <c r="R36" i="4"/>
  <c r="R24" i="4"/>
  <c r="R39" i="4"/>
  <c r="R23" i="4"/>
  <c r="R21" i="4"/>
  <c r="R34" i="4"/>
  <c r="R33" i="4"/>
  <c r="R30" i="4"/>
  <c r="R15" i="4"/>
  <c r="R35" i="4"/>
  <c r="R32" i="4"/>
  <c r="R17" i="4"/>
  <c r="R14" i="4"/>
  <c r="R7" i="4"/>
  <c r="R11" i="4"/>
  <c r="R13" i="4"/>
  <c r="R20" i="4"/>
  <c r="R25" i="4"/>
  <c r="R28" i="4"/>
  <c r="R3" i="4"/>
  <c r="R38" i="4"/>
  <c r="R12" i="4"/>
  <c r="R18" i="4"/>
  <c r="K23" i="7" l="1"/>
  <c r="L8" i="7"/>
  <c r="K22" i="7"/>
  <c r="S19" i="4"/>
  <c r="T19" i="4" s="1"/>
  <c r="S23" i="4"/>
  <c r="T23" i="4" s="1"/>
  <c r="S11" i="4"/>
  <c r="T11" i="4" s="1"/>
  <c r="S31" i="4"/>
  <c r="T31" i="4" s="1"/>
  <c r="S5" i="4"/>
  <c r="T5" i="4" s="1"/>
  <c r="S8" i="4"/>
  <c r="T8" i="4" s="1"/>
  <c r="S39" i="4"/>
  <c r="T39" i="4" s="1"/>
  <c r="S24" i="4"/>
  <c r="T24" i="4" s="1"/>
  <c r="S27" i="4"/>
  <c r="T27" i="4" s="1"/>
  <c r="S32" i="4"/>
  <c r="T32" i="4" s="1"/>
  <c r="S35" i="4"/>
  <c r="T35" i="4" s="1"/>
  <c r="S9" i="4"/>
  <c r="T9" i="4" s="1"/>
  <c r="S12" i="4"/>
  <c r="T12" i="4" s="1"/>
  <c r="S33" i="4"/>
  <c r="T33" i="4" s="1"/>
  <c r="S17" i="4"/>
  <c r="T17" i="4" s="1"/>
  <c r="S18" i="4"/>
  <c r="T18" i="4" s="1"/>
  <c r="S21" i="4"/>
  <c r="T21" i="4" s="1"/>
  <c r="S29" i="4"/>
  <c r="T29" i="4" s="1"/>
  <c r="S28" i="4"/>
  <c r="T28" i="4" s="1"/>
  <c r="S13" i="4"/>
  <c r="T13" i="4" s="1"/>
  <c r="S25" i="4"/>
  <c r="T25" i="4" s="1"/>
  <c r="S10" i="4"/>
  <c r="T10" i="4" s="1"/>
  <c r="S20" i="4"/>
  <c r="T20" i="4" s="1"/>
  <c r="S14" i="4"/>
  <c r="T14" i="4" s="1"/>
  <c r="S3" i="4"/>
  <c r="T3" i="4" s="1"/>
  <c r="S34" i="4"/>
  <c r="T34" i="4" s="1"/>
  <c r="S7" i="4"/>
  <c r="T7" i="4" s="1"/>
  <c r="S22" i="4"/>
  <c r="T22" i="4" s="1"/>
  <c r="S30" i="4"/>
  <c r="T30" i="4" s="1"/>
  <c r="S6" i="4"/>
  <c r="T6" i="4" s="1"/>
  <c r="S15" i="4"/>
  <c r="T15" i="4" s="1"/>
  <c r="S36" i="4"/>
  <c r="T36" i="4" s="1"/>
  <c r="S26" i="4"/>
  <c r="T26" i="4" s="1"/>
  <c r="S38" i="4"/>
  <c r="T38" i="4" s="1"/>
  <c r="S37" i="4"/>
  <c r="T37" i="4" s="1"/>
  <c r="R4" i="4"/>
  <c r="L26" i="4"/>
  <c r="L22" i="4"/>
  <c r="L18" i="4"/>
  <c r="L7" i="4"/>
  <c r="L25" i="4"/>
  <c r="L37" i="4"/>
  <c r="L36" i="4"/>
  <c r="L38" i="4"/>
  <c r="L20" i="4"/>
  <c r="L27" i="4"/>
  <c r="L19" i="4"/>
  <c r="L33" i="4"/>
  <c r="L3" i="4"/>
  <c r="L17" i="4"/>
  <c r="L22" i="7"/>
  <c r="L15" i="4"/>
  <c r="L23" i="7"/>
  <c r="L35" i="4"/>
  <c r="R16" i="4"/>
  <c r="L29" i="4"/>
  <c r="L39" i="4"/>
  <c r="L11" i="4"/>
  <c r="L8" i="4"/>
  <c r="L5" i="4"/>
  <c r="L4" i="4"/>
  <c r="L9" i="4"/>
  <c r="L21" i="4"/>
  <c r="L10" i="4"/>
  <c r="L32" i="4"/>
  <c r="I4" i="6"/>
  <c r="L16" i="4"/>
  <c r="L23" i="4"/>
  <c r="L12" i="4"/>
  <c r="L6" i="4"/>
  <c r="L30" i="4"/>
  <c r="L34" i="4"/>
  <c r="L31" i="4"/>
  <c r="L13" i="4"/>
  <c r="L24" i="4"/>
  <c r="L28" i="4"/>
  <c r="L14" i="4"/>
  <c r="M14" i="4" l="1"/>
  <c r="N14" i="4" s="1"/>
  <c r="Q14" i="4" s="1"/>
  <c r="M28" i="4"/>
  <c r="N28" i="4" s="1"/>
  <c r="Q28" i="4" s="1"/>
  <c r="M24" i="4"/>
  <c r="N24" i="4" s="1"/>
  <c r="Q24" i="4" s="1"/>
  <c r="M13" i="4"/>
  <c r="N13" i="4" s="1"/>
  <c r="Q13" i="4" s="1"/>
  <c r="M31" i="4"/>
  <c r="N31" i="4" s="1"/>
  <c r="Q31" i="4" s="1"/>
  <c r="M34" i="4"/>
  <c r="N34" i="4" s="1"/>
  <c r="Q34" i="4" s="1"/>
  <c r="M30" i="4"/>
  <c r="N30" i="4" s="1"/>
  <c r="Q30" i="4" s="1"/>
  <c r="M6" i="4"/>
  <c r="N6" i="4" s="1"/>
  <c r="Q6" i="4" s="1"/>
  <c r="M12" i="4"/>
  <c r="N12" i="4" s="1"/>
  <c r="Q12" i="4" s="1"/>
  <c r="M23" i="4"/>
  <c r="N23" i="4" s="1"/>
  <c r="Q23" i="4" s="1"/>
  <c r="M16" i="4"/>
  <c r="N16" i="4" s="1"/>
  <c r="Q16" i="4" s="1"/>
  <c r="M32" i="4"/>
  <c r="N32" i="4" s="1"/>
  <c r="Q32" i="4" s="1"/>
  <c r="M10" i="4"/>
  <c r="N10" i="4" s="1"/>
  <c r="Q10" i="4" s="1"/>
  <c r="M21" i="4"/>
  <c r="N21" i="4" s="1"/>
  <c r="Q21" i="4" s="1"/>
  <c r="M9" i="4"/>
  <c r="N9" i="4" s="1"/>
  <c r="Q9" i="4" s="1"/>
  <c r="M4" i="4"/>
  <c r="N4" i="4" s="1"/>
  <c r="Q4" i="4" s="1"/>
  <c r="M5" i="4"/>
  <c r="N5" i="4" s="1"/>
  <c r="Q5" i="4" s="1"/>
  <c r="M8" i="4"/>
  <c r="N8" i="4" s="1"/>
  <c r="Q8" i="4" s="1"/>
  <c r="M11" i="4"/>
  <c r="N11" i="4" s="1"/>
  <c r="Q11" i="4" s="1"/>
  <c r="M39" i="4"/>
  <c r="N39" i="4" s="1"/>
  <c r="Q39" i="4" s="1"/>
  <c r="M29" i="4"/>
  <c r="N29" i="4" s="1"/>
  <c r="Q29" i="4" s="1"/>
  <c r="S16" i="4"/>
  <c r="T16" i="4" s="1"/>
  <c r="M35" i="4"/>
  <c r="N35" i="4" s="1"/>
  <c r="Q35" i="4" s="1"/>
  <c r="M23" i="7"/>
  <c r="M15" i="4"/>
  <c r="N15" i="4" s="1"/>
  <c r="Q15" i="4" s="1"/>
  <c r="M22" i="7"/>
  <c r="M17" i="4"/>
  <c r="N17" i="4" s="1"/>
  <c r="Q17" i="4" s="1"/>
  <c r="M3" i="4"/>
  <c r="N3" i="4" s="1"/>
  <c r="Q3" i="4" s="1"/>
  <c r="M33" i="4"/>
  <c r="N33" i="4" s="1"/>
  <c r="Q33" i="4" s="1"/>
  <c r="M19" i="4"/>
  <c r="N19" i="4" s="1"/>
  <c r="Q19" i="4" s="1"/>
  <c r="M27" i="4"/>
  <c r="N27" i="4" s="1"/>
  <c r="Q27" i="4" s="1"/>
  <c r="M20" i="4"/>
  <c r="N20" i="4" s="1"/>
  <c r="Q20" i="4" s="1"/>
  <c r="M38" i="4"/>
  <c r="N38" i="4" s="1"/>
  <c r="Q38" i="4" s="1"/>
  <c r="M36" i="4"/>
  <c r="N36" i="4" s="1"/>
  <c r="Q36" i="4" s="1"/>
  <c r="M37" i="4"/>
  <c r="N37" i="4" s="1"/>
  <c r="Q37" i="4" s="1"/>
  <c r="M25" i="4"/>
  <c r="N25" i="4" s="1"/>
  <c r="Q25" i="4" s="1"/>
  <c r="M7" i="4"/>
  <c r="N7" i="4" s="1"/>
  <c r="Q7" i="4" s="1"/>
  <c r="M18" i="4"/>
  <c r="N18" i="4" s="1"/>
  <c r="Q18" i="4" s="1"/>
  <c r="M22" i="4"/>
  <c r="N22" i="4" s="1"/>
  <c r="Q22" i="4" s="1"/>
  <c r="M26" i="4"/>
  <c r="N26" i="4" s="1"/>
  <c r="Q26" i="4" s="1"/>
  <c r="S4" i="4"/>
  <c r="T4" i="4" s="1"/>
  <c r="V2" i="1"/>
  <c r="W2" i="1"/>
  <c r="V1" i="1"/>
  <c r="W1" i="1"/>
  <c r="M1" i="1"/>
  <c r="N1" i="1"/>
  <c r="O1" i="1"/>
  <c r="P1" i="1"/>
  <c r="Q1" i="1"/>
  <c r="R1" i="1"/>
  <c r="S1" i="1"/>
  <c r="T1" i="1"/>
  <c r="U1" i="1"/>
  <c r="L1" i="1"/>
  <c r="L8" i="6"/>
  <c r="L15" i="6" l="1"/>
  <c r="I8" i="6"/>
  <c r="I5" i="6"/>
  <c r="L18" i="6"/>
  <c r="L21" i="6"/>
  <c r="L7" i="6"/>
  <c r="L22" i="6"/>
  <c r="L19" i="6" l="1"/>
  <c r="L20" i="6" s="1"/>
  <c r="I9" i="6"/>
  <c r="L23" i="6"/>
  <c r="L24" i="6" s="1"/>
  <c r="Q2" i="1" l="1"/>
  <c r="R2" i="1"/>
  <c r="S2" i="1"/>
  <c r="T2" i="1"/>
  <c r="U2" i="1"/>
  <c r="F9" i="6"/>
  <c r="F10" i="6"/>
  <c r="F11" i="6"/>
  <c r="F12" i="6"/>
  <c r="C14" i="6"/>
  <c r="C15" i="6"/>
  <c r="C11" i="6"/>
  <c r="C8" i="6"/>
  <c r="C9" i="6"/>
  <c r="C7" i="6"/>
  <c r="C12" i="6"/>
  <c r="C13" i="6"/>
  <c r="C16" i="6" l="1"/>
  <c r="C4" i="5"/>
  <c r="C18" i="6"/>
  <c r="C21" i="6"/>
  <c r="C22"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G2" i="4"/>
  <c r="C2" i="4"/>
  <c r="K2" i="4"/>
  <c r="D2" i="4"/>
  <c r="H2" i="4"/>
  <c r="G2" i="1" l="1"/>
  <c r="A2" i="1"/>
  <c r="F2" i="1"/>
  <c r="E2" i="1"/>
  <c r="D2" i="1"/>
  <c r="C2" i="1"/>
  <c r="B2" i="1"/>
  <c r="L2" i="4"/>
  <c r="R2" i="4"/>
  <c r="H2" i="1" l="1"/>
  <c r="K2" i="1" s="1"/>
  <c r="M2" i="4"/>
  <c r="N2" i="4" s="1"/>
  <c r="Q2" i="4" s="1"/>
  <c r="S2" i="4"/>
  <c r="T2" i="4" s="1"/>
</calcChain>
</file>

<file path=xl/sharedStrings.xml><?xml version="1.0" encoding="utf-8"?>
<sst xmlns="http://schemas.openxmlformats.org/spreadsheetml/2006/main" count="539" uniqueCount="396">
  <si>
    <t>code</t>
  </si>
  <si>
    <t>name</t>
  </si>
  <si>
    <t>stname</t>
  </si>
  <si>
    <t>tyr</t>
  </si>
  <si>
    <t>HisVol</t>
  </si>
  <si>
    <t>BS</t>
  </si>
  <si>
    <t>Delta</t>
  </si>
  <si>
    <t>Theta</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</si>
  <si>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</si>
  <si>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</si>
  <si>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</si>
  <si>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</si>
  <si>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</si>
  <si>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</si>
  <si>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</si>
  <si>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</si>
  <si>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</si>
  <si>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</si>
  <si>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</si>
  <si>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</si>
  <si>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</si>
  <si>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</si>
  <si>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</si>
  <si>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</si>
  <si>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</si>
  <si>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</si>
  <si>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</si>
  <si>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</si>
  <si>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</si>
  <si>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</si>
  <si>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</si>
  <si>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</si>
  <si>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</si>
  <si>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</si>
  <si>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</si>
  <si>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</si>
  <si>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</si>
  <si>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</si>
  <si>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</si>
  <si>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</si>
  <si>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</si>
  <si>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</si>
  <si>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</si>
  <si>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</si>
  <si>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</si>
  <si>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</si>
  <si>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</si>
  <si>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</si>
  <si>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</si>
  <si>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</si>
  <si>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</si>
  <si>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</si>
  <si>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</si>
  <si>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</si>
  <si>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</si>
  <si>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</si>
  <si>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</si>
  <si>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</si>
  <si>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</si>
  <si>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</si>
  <si>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</si>
  <si>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</si>
  <si>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</si>
  <si>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</si>
  <si>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</si>
  <si>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</si>
  <si>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</si>
  <si>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</si>
  <si>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</si>
  <si>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</si>
  <si>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</si>
  <si>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</si>
  <si>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</si>
  <si>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</si>
  <si>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</si>
  <si>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</si>
  <si>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</si>
  <si>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</si>
  <si>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</si>
  <si>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</si>
  <si>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</si>
  <si>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</si>
  <si>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</si>
  <si>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</si>
  <si>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</si>
  <si>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</si>
  <si>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</si>
  <si>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</si>
  <si>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</si>
  <si>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</si>
  <si>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</si>
  <si>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</si>
  <si>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</si>
  <si>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</si>
  <si>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</si>
  <si>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</si>
  <si>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</si>
  <si>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</si>
  <si>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</si>
  <si>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</si>
  <si>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</si>
  <si>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</si>
  <si>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</si>
  <si>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</si>
  <si>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</si>
  <si>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</si>
  <si>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</si>
  <si>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BT</t>
  </si>
  <si>
    <t>溢价率</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</si>
  <si>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</si>
  <si>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</si>
  <si>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</si>
  <si>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</si>
  <si>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</si>
  <si>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</si>
  <si>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</si>
  <si>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</si>
  <si>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</si>
  <si>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</si>
  <si>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</si>
  <si>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</si>
  <si>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</si>
  <si>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</si>
  <si>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</si>
  <si>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</si>
  <si>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</si>
  <si>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</si>
  <si>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</si>
  <si>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</si>
  <si>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</si>
  <si>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</si>
  <si>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</si>
  <si>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</si>
  <si>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</si>
  <si>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</si>
  <si>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</si>
  <si>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</si>
  <si>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</si>
  <si>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</si>
  <si>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</si>
  <si>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</si>
  <si>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</si>
  <si>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</si>
  <si>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</si>
  <si>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</si>
  <si>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BS定价核对无误。Delta核对无误。</t>
    <phoneticPr fontId="1" type="noConversion"/>
  </si>
  <si>
    <t>可转债定价工具使用说明</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</si>
  <si>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</si>
  <si>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</si>
  <si>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</si>
  <si>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</si>
  <si>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</si>
  <si>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</si>
  <si>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</si>
  <si>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</si>
  <si>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</si>
  <si>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</si>
  <si>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</si>
  <si>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</si>
  <si>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</si>
  <si>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</si>
  <si>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</si>
  <si>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</si>
  <si>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</si>
  <si>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</si>
  <si>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</si>
  <si>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</si>
  <si>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</si>
  <si>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</si>
  <si>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</si>
  <si>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</si>
  <si>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</si>
  <si>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</si>
  <si>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</si>
  <si>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</si>
  <si>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</si>
  <si>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</si>
  <si>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</si>
  <si>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</si>
  <si>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</si>
  <si>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</si>
  <si>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</si>
  <si>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</si>
  <si>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</si>
  <si>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</si>
  <si>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</si>
  <si>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</si>
  <si>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</si>
  <si>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</si>
  <si>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</si>
  <si>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</si>
  <si>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</si>
  <si>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</si>
  <si>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</si>
  <si>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</si>
  <si>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</si>
  <si>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</si>
  <si>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</si>
  <si>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</si>
  <si>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</si>
  <si>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128016.SZ</t>
  </si>
  <si>
    <t>v1.3</t>
    <phoneticPr fontId="1" type="noConversion"/>
  </si>
  <si>
    <t>雨虹转债</t>
  </si>
  <si>
    <t>东方雨虹</t>
  </si>
  <si>
    <t>剩余年数</t>
    <phoneticPr fontId="1" type="noConversion"/>
  </si>
  <si>
    <t>自动处理除权数据。支持首日上市的转债。自动增加数据行数和公式。</t>
    <phoneticPr fontId="1" type="noConversion"/>
  </si>
  <si>
    <t>1.需要启用VBA宏和Wind插件，且Wind插件处于已登录状态。
2.[历史溢价率]和[期权价值]为历史数据测算，需要点击[更新数据]获取最新日数据。
3.[实时溢价率]中新增转债时，需要点击[更新数据]刷新公式。</t>
    <phoneticPr fontId="1" type="noConversion"/>
  </si>
  <si>
    <t>优先配售</t>
    <phoneticPr fontId="1" type="noConversion"/>
  </si>
  <si>
    <t>每股配售面值</t>
    <phoneticPr fontId="1" type="noConversion"/>
  </si>
  <si>
    <t>预期收益率</t>
    <phoneticPr fontId="1" type="noConversion"/>
  </si>
  <si>
    <t>配售收益</t>
    <phoneticPr fontId="1" type="noConversion"/>
  </si>
  <si>
    <t>配售收益率</t>
    <phoneticPr fontId="1" type="noConversion"/>
  </si>
  <si>
    <t>林洋转债</t>
    <phoneticPr fontId="1" type="noConversion"/>
  </si>
  <si>
    <t>转债定价</t>
    <phoneticPr fontId="1" type="noConversion"/>
  </si>
  <si>
    <t>close</t>
  </si>
  <si>
    <t>stclose</t>
  </si>
  <si>
    <t>convprice</t>
  </si>
  <si>
    <t>strbvalue</t>
  </si>
  <si>
    <t>optvalue</t>
  </si>
  <si>
    <t>对冲比例</t>
  </si>
  <si>
    <t>v1.4</t>
    <phoneticPr fontId="1" type="noConversion"/>
  </si>
  <si>
    <t>转债弹性，在当前价格水平下，正股价格变动1%，转债价格变动Delta%。</t>
    <phoneticPr fontId="1" type="noConversion"/>
  </si>
  <si>
    <t>stcode</t>
  </si>
  <si>
    <t>600185.SH</t>
  </si>
  <si>
    <t>600271.SH</t>
  </si>
  <si>
    <t>600031.SH</t>
  </si>
  <si>
    <t>600755.SH</t>
  </si>
  <si>
    <t>600998.SH</t>
  </si>
  <si>
    <t>601727.SH</t>
  </si>
  <si>
    <t>601238.SH</t>
  </si>
  <si>
    <t>601199.SH</t>
  </si>
  <si>
    <t>601818.SH</t>
  </si>
  <si>
    <t>601311.SH</t>
  </si>
  <si>
    <t>601211.SH</t>
  </si>
  <si>
    <t>002603.SZ</t>
  </si>
  <si>
    <t>300058.SZ</t>
  </si>
  <si>
    <t>000861.SZ</t>
  </si>
  <si>
    <t>000700.SZ</t>
  </si>
  <si>
    <t>002245.SZ</t>
  </si>
  <si>
    <t>002496.SZ</t>
  </si>
  <si>
    <t>002325.SZ</t>
  </si>
  <si>
    <t>002753.SZ</t>
  </si>
  <si>
    <t>002279.SZ</t>
  </si>
  <si>
    <t>002271.SZ</t>
  </si>
  <si>
    <t>601336.SH</t>
  </si>
  <si>
    <t>600535.SH</t>
  </si>
  <si>
    <t>600109.SH</t>
  </si>
  <si>
    <t>600170.SH</t>
  </si>
  <si>
    <t>601601.SH</t>
  </si>
  <si>
    <t>601801.SH</t>
  </si>
  <si>
    <t>601928.SH</t>
  </si>
  <si>
    <t>600350.SH</t>
  </si>
  <si>
    <t>601857.SH</t>
  </si>
  <si>
    <t>601233.SH</t>
  </si>
  <si>
    <t>600633.SH</t>
  </si>
  <si>
    <t>600160.SH</t>
  </si>
  <si>
    <t>溢价率均值</t>
  </si>
  <si>
    <t>溢价率标准差</t>
  </si>
  <si>
    <t>远程数据自动更新。解决多工作簿冲突问题。解决缓存问题。</t>
    <phoneticPr fontId="1" type="noConversion"/>
  </si>
  <si>
    <t>转股价值</t>
    <phoneticPr fontId="1" type="noConversion"/>
  </si>
  <si>
    <t>113014.SH</t>
  </si>
  <si>
    <t>林洋转债</t>
  </si>
  <si>
    <t>601222.SH</t>
  </si>
  <si>
    <t>林洋能源</t>
  </si>
  <si>
    <t>113015.SH</t>
  </si>
  <si>
    <t>隆基转债</t>
  </si>
  <si>
    <t>NA</t>
  </si>
  <si>
    <t>601012.SH</t>
  </si>
  <si>
    <t>隆基股份</t>
  </si>
  <si>
    <t>128017.SZ</t>
  </si>
  <si>
    <t>金禾转债</t>
  </si>
  <si>
    <t>002597.SZ</t>
  </si>
  <si>
    <t>金禾实业</t>
  </si>
  <si>
    <t>债底</t>
    <phoneticPr fontId="1" type="noConversion"/>
  </si>
  <si>
    <t>002318.SZ</t>
    <phoneticPr fontId="1" type="noConversion"/>
  </si>
  <si>
    <t>002318.SZ</t>
    <phoneticPr fontId="1" type="noConversion"/>
  </si>
  <si>
    <t>公告日</t>
    <phoneticPr fontId="1" type="noConversion"/>
  </si>
  <si>
    <t>股权登记日</t>
    <phoneticPr fontId="1" type="noConversion"/>
  </si>
  <si>
    <t>申购日</t>
    <phoneticPr fontId="1" type="noConversion"/>
  </si>
  <si>
    <t>中签缴款日</t>
    <phoneticPr fontId="1" type="noConversion"/>
  </si>
  <si>
    <t>股票代码</t>
    <phoneticPr fontId="1" type="noConversion"/>
  </si>
  <si>
    <t>股票名称</t>
    <phoneticPr fontId="1" type="noConversion"/>
  </si>
  <si>
    <t>久立转2</t>
    <phoneticPr fontId="1" type="noConversion"/>
  </si>
  <si>
    <t>转债名称</t>
    <phoneticPr fontId="1" type="noConversion"/>
  </si>
  <si>
    <t>转债代码</t>
    <phoneticPr fontId="1" type="noConversion"/>
  </si>
  <si>
    <t>昨日收盘价</t>
    <phoneticPr fontId="1" type="noConversion"/>
  </si>
  <si>
    <t>转股价</t>
    <phoneticPr fontId="1" type="noConversion"/>
  </si>
  <si>
    <t>平价</t>
    <phoneticPr fontId="1" type="noConversion"/>
  </si>
  <si>
    <t>上市收益率</t>
    <phoneticPr fontId="1" type="noConversion"/>
  </si>
  <si>
    <t>每股配售</t>
    <phoneticPr fontId="1" type="noConversion"/>
  </si>
  <si>
    <t>上市收益率</t>
    <phoneticPr fontId="1" type="noConversion"/>
  </si>
  <si>
    <t>高</t>
    <phoneticPr fontId="1" type="noConversion"/>
  </si>
  <si>
    <t>影响评价</t>
    <phoneticPr fontId="1" type="noConversion"/>
  </si>
  <si>
    <t>每股价值</t>
    <phoneticPr fontId="1" type="noConversion"/>
  </si>
  <si>
    <t>配售收益率</t>
    <phoneticPr fontId="1" type="noConversion"/>
  </si>
  <si>
    <t>申购评价</t>
    <phoneticPr fontId="1" type="noConversion"/>
  </si>
  <si>
    <t>安全</t>
    <phoneticPr fontId="1" type="noConversion"/>
  </si>
  <si>
    <t>时达转债</t>
  </si>
  <si>
    <t>时达转债</t>
    <phoneticPr fontId="1" type="noConversion"/>
  </si>
  <si>
    <t>网上申购</t>
    <phoneticPr fontId="1" type="noConversion"/>
  </si>
  <si>
    <t>申购代码</t>
    <phoneticPr fontId="1" type="noConversion"/>
  </si>
  <si>
    <t>中枢定价</t>
    <phoneticPr fontId="1" type="noConversion"/>
  </si>
  <si>
    <t>072527</t>
    <phoneticPr fontId="1" type="noConversion"/>
  </si>
  <si>
    <t>小康转债</t>
  </si>
  <si>
    <t>小康转债</t>
    <phoneticPr fontId="1" type="noConversion"/>
  </si>
  <si>
    <t>783127</t>
    <phoneticPr fontId="1" type="noConversion"/>
  </si>
  <si>
    <t>委托方向</t>
    <phoneticPr fontId="1" type="noConversion"/>
  </si>
  <si>
    <t>指令数量</t>
    <phoneticPr fontId="1" type="noConversion"/>
  </si>
  <si>
    <t>指令价格</t>
    <phoneticPr fontId="1" type="noConversion"/>
  </si>
  <si>
    <t>601127</t>
    <phoneticPr fontId="1" type="noConversion"/>
  </si>
  <si>
    <t>002527</t>
    <phoneticPr fontId="1" type="noConversion"/>
  </si>
  <si>
    <t>转债最新定价</t>
    <phoneticPr fontId="1" type="noConversion"/>
  </si>
  <si>
    <t>昨日
收盘价</t>
    <phoneticPr fontId="1" type="noConversion"/>
  </si>
  <si>
    <t>预计网上发行规模</t>
    <phoneticPr fontId="1" type="noConversion"/>
  </si>
  <si>
    <t>申购</t>
    <phoneticPr fontId="1" type="noConversion"/>
  </si>
  <si>
    <t>申购转债虚增资金</t>
    <phoneticPr fontId="1" type="noConversion"/>
  </si>
  <si>
    <t>账户</t>
    <phoneticPr fontId="1" type="noConversion"/>
  </si>
  <si>
    <t>投资经理</t>
    <phoneticPr fontId="1" type="noConversion"/>
  </si>
  <si>
    <t>虚增日期</t>
    <phoneticPr fontId="1" type="noConversion"/>
  </si>
  <si>
    <t>虚增金额
（万元）</t>
    <phoneticPr fontId="1" type="noConversion"/>
  </si>
  <si>
    <t>风险提示：从[交易部虚增资金]到[交易部执行指令]前，虚增资金不能用于其他用途，否则将导致资金过量使用的风险。</t>
    <phoneticPr fontId="1" type="noConversion"/>
  </si>
  <si>
    <t>增益1</t>
    <phoneticPr fontId="1" type="noConversion"/>
  </si>
  <si>
    <t>增益2</t>
    <phoneticPr fontId="1" type="noConversion"/>
  </si>
  <si>
    <t>增益3</t>
    <phoneticPr fontId="1" type="noConversion"/>
  </si>
  <si>
    <t>增益6</t>
    <phoneticPr fontId="1" type="noConversion"/>
  </si>
  <si>
    <t>安盈量化</t>
    <phoneticPr fontId="1" type="noConversion"/>
  </si>
  <si>
    <t>万联</t>
    <phoneticPr fontId="1" type="noConversion"/>
  </si>
  <si>
    <t>黄海平</t>
    <phoneticPr fontId="1" type="noConversion"/>
  </si>
  <si>
    <t>增益5</t>
    <phoneticPr fontId="1" type="noConversion"/>
  </si>
  <si>
    <t>程星烨</t>
    <phoneticPr fontId="1" type="noConversion"/>
  </si>
  <si>
    <t>安盈3</t>
    <phoneticPr fontId="1" type="noConversion"/>
  </si>
  <si>
    <t>许殿豪</t>
    <phoneticPr fontId="1" type="noConversion"/>
  </si>
  <si>
    <t>签字</t>
    <phoneticPr fontId="1" type="noConversion"/>
  </si>
  <si>
    <t>转债虚增处理流程：申请临时虚增-交易部虚增资金-投资经理下申购指令-交易部执行指令-虚增撤销</t>
    <phoneticPr fontId="1" type="noConversion"/>
  </si>
  <si>
    <t>优先配售</t>
    <phoneticPr fontId="1" type="noConversion"/>
  </si>
  <si>
    <t>发行公告</t>
    <phoneticPr fontId="1" type="noConversion"/>
  </si>
  <si>
    <t>中签情况</t>
    <phoneticPr fontId="1" type="noConversion"/>
  </si>
  <si>
    <t>隆基股份</t>
    <phoneticPr fontId="1" type="noConversion"/>
  </si>
  <si>
    <t>网上比例</t>
    <phoneticPr fontId="1" type="noConversion"/>
  </si>
  <si>
    <t>申购户数
(万)</t>
    <phoneticPr fontId="1" type="noConversion"/>
  </si>
  <si>
    <t>待上市</t>
    <phoneticPr fontId="1" type="noConversion"/>
  </si>
  <si>
    <t>上市日</t>
    <phoneticPr fontId="1" type="noConversion"/>
  </si>
  <si>
    <t>待定</t>
    <phoneticPr fontId="1" type="noConversion"/>
  </si>
  <si>
    <t>002597</t>
    <phoneticPr fontId="1" type="noConversion"/>
  </si>
  <si>
    <t>601222</t>
    <phoneticPr fontId="1" type="noConversion"/>
  </si>
  <si>
    <t>128017</t>
    <phoneticPr fontId="1" type="noConversion"/>
  </si>
  <si>
    <t>113014</t>
    <phoneticPr fontId="1" type="noConversion"/>
  </si>
  <si>
    <t>历史波动率</t>
    <phoneticPr fontId="1" type="noConversion"/>
  </si>
  <si>
    <t>601127.SH</t>
  </si>
  <si>
    <t>601127</t>
    <phoneticPr fontId="1" type="noConversion"/>
  </si>
  <si>
    <t>最新定价</t>
    <phoneticPr fontId="1" type="noConversion"/>
  </si>
  <si>
    <t>网上获配(亿)</t>
    <phoneticPr fontId="1" type="noConversion"/>
  </si>
  <si>
    <t>昨日收盘价</t>
    <phoneticPr fontId="1" type="noConversion"/>
  </si>
  <si>
    <t>发行规模
(亿)</t>
    <phoneticPr fontId="1" type="noConversion"/>
  </si>
  <si>
    <t>002318</t>
    <phoneticPr fontId="1" type="noConversion"/>
  </si>
  <si>
    <t>002318</t>
    <phoneticPr fontId="1" type="noConversion"/>
  </si>
  <si>
    <t>128019</t>
    <phoneticPr fontId="1" type="noConversion"/>
  </si>
  <si>
    <t>072318</t>
    <phoneticPr fontId="1" type="noConversion"/>
  </si>
  <si>
    <t>113016.SH</t>
  </si>
  <si>
    <t>128018.SZ</t>
  </si>
  <si>
    <t>002527.SZ</t>
  </si>
  <si>
    <t>新时达</t>
  </si>
  <si>
    <t>ver1.5</t>
  </si>
  <si>
    <t>久立特材</t>
  </si>
  <si>
    <t>久立转2</t>
  </si>
  <si>
    <t>小康股份</t>
  </si>
  <si>
    <t>待上市</t>
  </si>
  <si>
    <t>v1.5</t>
    <phoneticPr fontId="1" type="noConversion"/>
  </si>
  <si>
    <t>打开时自动载入数据。增加新发转债提示功能</t>
    <phoneticPr fontId="1" type="noConversion"/>
  </si>
  <si>
    <t>发行公告</t>
  </si>
  <si>
    <t>公告日</t>
  </si>
  <si>
    <t>股票代码</t>
  </si>
  <si>
    <t>股票名称</t>
  </si>
  <si>
    <t>昨日收盘价</t>
  </si>
  <si>
    <t>转债代码</t>
  </si>
  <si>
    <t>转债名称</t>
  </si>
  <si>
    <t>债底</t>
  </si>
  <si>
    <t>平价</t>
  </si>
  <si>
    <t>中枢定价</t>
  </si>
  <si>
    <t>上市收益率</t>
  </si>
  <si>
    <t>申购评价</t>
  </si>
  <si>
    <t>优先配售</t>
  </si>
  <si>
    <t>股权登记日</t>
  </si>
  <si>
    <t>每股配售</t>
  </si>
  <si>
    <t>每股价值</t>
  </si>
  <si>
    <t>配售收益率</t>
  </si>
  <si>
    <t>影响评价</t>
  </si>
  <si>
    <t>上市日</t>
  </si>
  <si>
    <t>发行规模亿元</t>
  </si>
  <si>
    <t>网上获配亿元</t>
  </si>
  <si>
    <t>网上额度占比</t>
  </si>
  <si>
    <t>网上申购万户</t>
  </si>
  <si>
    <t>待定</t>
  </si>
  <si>
    <t>IPO</t>
    <phoneticPr fontId="1" type="noConversion"/>
  </si>
  <si>
    <t>IPO数据跟踪</t>
    <phoneticPr fontId="1" type="noConversion"/>
  </si>
  <si>
    <t>数据载入完毕</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</si>
</sst>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0%"/>
    <numFmt numFmtId="177" formatCode="0.0"/>
    <numFmt numFmtId="178" formatCode="0.00_);[Red]\(0.00\)"/>
    <numFmt numFmtId="179" formatCode="0.000_);[Red]\(0.000\)"/>
    <numFmt numFmtId="180" formatCode="###,###,##0.0000"/>
    <numFmt numFmtId="181" formatCode="0.0000"/>
    <numFmt numFmtId="182" formatCode="###,###,##0.00"/>
    <numFmt numFmtId="183" formatCode="yyyy/mm"/>
    <numFmt numFmtId="184" formatCode="0.000"/>
    <numFmt numFmtId="185" formatCode="000000"/>
    <numFmt numFmtId="186" formatCode="yyyy\-mm\-dd"/>
  </numFmts>
  <fonts count="19">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
      <b/>
      <i/>
      <sz val="12"/>
      <color indexed="8"/>
      <name val="宋体"/>
      <family val="3"/>
      <charset val="134"/>
      <scheme val="minor"/>
    </font>
    <font>
      <b/>
      <i/>
      <sz val="14"/>
      <color indexed="8"/>
      <name val="宋体"/>
      <family val="3"/>
      <charset val="134"/>
      <scheme val="minor"/>
    </font>
    <font>
      <u/>
      <sz val="11"/>
      <color indexed="8"/>
      <name val="宋体"/>
      <family val="2"/>
      <scheme val="minor"/>
    </font>
    <font>
      <u/>
      <sz val="11"/>
      <color indexed="8"/>
      <name val="宋体"/>
      <family val="3"/>
      <charset val="134"/>
      <scheme val="minor"/>
    </font>
    <font>
      <b/>
      <sz val="10"/>
      <color indexed="8"/>
      <name val="宋体"/>
      <family val="3"/>
      <charset val="134"/>
      <scheme val="minor"/>
    </font>
    <font>
      <sz val="11"/>
      <color rgb="FF000000"/>
      <name val="宋体"/>
      <family val="3"/>
      <charset val="134"/>
    </font>
  </fonts>
  <fills count="3">
    <fill>
      <patternFill patternType="none"/>
    </fill>
    <fill>
      <patternFill patternType="gray125"/>
    </fill>
    <fill>
      <patternFill patternType="solid">
        <fgColor rgb="FFFFC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115">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0" fillId="0" borderId="1" xfId="0" applyBorder="1" applyAlignment="1">
      <alignment horizontal="center" vertical="center"/>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9" fontId="8" fillId="2" borderId="8" xfId="1" applyFont="1" applyFill="1" applyBorder="1" applyAlignment="1">
      <alignment horizontal="center" vertical="center"/>
    </xf>
    <xf numFmtId="0" fontId="0" fillId="0" borderId="7" xfId="0" applyFill="1" applyBorder="1" applyAlignment="1">
      <alignment horizontal="center" vertical="center"/>
    </xf>
    <xf numFmtId="0" fontId="0" fillId="0" borderId="8" xfId="0" applyBorder="1">
      <alignment vertical="center"/>
    </xf>
    <xf numFmtId="0" fontId="0" fillId="0" borderId="9" xfId="0" applyFill="1" applyBorder="1" applyAlignment="1">
      <alignment horizontal="center" vertical="center"/>
    </xf>
    <xf numFmtId="10" fontId="0" fillId="0" borderId="10" xfId="1" applyNumberFormat="1" applyFont="1" applyBorder="1">
      <alignment vertical="center"/>
    </xf>
    <xf numFmtId="17" fontId="0" fillId="0" borderId="0" xfId="0" applyNumberFormat="1">
      <alignment vertical="center"/>
    </xf>
    <xf numFmtId="0" fontId="3" fillId="0" borderId="1" xfId="0" applyFont="1" applyFill="1" applyBorder="1" applyAlignment="1">
      <alignment horizontal="center" vertical="center" wrapText="1"/>
    </xf>
    <xf numFmtId="0" fontId="0" fillId="0" borderId="1" xfId="0" applyFill="1" applyBorder="1" applyAlignment="1">
      <alignment vertical="center" wrapText="1"/>
    </xf>
    <xf numFmtId="183" fontId="0" fillId="0" borderId="0" xfId="1" applyNumberFormat="1" applyFont="1">
      <alignment vertical="center"/>
    </xf>
    <xf numFmtId="0" fontId="3" fillId="0" borderId="1" xfId="0" applyFont="1" applyBorder="1" applyAlignment="1">
      <alignment horizontal="center" vertical="center" wrapText="1"/>
    </xf>
    <xf numFmtId="0" fontId="0" fillId="0" borderId="0" xfId="0" applyNumberFormat="1">
      <alignment vertical="center"/>
    </xf>
    <xf numFmtId="0" fontId="0" fillId="0" borderId="0" xfId="0" applyAlignment="1">
      <alignment vertical="center" wrapText="1"/>
    </xf>
    <xf numFmtId="0" fontId="0" fillId="0" borderId="0" xfId="0" applyAlignment="1">
      <alignment horizontal="center" vertical="center"/>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3" fillId="0" borderId="1" xfId="0" quotePrefix="1" applyFont="1" applyBorder="1" applyAlignment="1">
      <alignment horizontal="center" vertical="center"/>
    </xf>
    <xf numFmtId="0" fontId="3" fillId="0" borderId="0" xfId="0" applyFont="1">
      <alignment vertical="center"/>
    </xf>
    <xf numFmtId="0" fontId="0" fillId="0" borderId="1" xfId="0" applyBorder="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xf>
    <xf numFmtId="14" fontId="3" fillId="0" borderId="0" xfId="0" applyNumberFormat="1" applyFont="1" applyBorder="1" applyAlignment="1">
      <alignment horizontal="center" vertical="center"/>
    </xf>
    <xf numFmtId="0" fontId="0" fillId="0" borderId="0" xfId="0" applyBorder="1" applyAlignment="1">
      <alignment horizontal="center" vertical="center"/>
    </xf>
    <xf numFmtId="0" fontId="3" fillId="0" borderId="0" xfId="0" applyFont="1" applyBorder="1" applyAlignment="1">
      <alignment horizontal="center" vertical="center"/>
    </xf>
    <xf numFmtId="0" fontId="3" fillId="0" borderId="0" xfId="0" quotePrefix="1" applyFont="1" applyBorder="1" applyAlignment="1">
      <alignment horizontal="center" vertical="center"/>
    </xf>
    <xf numFmtId="0" fontId="13" fillId="0" borderId="0" xfId="0" applyFont="1">
      <alignment vertical="center"/>
    </xf>
    <xf numFmtId="0" fontId="14" fillId="0" borderId="0" xfId="0" applyFont="1">
      <alignment vertical="center"/>
    </xf>
    <xf numFmtId="9" fontId="0" fillId="0" borderId="1" xfId="0" applyNumberFormat="1" applyBorder="1" applyAlignment="1">
      <alignment horizontal="center" vertical="center"/>
    </xf>
    <xf numFmtId="184" fontId="0" fillId="0" borderId="1" xfId="0" applyNumberFormat="1" applyFont="1" applyBorder="1" applyAlignment="1">
      <alignment horizontal="center" vertical="center"/>
    </xf>
    <xf numFmtId="0" fontId="8" fillId="0" borderId="1" xfId="0" applyFont="1" applyBorder="1" applyAlignment="1">
      <alignment horizontal="center" vertical="center" wrapText="1"/>
    </xf>
    <xf numFmtId="10" fontId="3" fillId="0" borderId="1" xfId="1" applyNumberFormat="1" applyFont="1" applyBorder="1" applyAlignment="1">
      <alignment horizontal="center" vertical="center"/>
    </xf>
    <xf numFmtId="9" fontId="3" fillId="0" borderId="1" xfId="0" applyNumberFormat="1" applyFont="1" applyBorder="1" applyAlignment="1">
      <alignment horizontal="center" vertical="center"/>
    </xf>
    <xf numFmtId="0" fontId="15" fillId="0" borderId="1" xfId="0" applyFont="1" applyBorder="1" applyAlignment="1">
      <alignment horizontal="center" vertical="center"/>
    </xf>
    <xf numFmtId="0" fontId="8" fillId="0" borderId="1" xfId="0" applyFont="1" applyFill="1" applyBorder="1" applyAlignment="1">
      <alignment horizontal="center" vertical="center" wrapText="1"/>
    </xf>
    <xf numFmtId="180" fontId="0" fillId="0" borderId="1" xfId="0" applyNumberFormat="1" applyBorder="1" applyAlignment="1">
      <alignment horizontal="center" vertical="center"/>
    </xf>
    <xf numFmtId="182" fontId="0" fillId="0" borderId="1" xfId="0" applyNumberForma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center" vertical="center"/>
    </xf>
    <xf numFmtId="14" fontId="8" fillId="0" borderId="1" xfId="0" applyNumberFormat="1" applyFont="1" applyBorder="1" applyAlignment="1">
      <alignment horizontal="center" vertical="center"/>
    </xf>
    <xf numFmtId="0" fontId="8" fillId="0" borderId="1" xfId="0" applyFont="1" applyBorder="1" applyAlignment="1">
      <alignment horizontal="center" vertical="center"/>
    </xf>
    <xf numFmtId="0" fontId="3" fillId="0" borderId="1" xfId="0" applyNumberFormat="1" applyFont="1" applyBorder="1" applyAlignment="1">
      <alignment horizontal="center" vertical="center"/>
    </xf>
    <xf numFmtId="2" fontId="3" fillId="0" borderId="1" xfId="0" applyNumberFormat="1" applyFont="1" applyBorder="1" applyAlignment="1">
      <alignment horizontal="center" vertical="center"/>
    </xf>
    <xf numFmtId="176" fontId="3" fillId="0" borderId="1" xfId="1" applyNumberFormat="1" applyFont="1" applyBorder="1" applyAlignment="1">
      <alignment horizontal="center" vertical="center"/>
    </xf>
    <xf numFmtId="0" fontId="16" fillId="0" borderId="1" xfId="0" applyFont="1" applyFill="1" applyBorder="1" applyAlignment="1">
      <alignment horizontal="center" vertical="center" wrapText="1"/>
    </xf>
    <xf numFmtId="14" fontId="17" fillId="0" borderId="0" xfId="0" applyNumberFormat="1" applyFont="1">
      <alignment vertical="center"/>
    </xf>
    <xf numFmtId="49" fontId="0" fillId="0" borderId="0" xfId="0" applyNumberFormat="1">
      <alignment vertical="center"/>
    </xf>
    <xf numFmtId="49" fontId="0" fillId="0" borderId="1" xfId="0" applyNumberFormat="1" applyBorder="1" applyAlignment="1">
      <alignment horizontal="center" vertical="center"/>
    </xf>
    <xf numFmtId="49" fontId="0" fillId="0" borderId="1" xfId="0" quotePrefix="1" applyNumberFormat="1" applyBorder="1" applyAlignment="1">
      <alignment horizontal="center" vertical="center"/>
    </xf>
    <xf numFmtId="49" fontId="8" fillId="0" borderId="1" xfId="0" applyNumberFormat="1" applyFont="1" applyBorder="1" applyAlignment="1">
      <alignment horizontal="center" vertical="center" wrapText="1"/>
    </xf>
    <xf numFmtId="49" fontId="0" fillId="0" borderId="0" xfId="0" quotePrefix="1" applyNumberFormat="1" applyBorder="1" applyAlignment="1">
      <alignment horizontal="center" vertical="center"/>
    </xf>
    <xf numFmtId="49" fontId="0" fillId="0" borderId="0" xfId="0" applyNumberFormat="1" applyBorder="1" applyAlignment="1">
      <alignment horizontal="center" vertical="center"/>
    </xf>
    <xf numFmtId="49" fontId="3" fillId="0" borderId="1" xfId="0" applyNumberFormat="1" applyFont="1"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NumberFormat="1" applyBorder="1" applyAlignment="1">
      <alignment horizontal="center" vertical="center"/>
    </xf>
    <xf numFmtId="0" fontId="15" fillId="0" borderId="1" xfId="0" applyNumberFormat="1" applyFont="1" applyBorder="1" applyAlignment="1">
      <alignment horizontal="center" vertical="center"/>
    </xf>
    <xf numFmtId="0" fontId="8" fillId="0" borderId="1" xfId="0" applyNumberFormat="1" applyFont="1" applyBorder="1" applyAlignment="1">
      <alignment horizontal="center" vertical="center" wrapText="1"/>
    </xf>
    <xf numFmtId="0" fontId="0" fillId="0" borderId="0" xfId="0" applyNumberFormat="1" applyBorder="1" applyAlignment="1">
      <alignment horizontal="center" vertical="center"/>
    </xf>
    <xf numFmtId="0" fontId="3" fillId="0" borderId="1" xfId="0" applyNumberFormat="1" applyFont="1" applyBorder="1" applyAlignment="1">
      <alignment horizontal="center" vertical="center" wrapText="1"/>
    </xf>
    <xf numFmtId="0" fontId="16" fillId="0" borderId="1" xfId="0" applyNumberFormat="1" applyFont="1" applyBorder="1" applyAlignment="1">
      <alignment horizontal="center" vertical="center" wrapText="1"/>
    </xf>
    <xf numFmtId="0" fontId="3" fillId="0" borderId="0" xfId="0" applyNumberFormat="1" applyFont="1" applyBorder="1" applyAlignment="1">
      <alignment horizontal="center" vertical="center"/>
    </xf>
    <xf numFmtId="0" fontId="8" fillId="0" borderId="1" xfId="0" applyNumberFormat="1" applyFont="1" applyBorder="1" applyAlignment="1">
      <alignment horizontal="center" vertical="center"/>
    </xf>
    <xf numFmtId="0" fontId="10" fillId="0" borderId="1" xfId="0" applyFont="1" applyFill="1" applyBorder="1">
      <alignment vertical="center"/>
    </xf>
    <xf numFmtId="0" fontId="10" fillId="0" borderId="1" xfId="0" applyNumberFormat="1" applyFont="1" applyBorder="1" applyAlignment="1">
      <alignment horizontal="center" vertical="center" wrapText="1"/>
    </xf>
    <xf numFmtId="0" fontId="0" fillId="0" borderId="0" xfId="0" applyAlignment="1">
      <alignment horizontal="center" vertical="center" wrapText="1"/>
    </xf>
    <xf numFmtId="185" fontId="0" fillId="0" borderId="0" xfId="0" applyNumberFormat="1" applyAlignment="1">
      <alignment horizontal="center" vertical="center" wrapText="1"/>
    </xf>
    <xf numFmtId="185" fontId="0" fillId="0" borderId="1" xfId="0" applyNumberFormat="1" applyBorder="1" applyAlignment="1">
      <alignment horizontal="center" vertical="center" wrapText="1"/>
    </xf>
    <xf numFmtId="2" fontId="0" fillId="0" borderId="0" xfId="0" applyNumberFormat="1" applyAlignment="1">
      <alignment horizontal="center" vertical="center" wrapText="1"/>
    </xf>
    <xf numFmtId="2" fontId="0" fillId="0" borderId="1" xfId="0" applyNumberFormat="1" applyBorder="1" applyAlignment="1">
      <alignment horizontal="center" vertical="center" wrapText="1"/>
    </xf>
    <xf numFmtId="186" fontId="0" fillId="0" borderId="0" xfId="0" applyNumberFormat="1" applyAlignment="1">
      <alignment horizontal="center" vertical="center" wrapText="1"/>
    </xf>
    <xf numFmtId="186" fontId="0" fillId="0" borderId="1" xfId="0" applyNumberFormat="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1" xfId="0" applyBorder="1" applyAlignment="1">
      <alignment horizontal="left" vertical="center" wrapText="1"/>
    </xf>
    <xf numFmtId="0" fontId="0" fillId="0" borderId="12" xfId="0" applyBorder="1" applyAlignment="1">
      <alignment horizontal="left"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0" fillId="0" borderId="1" xfId="0"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91.83</v>
        <stp/>
        <stp>132007.SH</stp>
        <stp>LastPrice</stp>
        <stp>RT_Price</stp>
        <tr r="C34" s="4"/>
      </tp>
      <tp>
        <v>0</v>
        <stp/>
        <stp>113015.SH</stp>
        <stp>LastPrice</stp>
        <stp>RT_Price</stp>
        <tr r="C14" s="4"/>
      </tp>
      <tp>
        <v>116.215</v>
        <stp/>
        <stp>128016.SZ</stp>
        <stp>LastPrice</stp>
        <stp>RT_Price</stp>
        <tr r="C12" s="6"/>
        <tr r="C12" s="6"/>
        <tr r="C25" s="4"/>
      </tp>
      <tp>
        <v>100.56</v>
        <stp/>
        <stp>132006.SH</stp>
        <stp>LastPrice</stp>
        <stp>RT_Price</stp>
        <tr r="C33" s="4"/>
      </tp>
      <tp>
        <v>5.68</v>
        <stp/>
        <stp>002325.SZ</stp>
        <stp>LastPrice</stp>
        <stp>RT_Price</stp>
        <tr r="G22" s="4"/>
      </tp>
      <tp>
        <v>9.6</v>
        <stp/>
        <stp>002245.SZ</stp>
        <stp>LastPrice</stp>
        <stp>RT_Price</stp>
        <tr r="G20" s="4"/>
      </tp>
      <tp>
        <v>0</v>
        <stp/>
        <stp>113014.SH</stp>
        <stp>LastPrice</stp>
        <stp>RT_Price</stp>
        <tr r="C13" s="4"/>
      </tp>
      <tp>
        <v>5.83</v>
        <stp/>
        <stp>600185.SH</stp>
        <stp>LastPrice</stp>
        <stp>RT_Price</stp>
        <tr r="G2" s="4"/>
      </tp>
      <tp>
        <v>121</v>
        <stp/>
        <stp>110034.SH</stp>
        <stp>LastPrice</stp>
        <stp>RT_Price</stp>
        <tr r="C6" s="4"/>
      </tp>
      <tp>
        <v>38.18</v>
        <stp/>
        <stp>600535.SH</stp>
        <stp>LastPrice</stp>
        <stp>RT_Price</stp>
        <tr r="G29" s="4"/>
      </tp>
      <tp>
        <v>10.6</v>
        <stp/>
        <stp>600755.SH</stp>
        <stp>LastPrice</stp>
        <stp>RT_Price</stp>
        <tr r="G5" s="4"/>
      </tp>
      <tp>
        <v>0</v>
        <stp/>
        <stp>128017.SZ</stp>
        <stp>LastPrice</stp>
        <stp>RT_Price</stp>
        <tr r="C26" s="4"/>
      </tp>
      <tp>
        <v>129.80000000000001</v>
        <stp/>
        <stp>132005.SH</stp>
        <stp>LastPrice</stp>
        <stp>RT_Price</stp>
        <tr r="C32" s="4"/>
      </tp>
      <tp>
        <v>5.73</v>
        <stp/>
        <stp>002496.SZ</stp>
        <stp>LastPrice</stp>
        <stp>RT_Price</stp>
        <tr r="G21" s="4"/>
      </tp>
      <tp>
        <v>62.870000000000005</v>
        <stp/>
        <stp>601336.SH</stp>
        <stp>LastPrice</stp>
        <stp>RT_Price</stp>
        <tr r="G28" s="4"/>
      </tp>
      <tp>
        <v>101.92</v>
        <stp/>
        <stp>127004.SZ</stp>
        <stp>LastPrice</stp>
        <stp>RT_Price</stp>
        <tr r="C19" s="4"/>
      </tp>
      <tp>
        <v>117.19</v>
        <stp/>
        <stp>128014.SZ</stp>
        <stp>LastPrice</stp>
        <stp>RT_Price</stp>
        <tr r="C23" s="4"/>
      </tp>
      <tp>
        <v>92.34</v>
        <stp/>
        <stp>132004.SH</stp>
        <stp>LastPrice</stp>
        <stp>RT_Price</stp>
        <tr r="C31" s="4"/>
      </tp>
      <tp>
        <v>11.41</v>
        <stp/>
        <stp>002527.SZ</stp>
        <stp>LastPrice</stp>
        <stp>RT_Price</stp>
        <tr r="G27" s="4"/>
      </tp>
      <tp>
        <v>23.7</v>
        <stp/>
        <stp>002597.SZ</stp>
        <stp>LastPrice</stp>
        <stp>RT_Price</stp>
        <tr r="G26" s="4"/>
      </tp>
      <tp>
        <v>0</v>
        <stp/>
        <stp>113016.SH</stp>
        <stp>LastPrice</stp>
        <stp>RT_Price</stp>
        <tr r="C15" s="4"/>
      </tp>
      <tp>
        <v>23.72</v>
        <stp/>
        <stp>601127.SH</stp>
        <stp>LastPrice</stp>
        <stp>RT_Price</stp>
        <tr r="G15" s="4"/>
      </tp>
      <tp>
        <v>8.2799999999999994</v>
        <stp/>
        <stp>601727.SH</stp>
        <stp>LastPrice</stp>
        <stp>RT_Price</stp>
        <tr r="G7" s="4"/>
      </tp>
      <tp>
        <v>8.61</v>
        <stp/>
        <stp>601857.SH</stp>
        <stp>LastPrice</stp>
        <stp>RT_Price</stp>
        <tr r="G36" s="4"/>
      </tp>
      <tp>
        <v>110</v>
        <stp/>
        <stp>128015.SZ</stp>
        <stp>LastPrice</stp>
        <stp>RT_Price</stp>
        <tr r="C24" s="4"/>
      </tp>
      <tp>
        <v>100.66</v>
        <stp/>
        <stp>132003.SH</stp>
        <stp>LastPrice</stp>
        <stp>RT_Price</stp>
        <tr r="C30" s="4"/>
      </tp>
      <tp>
        <v>109.03</v>
        <stp/>
        <stp>113011.SH</stp>
        <stp>LastPrice</stp>
        <stp>RT_Price</stp>
        <tr r="C10" s="4"/>
      </tp>
      <tp>
        <v>11.17</v>
        <stp/>
        <stp>600160.SH</stp>
        <stp>LastPrice</stp>
        <stp>RT_Price</stp>
        <tr r="G39" s="4"/>
      </tp>
      <tp>
        <v>3.83</v>
        <stp/>
        <stp>600170.SH</stp>
        <stp>LastPrice</stp>
        <stp>RT_Price</stp>
        <tr r="G31" s="4"/>
      </tp>
      <tp>
        <v>104.2</v>
        <stp/>
        <stp>110031.SH</stp>
        <stp>LastPrice</stp>
        <stp>RT_Price</stp>
        <tr r="C3" s="4"/>
      </tp>
      <tp>
        <v>5.96</v>
        <stp/>
        <stp>600350.SH</stp>
        <stp>LastPrice</stp>
        <stp>RT_Price</stp>
        <tr r="G35" s="4"/>
      </tp>
      <tp>
        <v>6.29</v>
        <stp/>
        <stp>000700.SZ</stp>
        <stp>LastPrice</stp>
        <stp>RT_Price</stp>
        <tr r="G19" s="4"/>
      </tp>
      <tp>
        <v>103.63500000000001</v>
        <stp/>
        <stp>128012.SZ</stp>
        <stp>LastPrice</stp>
        <stp>RT_Price</stp>
        <tr r="C21" s="4"/>
      </tp>
      <tp>
        <v>99.55</v>
        <stp/>
        <stp>132012.SH</stp>
        <stp>LastPrice</stp>
        <stp>RT_Price</stp>
        <tr r="C39" s="4"/>
      </tp>
      <tp>
        <v>103.2</v>
        <stp/>
        <stp>132002.SH</stp>
        <stp>LastPrice</stp>
        <stp>RT_Price</stp>
        <tr r="C29" s="4"/>
      </tp>
      <tp>
        <v>38</v>
        <stp/>
        <stp>002271.SZ</stp>
        <stp>LastPrice</stp>
        <stp>RT_Price</stp>
        <tr r="C8" s="6"/>
        <tr r="G25" s="4"/>
      </tp>
      <tp>
        <v>104.55</v>
        <stp/>
        <stp>113010.SH</stp>
        <stp>LastPrice</stp>
        <stp>RT_Price</stp>
        <tr r="C9" s="4"/>
      </tp>
      <tp>
        <v>108.8</v>
        <stp/>
        <stp>110030.SH</stp>
        <stp>LastPrice</stp>
        <stp>RT_Price</stp>
        <tr r="C2" s="4"/>
      </tp>
      <tp>
        <v>7.94</v>
        <stp/>
        <stp>600031.SH</stp>
        <stp>LastPrice</stp>
        <stp>RT_Price</stp>
        <tr r="G4" s="4"/>
      </tp>
      <tp>
        <v>19.510000000000002</v>
        <stp/>
        <stp>600271.SH</stp>
        <stp>LastPrice</stp>
        <stp>RT_Price</stp>
        <tr r="G3" s="4"/>
      </tp>
      <tp>
        <v>3.54</v>
        <stp/>
        <stp>000861.SZ</stp>
        <stp>LastPrice</stp>
        <stp>RT_Price</stp>
        <tr r="G18" s="4"/>
      </tp>
      <tp>
        <v>13.89</v>
        <stp/>
        <stp>601311.SH</stp>
        <stp>LastPrice</stp>
        <stp>RT_Price</stp>
        <tr r="G11" s="4"/>
      </tp>
      <tp>
        <v>20.21</v>
        <stp/>
        <stp>601211.SH</stp>
        <stp>LastPrice</stp>
        <stp>RT_Price</stp>
        <tr r="G12" s="4"/>
      </tp>
      <tp>
        <v>43.67</v>
        <stp/>
        <stp>601601.SH</stp>
        <stp>LastPrice</stp>
        <stp>RT_Price</stp>
        <tr r="G32" s="4"/>
      </tp>
      <tp>
        <v>11.950000000000001</v>
        <stp/>
        <stp>601801.SH</stp>
        <stp>LastPrice</stp>
        <stp>RT_Price</stp>
        <tr r="G33" s="4"/>
      </tp>
      <tp>
        <v>99.641999999999996</v>
        <stp/>
        <stp>127003.SZ</stp>
        <stp>LastPrice</stp>
        <stp>RT_Price</stp>
        <tr r="C18" s="4"/>
      </tp>
      <tp>
        <v>99.733000000000004</v>
        <stp/>
        <stp>128013.SZ</stp>
        <stp>LastPrice</stp>
        <stp>RT_Price</stp>
        <tr r="C22" s="4"/>
      </tp>
      <tp>
        <v>90.19</v>
        <stp/>
        <stp>132011.SH</stp>
        <stp>LastPrice</stp>
        <stp>RT_Price</stp>
        <tr r="C38" s="4"/>
      </tp>
      <tp>
        <v>147</v>
        <stp/>
        <stp>132001.SH</stp>
        <stp>LastPrice</stp>
        <stp>RT_Price</stp>
        <tr r="C28" s="4"/>
      </tp>
      <tp>
        <v>117.59</v>
        <stp/>
        <stp>113013.SH</stp>
        <stp>LastPrice</stp>
        <stp>RT_Price</stp>
        <tr r="C12" s="4"/>
      </tp>
      <tp>
        <v>126.97</v>
        <stp/>
        <stp>110033.SH</stp>
        <stp>LastPrice</stp>
        <stp>RT_Price</stp>
        <tr r="C5" s="4"/>
      </tp>
      <tp>
        <v>34.130000000000003</v>
        <stp/>
        <stp>601012.SH</stp>
        <stp>LastPrice</stp>
        <stp>RT_Price</stp>
        <tr r="G14" s="4"/>
      </tp>
      <tp>
        <v>8.59</v>
        <stp/>
        <stp>601222.SH</stp>
        <stp>LastPrice</stp>
        <stp>RT_Price</stp>
        <tr r="G13" s="4"/>
      </tp>
      <tp>
        <v>116.895</v>
        <stp/>
        <stp>128010.SZ</stp>
        <stp>LastPrice</stp>
        <stp>RT_Price</stp>
        <tr r="C20" s="4"/>
      </tp>
      <tp>
        <v>112.05</v>
        <stp/>
        <stp>132010.SH</stp>
        <stp>LastPrice</stp>
        <stp>RT_Price</stp>
        <tr r="C37" s="4"/>
      </tp>
      <tp>
        <v>22.19</v>
        <stp/>
        <stp>002753.SZ</stp>
        <stp>LastPrice</stp>
        <stp>RT_Price</stp>
        <tr r="G23" s="4"/>
      </tp>
      <tp>
        <v>16.600000000000001</v>
        <stp/>
        <stp>002603.SZ</stp>
        <stp>LastPrice</stp>
        <stp>RT_Price</stp>
        <tr r="G16" s="4"/>
      </tp>
      <tp>
        <v>106.33</v>
        <stp/>
        <stp>113012.SH</stp>
        <stp>LastPrice</stp>
        <stp>RT_Price</stp>
        <tr r="C11" s="4"/>
      </tp>
      <tp>
        <v>101.89</v>
        <stp/>
        <stp>123001.SZ</stp>
        <stp>LastPrice</stp>
        <stp>RT_Price</stp>
        <tr r="C17" s="4"/>
      </tp>
      <tp>
        <v>118.79</v>
        <stp/>
        <stp>110032.SH</stp>
        <stp>LastPrice</stp>
        <stp>RT_Price</stp>
        <tr r="C4" s="4"/>
      </tp>
      <tp>
        <v>108.04900000000001</v>
        <stp/>
        <stp>120001.SZ</stp>
        <stp>LastPrice</stp>
        <stp>RT_Price</stp>
        <tr r="C16" s="4"/>
      </tp>
      <tp>
        <v>16.059999999999999</v>
        <stp/>
        <stp>600633.SH</stp>
        <stp>LastPrice</stp>
        <stp>RT_Price</stp>
        <tr r="G38" s="4"/>
      </tp>
      <tp>
        <v>15.700000000000001</v>
        <stp/>
        <stp>601233.SH</stp>
        <stp>LastPrice</stp>
        <stp>RT_Price</stp>
        <tr r="G37" s="4"/>
      </tp>
      <tp>
        <v>8.27</v>
        <stp/>
        <stp>002318.SZ</stp>
        <stp>LastPrice</stp>
        <stp>RT_Price</stp>
        <tr r="I5" s="6"/>
        <tr r="L8" s="6"/>
      </tp>
      <tp>
        <v>129.37</v>
        <stp/>
        <stp>113009.SH</stp>
        <stp>LastPrice</stp>
        <stp>RT_Price</stp>
        <tr r="C8" s="4"/>
      </tp>
      <tp>
        <v>6.93</v>
        <stp/>
        <stp>300058.SZ</stp>
        <stp>LastPrice</stp>
        <stp>RT_Price</stp>
        <tr r="G17" s="4"/>
      </tp>
      <tp>
        <v>20.04</v>
        <stp/>
        <stp>600998.SH</stp>
        <stp>LastPrice</stp>
        <stp>RT_Price</stp>
        <tr r="G6" s="4"/>
      </tp>
      <tp>
        <v>27.21</v>
        <stp/>
        <stp>601238.SH</stp>
        <stp>LastPrice</stp>
        <stp>RT_Price</stp>
        <tr r="G8" s="4"/>
      </tp>
      <tp>
        <v>8.8800000000000008</v>
        <stp/>
        <stp>601928.SH</stp>
        <stp>LastPrice</stp>
        <stp>RT_Price</stp>
        <tr r="G34" s="4"/>
      </tp>
      <tp>
        <v>4.04</v>
        <stp/>
        <stp>601818.SH</stp>
        <stp>LastPrice</stp>
        <stp>RT_Price</stp>
        <tr r="G10" s="4"/>
      </tp>
      <tp>
        <v>11.88</v>
        <stp/>
        <stp>002279.SZ</stp>
        <stp>LastPrice</stp>
        <stp>RT_Price</stp>
        <tr r="G24" s="4"/>
      </tp>
      <tp>
        <v>105.28</v>
        <stp/>
        <stp>113008.SH</stp>
        <stp>LastPrice</stp>
        <stp>RT_Price</stp>
        <tr r="C7" s="4"/>
      </tp>
      <tp>
        <v>10.86</v>
        <stp/>
        <stp>600109.SH</stp>
        <stp>LastPrice</stp>
        <stp>RT_Price</stp>
        <tr r="G30" s="4"/>
      </tp>
      <tp>
        <v>6.09</v>
        <stp/>
        <stp>601199.SH</stp>
        <stp>LastPrice</stp>
        <stp>RT_Price</stp>
        <tr r="G9" s="4"/>
      </tp>
      <tp>
        <v>103.62</v>
        <stp/>
        <stp>132009.SH</stp>
        <stp>LastPrice</stp>
        <stp>RT_Price</stp>
        <tr r="C36" s="4"/>
      </tp>
      <tp>
        <v>0</v>
        <stp/>
        <stp>128018.SZ</stp>
        <stp>LastPrice</stp>
        <stp>RT_Price</stp>
        <tr r="C27" s="4"/>
      </tp>
      <tp>
        <v>94.39</v>
        <stp/>
        <stp>132008.SH</stp>
        <stp>LastPrice</stp>
        <stp>RT_Price</stp>
        <tr r="C35" s="4"/>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2</xdr:row>
          <xdr:rowOff>28575</xdr:rowOff>
        </xdr:from>
        <xdr:to>
          <xdr:col>3</xdr:col>
          <xdr:colOff>1362075</xdr:colOff>
          <xdr:row>2</xdr:row>
          <xdr:rowOff>342900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1466850</xdr:colOff>
          <xdr:row>2</xdr:row>
          <xdr:rowOff>28575</xdr:rowOff>
        </xdr:from>
        <xdr:to>
          <xdr:col>3</xdr:col>
          <xdr:colOff>2781300</xdr:colOff>
          <xdr:row>2</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下载远程数据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2886075</xdr:colOff>
          <xdr:row>2</xdr:row>
          <xdr:rowOff>28575</xdr:rowOff>
        </xdr:from>
        <xdr:to>
          <xdr:col>3</xdr:col>
          <xdr:colOff>4286250</xdr:colOff>
          <xdr:row>2</xdr:row>
          <xdr:rowOff>352425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载入本地远程数据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4352925</xdr:colOff>
          <xdr:row>2</xdr:row>
          <xdr:rowOff>19050</xdr:rowOff>
        </xdr:from>
        <xdr:to>
          <xdr:col>3</xdr:col>
          <xdr:colOff>5524500</xdr:colOff>
          <xdr:row>2</xdr:row>
          <xdr:rowOff>352425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重开工作表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85725</xdr:colOff>
          <xdr:row>0</xdr:row>
          <xdr:rowOff>66675</xdr:rowOff>
        </xdr:from>
        <xdr:to>
          <xdr:col>14</xdr:col>
          <xdr:colOff>200025</xdr:colOff>
          <xdr:row>1</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格式化IPO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dq_preclos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https://github.com/liquanbao/hazc"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workbookViewId="0">
      <selection activeCell="D7" sqref="D7"/>
    </sheetView>
  </sheetViews>
  <sheetFormatPr defaultRowHeight="13.5"/>
  <cols>
    <col min="1" max="1" width="2.875" customWidth="1"/>
    <col min="2" max="2" width="12.625" customWidth="1"/>
    <col min="3" max="3" width="14.625" bestFit="1" customWidth="1"/>
    <col min="4" max="4" width="74.25" customWidth="1"/>
  </cols>
  <sheetData>
    <row r="2" spans="2:4" ht="42" customHeight="1">
      <c r="B2" s="106" t="s">
        <v>146</v>
      </c>
      <c r="C2" s="106"/>
      <c r="D2" s="106"/>
    </row>
    <row r="3" spans="2:4" ht="30" hidden="1" customHeight="1">
      <c r="B3" s="30" t="s">
        <v>199</v>
      </c>
      <c r="C3" s="54">
        <v>1.5</v>
      </c>
      <c r="D3" s="33"/>
    </row>
    <row r="4" spans="2:4" ht="30" customHeight="1">
      <c r="B4" s="29" t="s">
        <v>143</v>
      </c>
      <c r="C4" s="12">
        <f>Data!A2</f>
        <v>43045</v>
      </c>
      <c r="D4" s="96" t="s">
        <v>395</v>
      </c>
    </row>
    <row r="5" spans="2:4" ht="30" customHeight="1">
      <c r="B5" s="31" t="s">
        <v>196</v>
      </c>
      <c r="C5" s="97">
        <v>1.5</v>
      </c>
      <c r="D5" s="32" t="str">
        <f>IF(C5=C3,"已更新至最新版","点此下载：最新版本 "&amp;Data!A1&amp;"")</f>
        <v>已更新至最新版</v>
      </c>
    </row>
    <row r="6" spans="2:4" ht="53.25" customHeight="1">
      <c r="B6" s="34" t="s">
        <v>139</v>
      </c>
      <c r="C6" s="110" t="s">
        <v>206</v>
      </c>
      <c r="D6" s="111"/>
    </row>
    <row r="7" spans="2:4" ht="30" customHeight="1">
      <c r="B7" s="105" t="s">
        <v>140</v>
      </c>
      <c r="C7" s="10" t="s">
        <v>131</v>
      </c>
      <c r="D7" s="9" t="s">
        <v>162</v>
      </c>
    </row>
    <row r="8" spans="2:4" ht="30" customHeight="1">
      <c r="B8" s="105"/>
      <c r="C8" s="10" t="s">
        <v>141</v>
      </c>
      <c r="D8" s="9" t="s">
        <v>163</v>
      </c>
    </row>
    <row r="9" spans="2:4" ht="30" customHeight="1">
      <c r="B9" s="105"/>
      <c r="C9" s="10" t="s">
        <v>142</v>
      </c>
      <c r="D9" s="9" t="s">
        <v>161</v>
      </c>
    </row>
    <row r="10" spans="2:4" ht="30" customHeight="1">
      <c r="B10" s="105"/>
      <c r="C10" s="13" t="s">
        <v>195</v>
      </c>
      <c r="D10" s="9" t="s">
        <v>194</v>
      </c>
    </row>
    <row r="11" spans="2:4" ht="30" customHeight="1">
      <c r="B11" s="105"/>
      <c r="C11" s="10" t="s">
        <v>393</v>
      </c>
      <c r="D11" s="9" t="s">
        <v>394</v>
      </c>
    </row>
    <row r="12" spans="2:4" ht="30" customHeight="1">
      <c r="B12" s="107" t="s">
        <v>148</v>
      </c>
      <c r="C12" s="10" t="s">
        <v>149</v>
      </c>
      <c r="D12" s="9" t="s">
        <v>150</v>
      </c>
    </row>
    <row r="13" spans="2:4" ht="30" customHeight="1">
      <c r="B13" s="108"/>
      <c r="C13" s="10" t="s">
        <v>151</v>
      </c>
      <c r="D13" s="9" t="s">
        <v>164</v>
      </c>
    </row>
    <row r="14" spans="2:4" ht="30" customHeight="1">
      <c r="B14" s="108"/>
      <c r="C14" s="11" t="s">
        <v>158</v>
      </c>
      <c r="D14" s="9" t="s">
        <v>221</v>
      </c>
    </row>
    <row r="15" spans="2:4" ht="30" customHeight="1">
      <c r="B15" s="108"/>
      <c r="C15" s="10" t="s">
        <v>152</v>
      </c>
      <c r="D15" s="9" t="s">
        <v>155</v>
      </c>
    </row>
    <row r="16" spans="2:4" ht="30" customHeight="1">
      <c r="B16" s="108"/>
      <c r="C16" s="10" t="s">
        <v>153</v>
      </c>
      <c r="D16" s="9" t="s">
        <v>154</v>
      </c>
    </row>
    <row r="17" spans="2:4" ht="30" customHeight="1">
      <c r="B17" s="109"/>
      <c r="C17" s="11" t="s">
        <v>159</v>
      </c>
      <c r="D17" s="9" t="s">
        <v>160</v>
      </c>
    </row>
    <row r="18" spans="2:4" ht="30" customHeight="1">
      <c r="B18" s="107" t="s">
        <v>157</v>
      </c>
      <c r="C18" s="35" t="s">
        <v>144</v>
      </c>
      <c r="D18" s="9" t="s">
        <v>145</v>
      </c>
    </row>
    <row r="19" spans="2:4" ht="30" customHeight="1">
      <c r="B19" s="108"/>
      <c r="C19" s="35" t="s">
        <v>156</v>
      </c>
      <c r="D19" s="9" t="s">
        <v>147</v>
      </c>
    </row>
    <row r="20" spans="2:4" ht="30" customHeight="1">
      <c r="B20" s="108"/>
      <c r="C20" s="35" t="s">
        <v>197</v>
      </c>
      <c r="D20" s="9" t="s">
        <v>198</v>
      </c>
    </row>
    <row r="21" spans="2:4" ht="30" customHeight="1">
      <c r="B21" s="108"/>
      <c r="C21" s="42" t="s">
        <v>201</v>
      </c>
      <c r="D21" s="43" t="s">
        <v>205</v>
      </c>
    </row>
    <row r="22" spans="2:4" ht="30" customHeight="1">
      <c r="B22" s="108"/>
      <c r="C22" s="42" t="s">
        <v>220</v>
      </c>
      <c r="D22" s="43" t="s">
        <v>258</v>
      </c>
    </row>
    <row r="23" spans="2:4" ht="30" customHeight="1">
      <c r="B23" s="109"/>
      <c r="C23" s="42" t="s">
        <v>367</v>
      </c>
      <c r="D23" s="43" t="s">
        <v>368</v>
      </c>
    </row>
  </sheetData>
  <mergeCells count="5">
    <mergeCell ref="B7:B11"/>
    <mergeCell ref="B2:D2"/>
    <mergeCell ref="B12:B17"/>
    <mergeCell ref="C6:D6"/>
    <mergeCell ref="B18:B23"/>
  </mergeCells>
  <phoneticPr fontId="1" type="noConversion"/>
  <hyperlinks>
    <hyperlink ref="D5" r:id="rId1" tooltip="打开Github下载页面，点击Download下载" display="https://github.com/liquanbao/haz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47625</xdr:colOff>
                    <xdr:row>2</xdr:row>
                    <xdr:rowOff>28575</xdr:rowOff>
                  </from>
                  <to>
                    <xdr:col>3</xdr:col>
                    <xdr:colOff>1362075</xdr:colOff>
                    <xdr:row>2</xdr:row>
                    <xdr:rowOff>342900</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1466850</xdr:colOff>
                    <xdr:row>2</xdr:row>
                    <xdr:rowOff>28575</xdr:rowOff>
                  </from>
                  <to>
                    <xdr:col>3</xdr:col>
                    <xdr:colOff>2781300</xdr:colOff>
                    <xdr:row>2</xdr:row>
                    <xdr:rowOff>352425</xdr:rowOff>
                  </to>
                </anchor>
              </controlPr>
            </control>
          </mc:Choice>
        </mc:AlternateContent>
        <mc:AlternateContent xmlns:mc="http://schemas.openxmlformats.org/markup-compatibility/2006">
          <mc:Choice Requires="x14">
            <control shapeId="1028" r:id="rId6" name="Button 4">
              <controlPr defaultSize="0" print="0" autoFill="0" autoPict="0" macro="[0]!csv_load">
                <anchor moveWithCells="1" sizeWithCells="1">
                  <from>
                    <xdr:col>3</xdr:col>
                    <xdr:colOff>2886075</xdr:colOff>
                    <xdr:row>2</xdr:row>
                    <xdr:rowOff>28575</xdr:rowOff>
                  </from>
                  <to>
                    <xdr:col>3</xdr:col>
                    <xdr:colOff>4286250</xdr:colOff>
                    <xdr:row>2</xdr:row>
                    <xdr:rowOff>352425</xdr:rowOff>
                  </to>
                </anchor>
              </controlPr>
            </control>
          </mc:Choice>
        </mc:AlternateContent>
        <mc:AlternateContent xmlns:mc="http://schemas.openxmlformats.org/markup-compatibility/2006">
          <mc:Choice Requires="x14">
            <control shapeId="1029" r:id="rId7" name="Button 5">
              <controlPr defaultSize="0" print="0" autoFill="0" autoPict="0" macro="[0]!重新打开工作表">
                <anchor moveWithCells="1" sizeWithCells="1">
                  <from>
                    <xdr:col>3</xdr:col>
                    <xdr:colOff>4352925</xdr:colOff>
                    <xdr:row>2</xdr:row>
                    <xdr:rowOff>19050</xdr:rowOff>
                  </from>
                  <to>
                    <xdr:col>3</xdr:col>
                    <xdr:colOff>5524500</xdr:colOff>
                    <xdr:row>2</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9"/>
  <sheetViews>
    <sheetView workbookViewId="0">
      <selection activeCell="L26" sqref="L26"/>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109</v>
      </c>
      <c r="B1" t="s">
        <v>109</v>
      </c>
      <c r="C1" t="s">
        <v>121</v>
      </c>
      <c r="D1" t="s">
        <v>129</v>
      </c>
      <c r="E1" t="s">
        <v>111</v>
      </c>
      <c r="F1" t="s">
        <v>112</v>
      </c>
      <c r="G1" t="s">
        <v>122</v>
      </c>
      <c r="H1" t="s">
        <v>124</v>
      </c>
      <c r="I1" t="s">
        <v>125</v>
      </c>
      <c r="J1" t="s">
        <v>126</v>
      </c>
      <c r="K1" s="2" t="s">
        <v>204</v>
      </c>
      <c r="L1" t="s">
        <v>123</v>
      </c>
      <c r="M1" t="s">
        <v>130</v>
      </c>
      <c r="N1" s="2" t="s">
        <v>131</v>
      </c>
      <c r="O1" s="2" t="s">
        <v>132</v>
      </c>
      <c r="P1" s="2" t="s">
        <v>133</v>
      </c>
      <c r="Q1" s="2" t="s">
        <v>134</v>
      </c>
      <c r="R1" s="5" t="s">
        <v>135</v>
      </c>
      <c r="S1" s="4" t="s">
        <v>137</v>
      </c>
      <c r="T1" s="2" t="s">
        <v>138</v>
      </c>
    </row>
    <row r="2" spans="1:20">
      <c r="A2" t="str">
        <f>Data!B2</f>
        <v>110030.SH</v>
      </c>
      <c r="B2" t="str">
        <f>Data!C2</f>
        <v>格力转债</v>
      </c>
      <c r="C2" s="8">
        <f>RTD("wdf.rtq", ,A2, "LastPrice","RT_Price")</f>
        <v>108.8</v>
      </c>
      <c r="D2" s="8">
        <f>[1]!cb_anal_straightbondvalue(A2,"")</f>
        <v>98.216200000000001</v>
      </c>
      <c r="E2" t="str">
        <f>Data!E2</f>
        <v>600185.SH</v>
      </c>
      <c r="F2" t="str">
        <f>Data!F2</f>
        <v>格力地产</v>
      </c>
      <c r="G2" s="7">
        <f>RTD("wdf.rtq", ,E2, "LastPrice","RT_Price")</f>
        <v>5.83</v>
      </c>
      <c r="H2" s="7">
        <f>[1]!cb_anal_convprice(A2,"")</f>
        <v>7.24</v>
      </c>
      <c r="I2" s="2">
        <f>Data!J2</f>
        <v>0.25793366497712</v>
      </c>
      <c r="J2" s="2">
        <f>IF(I2=0,0.3,I2)</f>
        <v>0.25793366497712</v>
      </c>
      <c r="K2" s="7">
        <f ca="1">([1]!cb_info_maturitydate(A2)-TODAY())/365</f>
        <v>2.1315068493150684</v>
      </c>
      <c r="L2" s="6">
        <f ca="1">BlackScholes(G2,H2,0.015,K2,0,J2,"C",0,0)*100/H2</f>
        <v>6.6184569429723581</v>
      </c>
      <c r="M2" s="6">
        <f ca="1">L2+D2</f>
        <v>104.83465694297236</v>
      </c>
      <c r="N2" s="2">
        <f ca="1">C2/M2-1</f>
        <v>3.7824734421410877E-2</v>
      </c>
      <c r="O2" s="2">
        <f>IF(Data!V2=0,"",Data!V2)</f>
        <v>3.0354022656349899E-2</v>
      </c>
      <c r="P2" s="2">
        <f>IF(Data!W2=0,"",Data!W2)</f>
        <v>5.3962622421590799E-2</v>
      </c>
      <c r="Q2" s="2">
        <f ca="1">IFERROR(_xlfn.NORM.DIST(N2,O2,P2,TRUE),"")</f>
        <v>0.55505458198486712</v>
      </c>
      <c r="R2" s="5">
        <f ca="1">BlackScholes(G2,H2,0.015,K2,0,J2,"C",0,1)</f>
        <v>0.38132437090566734</v>
      </c>
      <c r="S2" s="3">
        <f ca="1">R2*100/H2</f>
        <v>5.2669112003545209</v>
      </c>
      <c r="T2" t="str">
        <f ca="1">ROUND(10*C2,0)&amp;":"&amp;ROUND(G2*S2*10,0)</f>
        <v>1088:307</v>
      </c>
    </row>
    <row r="3" spans="1:20">
      <c r="A3" t="str">
        <f>Data!B3</f>
        <v>110031.SH</v>
      </c>
      <c r="B3" t="str">
        <f>Data!C3</f>
        <v>航信转债</v>
      </c>
      <c r="C3" s="8">
        <f>RTD("wdf.rtq", ,A3, "LastPrice","RT_Price")</f>
        <v>104.2</v>
      </c>
      <c r="D3" s="8">
        <f>[1]!cb_anal_straightbondvalue(A3,"")</f>
        <v>93.706000000000003</v>
      </c>
      <c r="E3" t="str">
        <f>Data!E3</f>
        <v>600271.SH</v>
      </c>
      <c r="F3" t="str">
        <f>Data!F3</f>
        <v>航天信息</v>
      </c>
      <c r="G3" s="7">
        <f>RTD("wdf.rtq", ,E3, "LastPrice","RT_Price")</f>
        <v>19.510000000000002</v>
      </c>
      <c r="H3" s="7">
        <f>[1]!cb_anal_convprice(A3,"")</f>
        <v>42.8</v>
      </c>
      <c r="I3" s="2">
        <f>Data!J3</f>
        <v>0.22304772379632301</v>
      </c>
      <c r="J3" s="2">
        <f t="shared" ref="J3:J39" si="0">IF(I3=0,0.3,I3)</f>
        <v>0.22304772379632301</v>
      </c>
      <c r="K3" s="7">
        <f ca="1">([1]!cb_info_maturitydate(A3)-TODAY())/365</f>
        <v>3.5972602739726027</v>
      </c>
      <c r="L3" s="6">
        <f t="shared" ref="L3:L39" ca="1" si="1">BlackScholes(G3,H3,0.015,K3,0,J3,"C",0,0)*100/H3</f>
        <v>0.46508585224476606</v>
      </c>
      <c r="M3" s="6">
        <f t="shared" ref="M3:M39" ca="1" si="2">L3+D3</f>
        <v>94.171085852244772</v>
      </c>
      <c r="N3" s="2">
        <f t="shared" ref="N3:N39" ca="1" si="3">C3/M3-1</f>
        <v>0.10649674533317666</v>
      </c>
      <c r="O3" s="2">
        <f>IF(Data!V3=0,"",Data!V3)</f>
        <v>0.117758883092854</v>
      </c>
      <c r="P3" s="2">
        <f>IF(Data!W3=0,"",Data!W3)</f>
        <v>2.6119259533629299E-2</v>
      </c>
      <c r="Q3" s="2">
        <f t="shared" ref="Q3:Q39" ca="1" si="4">IFERROR(_xlfn.NORM.DIST(N3,O3,P3,TRUE),"")</f>
        <v>0.33316825434049524</v>
      </c>
      <c r="R3" s="5">
        <f t="shared" ref="R3:R39" ca="1" si="5">BlackScholes(G3,H3,0.015,K3,0,J3,"C",0,1)</f>
        <v>6.4509711828058786E-2</v>
      </c>
      <c r="S3" s="3">
        <f t="shared" ref="S3:S39" ca="1" si="6">R3*100/H3</f>
        <v>0.15072362576649251</v>
      </c>
      <c r="T3" t="str">
        <f t="shared" ref="T3:T39" ca="1" si="7">ROUND(10*C3,0)&amp;":"&amp;ROUND(G3*S3*10,0)</f>
        <v>1042:29</v>
      </c>
    </row>
    <row r="4" spans="1:20">
      <c r="A4" t="str">
        <f>Data!B4</f>
        <v>110032.SH</v>
      </c>
      <c r="B4" t="str">
        <f>Data!C4</f>
        <v>三一转债</v>
      </c>
      <c r="C4" s="8">
        <f>RTD("wdf.rtq", ,A4, "LastPrice","RT_Price")</f>
        <v>118.79</v>
      </c>
      <c r="D4" s="8">
        <f>[1]!cb_anal_straightbondvalue(A4,"")</f>
        <v>90.844200000000001</v>
      </c>
      <c r="E4" t="str">
        <f>Data!E4</f>
        <v>600031.SH</v>
      </c>
      <c r="F4" t="str">
        <f>Data!F4</f>
        <v>三一重工</v>
      </c>
      <c r="G4" s="7">
        <f>RTD("wdf.rtq", ,E4, "LastPrice","RT_Price")</f>
        <v>7.94</v>
      </c>
      <c r="H4" s="7">
        <f>[1]!cb_anal_convprice(A4,"")</f>
        <v>7.43</v>
      </c>
      <c r="I4" s="2">
        <f>Data!J4</f>
        <v>0.28914388087720799</v>
      </c>
      <c r="J4" s="2">
        <f t="shared" si="0"/>
        <v>0.28914388087720799</v>
      </c>
      <c r="K4" s="7">
        <f ca="1">([1]!cb_info_maturitydate(A4)-TODAY())/365</f>
        <v>4.161643835616438</v>
      </c>
      <c r="L4" s="6">
        <f t="shared" ca="1" si="1"/>
        <v>30.283550400625074</v>
      </c>
      <c r="M4" s="6">
        <f t="shared" ca="1" si="2"/>
        <v>121.12775040062508</v>
      </c>
      <c r="N4" s="2">
        <f t="shared" ca="1" si="3"/>
        <v>-1.9299874660373528E-2</v>
      </c>
      <c r="O4" s="2">
        <f>IF(Data!V4=0,"",Data!V4)</f>
        <v>2.5807679952865601E-3</v>
      </c>
      <c r="P4" s="2">
        <f>IF(Data!W4=0,"",Data!W4)</f>
        <v>3.3077015300924502E-2</v>
      </c>
      <c r="Q4" s="2">
        <f t="shared" ca="1" si="4"/>
        <v>0.25414394787543193</v>
      </c>
      <c r="R4" s="5">
        <f t="shared" ca="1" si="5"/>
        <v>0.6961316812315409</v>
      </c>
      <c r="S4" s="3">
        <f t="shared" ca="1" si="6"/>
        <v>9.3692016316492737</v>
      </c>
      <c r="T4" t="str">
        <f t="shared" ca="1" si="7"/>
        <v>1188:744</v>
      </c>
    </row>
    <row r="5" spans="1:20">
      <c r="A5" t="str">
        <f>Data!B5</f>
        <v>110033.SH</v>
      </c>
      <c r="B5" t="str">
        <f>Data!C5</f>
        <v>国贸转债</v>
      </c>
      <c r="C5" s="8">
        <f>RTD("wdf.rtq", ,A5, "LastPrice","RT_Price")</f>
        <v>126.97</v>
      </c>
      <c r="D5" s="8">
        <f>[1]!cb_anal_straightbondvalue(A5,"")</f>
        <v>92.351900000000001</v>
      </c>
      <c r="E5" t="str">
        <f>Data!E5</f>
        <v>600755.SH</v>
      </c>
      <c r="F5" t="str">
        <f>Data!F5</f>
        <v>厦门国贸</v>
      </c>
      <c r="G5" s="7">
        <f>RTD("wdf.rtq", ,E5, "LastPrice","RT_Price")</f>
        <v>10.6</v>
      </c>
      <c r="H5" s="7">
        <f>[1]!cb_anal_convprice(A5,"")</f>
        <v>8.81</v>
      </c>
      <c r="I5" s="2">
        <f>Data!J5</f>
        <v>0.44418277457674799</v>
      </c>
      <c r="J5" s="2">
        <f t="shared" si="0"/>
        <v>0.44418277457674799</v>
      </c>
      <c r="K5" s="7">
        <f ca="1">([1]!cb_info_maturitydate(A5)-TODAY())/365</f>
        <v>4.1643835616438354</v>
      </c>
      <c r="L5" s="6">
        <f t="shared" ca="1" si="1"/>
        <v>51.926827721909774</v>
      </c>
      <c r="M5" s="6">
        <f t="shared" ca="1" si="2"/>
        <v>144.27872772190977</v>
      </c>
      <c r="N5" s="2">
        <f t="shared" ca="1" si="3"/>
        <v>-0.11996728828432357</v>
      </c>
      <c r="O5" s="2">
        <f>IF(Data!V5=0,"",Data!V5)</f>
        <v>-2.80040368148371E-2</v>
      </c>
      <c r="P5" s="2">
        <f>IF(Data!W5=0,"",Data!W5)</f>
        <v>5.6953976392797201E-2</v>
      </c>
      <c r="Q5" s="2">
        <f t="shared" ca="1" si="4"/>
        <v>5.3188474478076432E-2</v>
      </c>
      <c r="R5" s="5">
        <f t="shared" ca="1" si="5"/>
        <v>0.76613906564251699</v>
      </c>
      <c r="S5" s="3">
        <f t="shared" ca="1" si="6"/>
        <v>8.6962436508798735</v>
      </c>
      <c r="T5" t="str">
        <f t="shared" ca="1" si="7"/>
        <v>1270:922</v>
      </c>
    </row>
    <row r="6" spans="1:20">
      <c r="A6" t="str">
        <f>Data!B6</f>
        <v>110034.SH</v>
      </c>
      <c r="B6" t="str">
        <f>Data!C6</f>
        <v>九州转债</v>
      </c>
      <c r="C6" s="8">
        <f>RTD("wdf.rtq", ,A6, "LastPrice","RT_Price")</f>
        <v>121</v>
      </c>
      <c r="D6" s="8">
        <f>[1]!cb_anal_straightbondvalue(A6,"")</f>
        <v>91.236599999999996</v>
      </c>
      <c r="E6" t="str">
        <f>Data!E6</f>
        <v>600998.SH</v>
      </c>
      <c r="F6" t="str">
        <f>Data!F6</f>
        <v>九州通</v>
      </c>
      <c r="G6" s="7">
        <f>RTD("wdf.rtq", ,E6, "LastPrice","RT_Price")</f>
        <v>20.04</v>
      </c>
      <c r="H6" s="7">
        <f>[1]!cb_anal_convprice(A6,"")</f>
        <v>18.649999999999999</v>
      </c>
      <c r="I6" s="2">
        <f>Data!J6</f>
        <v>0.22638573226317299</v>
      </c>
      <c r="J6" s="2">
        <f t="shared" si="0"/>
        <v>0.22638573226317299</v>
      </c>
      <c r="K6" s="7">
        <f ca="1">([1]!cb_info_maturitydate(A6)-TODAY())/365</f>
        <v>4.1917808219178081</v>
      </c>
      <c r="L6" s="6">
        <f t="shared" ca="1" si="1"/>
        <v>25.984062523135279</v>
      </c>
      <c r="M6" s="6">
        <f t="shared" ca="1" si="2"/>
        <v>117.22066252313527</v>
      </c>
      <c r="N6" s="2">
        <f t="shared" ca="1" si="3"/>
        <v>3.2241222626760102E-2</v>
      </c>
      <c r="O6" s="2">
        <f>IF(Data!V6=0,"",Data!V6)</f>
        <v>1.6913218993359999E-2</v>
      </c>
      <c r="P6" s="2">
        <f>IF(Data!W6=0,"",Data!W6)</f>
        <v>4.5559275977844101E-2</v>
      </c>
      <c r="Q6" s="2">
        <f t="shared" ca="1" si="4"/>
        <v>0.63173079279542699</v>
      </c>
      <c r="R6" s="5">
        <f t="shared" ca="1" si="5"/>
        <v>0.69933760460132666</v>
      </c>
      <c r="S6" s="3">
        <f t="shared" ca="1" si="6"/>
        <v>3.7497994884789634</v>
      </c>
      <c r="T6" t="str">
        <f t="shared" ca="1" si="7"/>
        <v>1210:751</v>
      </c>
    </row>
    <row r="7" spans="1:20">
      <c r="A7" t="str">
        <f>Data!B7</f>
        <v>113008.SH</v>
      </c>
      <c r="B7" t="str">
        <f>Data!C7</f>
        <v>电气转债</v>
      </c>
      <c r="C7" s="8">
        <f>RTD("wdf.rtq", ,A7, "LastPrice","RT_Price")</f>
        <v>105.28</v>
      </c>
      <c r="D7" s="8">
        <f>[1]!cb_anal_straightbondvalue(A7,"")</f>
        <v>95.033699999999996</v>
      </c>
      <c r="E7" t="str">
        <f>Data!E7</f>
        <v>601727.SH</v>
      </c>
      <c r="F7" t="str">
        <f>Data!F7</f>
        <v>上海电气</v>
      </c>
      <c r="G7" s="7">
        <f>RTD("wdf.rtq", ,E7, "LastPrice","RT_Price")</f>
        <v>8.2799999999999994</v>
      </c>
      <c r="H7" s="7">
        <f>[1]!cb_anal_convprice(A7,"")</f>
        <v>10.46</v>
      </c>
      <c r="I7" s="2">
        <f>Data!J7</f>
        <v>0.269624609959429</v>
      </c>
      <c r="J7" s="2">
        <f t="shared" si="0"/>
        <v>0.269624609959429</v>
      </c>
      <c r="K7" s="7">
        <f ca="1">([1]!cb_info_maturitydate(A7)-TODAY())/365</f>
        <v>3.2410958904109588</v>
      </c>
      <c r="L7" s="6">
        <f t="shared" ca="1" si="1"/>
        <v>9.8489437125186416</v>
      </c>
      <c r="M7" s="6">
        <f t="shared" ca="1" si="2"/>
        <v>104.88264371251864</v>
      </c>
      <c r="N7" s="2">
        <f t="shared" ca="1" si="3"/>
        <v>3.7885800111074897E-3</v>
      </c>
      <c r="O7" s="2">
        <f>IF(Data!V7=0,"",Data!V7)</f>
        <v>9.2595641915853705E-2</v>
      </c>
      <c r="P7" s="2">
        <f>IF(Data!W7=0,"",Data!W7)</f>
        <v>8.0855234134533105E-2</v>
      </c>
      <c r="Q7" s="2">
        <f t="shared" ca="1" si="4"/>
        <v>0.13602661123280102</v>
      </c>
      <c r="R7" s="5">
        <f t="shared" ca="1" si="5"/>
        <v>0.44487330632422595</v>
      </c>
      <c r="S7" s="3">
        <f t="shared" ca="1" si="6"/>
        <v>4.2530908826407838</v>
      </c>
      <c r="T7" t="str">
        <f t="shared" ca="1" si="7"/>
        <v>1053:352</v>
      </c>
    </row>
    <row r="8" spans="1:20">
      <c r="A8" t="str">
        <f>Data!B8</f>
        <v>113009.SH</v>
      </c>
      <c r="B8" t="str">
        <f>Data!C8</f>
        <v>广汽转债</v>
      </c>
      <c r="C8" s="8">
        <f>RTD("wdf.rtq", ,A8, "LastPrice","RT_Price")</f>
        <v>129.37</v>
      </c>
      <c r="D8" s="8">
        <f>[1]!cb_anal_straightbondvalue(A8,"")</f>
        <v>90.542199999999994</v>
      </c>
      <c r="E8" t="str">
        <f>Data!E8</f>
        <v>601238.SH</v>
      </c>
      <c r="F8" t="str">
        <f>Data!F8</f>
        <v>广汽集团</v>
      </c>
      <c r="G8" s="7">
        <f>RTD("wdf.rtq", ,E8, "LastPrice","RT_Price")</f>
        <v>27.21</v>
      </c>
      <c r="H8" s="7">
        <f>[1]!cb_anal_convprice(A8,"")</f>
        <v>21.43</v>
      </c>
      <c r="I8" s="2">
        <f>Data!J8</f>
        <v>0.219951937670505</v>
      </c>
      <c r="J8" s="2">
        <f t="shared" si="0"/>
        <v>0.219951937670505</v>
      </c>
      <c r="K8" s="7">
        <f ca="1">([1]!cb_info_maturitydate(A8)-TODAY())/365</f>
        <v>4.2109589041095887</v>
      </c>
      <c r="L8" s="6">
        <f t="shared" ca="1" si="1"/>
        <v>40.406191039781675</v>
      </c>
      <c r="M8" s="6">
        <f t="shared" ca="1" si="2"/>
        <v>130.94839103978165</v>
      </c>
      <c r="N8" s="2">
        <f t="shared" ca="1" si="3"/>
        <v>-1.2053535192365517E-2</v>
      </c>
      <c r="O8" s="2">
        <f>IF(Data!V8=0,"",Data!V8)</f>
        <v>-3.7212950301725799E-2</v>
      </c>
      <c r="P8" s="2">
        <f>IF(Data!W8=0,"",Data!W8)</f>
        <v>2.5871927116519498E-2</v>
      </c>
      <c r="Q8" s="2">
        <f t="shared" ca="1" si="4"/>
        <v>0.83458913075497698</v>
      </c>
      <c r="R8" s="5">
        <f t="shared" ca="1" si="5"/>
        <v>0.81452060960687878</v>
      </c>
      <c r="S8" s="3">
        <f t="shared" ca="1" si="6"/>
        <v>3.8008427886461909</v>
      </c>
      <c r="T8" t="str">
        <f t="shared" ca="1" si="7"/>
        <v>1294:1034</v>
      </c>
    </row>
    <row r="9" spans="1:20">
      <c r="A9" t="str">
        <f>Data!B9</f>
        <v>113010.SH</v>
      </c>
      <c r="B9" t="str">
        <f>Data!C9</f>
        <v>江南转债</v>
      </c>
      <c r="C9" s="8">
        <f>RTD("wdf.rtq", ,A9, "LastPrice","RT_Price")</f>
        <v>104.55</v>
      </c>
      <c r="D9" s="8">
        <f>[1]!cb_anal_straightbondvalue(A9,"")</f>
        <v>91.718400000000003</v>
      </c>
      <c r="E9" t="str">
        <f>Data!E9</f>
        <v>601199.SH</v>
      </c>
      <c r="F9" t="str">
        <f>Data!F9</f>
        <v>江南水务</v>
      </c>
      <c r="G9" s="7">
        <f>RTD("wdf.rtq", ,E9, "LastPrice","RT_Price")</f>
        <v>6.09</v>
      </c>
      <c r="H9" s="7">
        <f>[1]!cb_anal_convprice(A9,"")</f>
        <v>9.3000000000000007</v>
      </c>
      <c r="I9" s="2">
        <f>Data!J9</f>
        <v>0.15268595621439601</v>
      </c>
      <c r="J9" s="2">
        <f t="shared" si="0"/>
        <v>0.15268595621439601</v>
      </c>
      <c r="K9" s="7">
        <f ca="1">([1]!cb_info_maturitydate(A9)-TODAY())/365</f>
        <v>4.3616438356164382</v>
      </c>
      <c r="L9" s="6">
        <f t="shared" ca="1" si="1"/>
        <v>1.6251397545888768</v>
      </c>
      <c r="M9" s="6">
        <f t="shared" ca="1" si="2"/>
        <v>93.343539754588875</v>
      </c>
      <c r="N9" s="2">
        <f t="shared" ca="1" si="3"/>
        <v>0.1200560882400028</v>
      </c>
      <c r="O9" s="2">
        <f>IF(Data!V9=0,"",Data!V9)</f>
        <v>5.5746530480187698E-2</v>
      </c>
      <c r="P9" s="2">
        <f>IF(Data!W9=0,"",Data!W9)</f>
        <v>4.1623833057429602E-2</v>
      </c>
      <c r="Q9" s="2">
        <f t="shared" ca="1" si="4"/>
        <v>0.93882900587843943</v>
      </c>
      <c r="R9" s="5">
        <f t="shared" ca="1" si="5"/>
        <v>0.16775731569094163</v>
      </c>
      <c r="S9" s="3">
        <f t="shared" ca="1" si="6"/>
        <v>1.8038421042036732</v>
      </c>
      <c r="T9" t="str">
        <f t="shared" ca="1" si="7"/>
        <v>1046:110</v>
      </c>
    </row>
    <row r="10" spans="1:20">
      <c r="A10" t="str">
        <f>Data!B10</f>
        <v>113011.SH</v>
      </c>
      <c r="B10" t="str">
        <f>Data!C10</f>
        <v>光大转债</v>
      </c>
      <c r="C10" s="8">
        <f>RTD("wdf.rtq", ,A10, "LastPrice","RT_Price")</f>
        <v>109.03</v>
      </c>
      <c r="D10" s="8">
        <f>[1]!cb_anal_straightbondvalue(A10,"")</f>
        <v>85.173400000000001</v>
      </c>
      <c r="E10" t="str">
        <f>Data!E10</f>
        <v>601818.SH</v>
      </c>
      <c r="F10" t="str">
        <f>Data!F10</f>
        <v>光大银行</v>
      </c>
      <c r="G10" s="7">
        <f>RTD("wdf.rtq", ,E10, "LastPrice","RT_Price")</f>
        <v>4.04</v>
      </c>
      <c r="H10" s="7">
        <f>[1]!cb_anal_convprice(A10,"")</f>
        <v>4.26</v>
      </c>
      <c r="I10" s="2">
        <f>Data!J10</f>
        <v>0.13544448605694301</v>
      </c>
      <c r="J10" s="2">
        <f t="shared" si="0"/>
        <v>0.13544448605694301</v>
      </c>
      <c r="K10" s="7">
        <f ca="1">([1]!cb_info_maturitydate(A10)-TODAY())/365</f>
        <v>5.3589041095890408</v>
      </c>
      <c r="L10" s="6">
        <f t="shared" ca="1" si="1"/>
        <v>12.97849703308443</v>
      </c>
      <c r="M10" s="6">
        <f t="shared" ca="1" si="2"/>
        <v>98.151897033084424</v>
      </c>
      <c r="N10" s="2">
        <f t="shared" ca="1" si="3"/>
        <v>0.11082926867168807</v>
      </c>
      <c r="O10" s="2">
        <f>IF(Data!V10=0,"",Data!V10)</f>
        <v>8.9090848853772803E-2</v>
      </c>
      <c r="P10" s="2">
        <f>IF(Data!W10=0,"",Data!W10)</f>
        <v>4.0995526976325102E-2</v>
      </c>
      <c r="Q10" s="2">
        <f t="shared" ca="1" si="4"/>
        <v>0.70203527539321975</v>
      </c>
      <c r="R10" s="5">
        <f t="shared" ca="1" si="5"/>
        <v>0.59639609923387193</v>
      </c>
      <c r="S10" s="3">
        <f t="shared" ca="1" si="6"/>
        <v>13.999908432719998</v>
      </c>
      <c r="T10" t="str">
        <f t="shared" ca="1" si="7"/>
        <v>1090:566</v>
      </c>
    </row>
    <row r="11" spans="1:20">
      <c r="A11" t="str">
        <f>Data!B11</f>
        <v>113012.SH</v>
      </c>
      <c r="B11" t="str">
        <f>Data!C11</f>
        <v>骆驼转债</v>
      </c>
      <c r="C11" s="8">
        <f>RTD("wdf.rtq", ,A11, "LastPrice","RT_Price")</f>
        <v>106.33</v>
      </c>
      <c r="D11" s="8">
        <f>[1]!cb_anal_straightbondvalue(A11,"")</f>
        <v>84.779600000000002</v>
      </c>
      <c r="E11" t="str">
        <f>Data!E11</f>
        <v>601311.SH</v>
      </c>
      <c r="F11" t="str">
        <f>Data!F11</f>
        <v>骆驼股份</v>
      </c>
      <c r="G11" s="7">
        <f>RTD("wdf.rtq", ,E11, "LastPrice","RT_Price")</f>
        <v>13.89</v>
      </c>
      <c r="H11" s="7">
        <f>[1]!cb_anal_convprice(A11,"")</f>
        <v>16.72</v>
      </c>
      <c r="I11" s="2">
        <f>Data!J11</f>
        <v>0.26760470726013202</v>
      </c>
      <c r="J11" s="2">
        <f t="shared" si="0"/>
        <v>0.26760470726013202</v>
      </c>
      <c r="K11" s="7">
        <f ca="1">([1]!cb_info_maturitydate(A11)-TODAY())/365</f>
        <v>5.3780821917808215</v>
      </c>
      <c r="L11" s="6">
        <f t="shared" ca="1" si="1"/>
        <v>17.066050305747957</v>
      </c>
      <c r="M11" s="6">
        <f t="shared" ca="1" si="2"/>
        <v>101.84565030574797</v>
      </c>
      <c r="N11" s="2">
        <f t="shared" ca="1" si="3"/>
        <v>4.4030841580270597E-2</v>
      </c>
      <c r="O11" s="2">
        <f>IF(Data!V11=0,"",Data!V11)</f>
        <v>5.6925943059193497E-2</v>
      </c>
      <c r="P11" s="2">
        <f>IF(Data!W11=0,"",Data!W11)</f>
        <v>5.6036984989803897E-2</v>
      </c>
      <c r="Q11" s="2">
        <f t="shared" ca="1" si="4"/>
        <v>0.40900015997412187</v>
      </c>
      <c r="R11" s="5">
        <f t="shared" ca="1" si="5"/>
        <v>0.55625559212090925</v>
      </c>
      <c r="S11" s="3">
        <f t="shared" ca="1" si="6"/>
        <v>3.3268875126848645</v>
      </c>
      <c r="T11" t="str">
        <f t="shared" ca="1" si="7"/>
        <v>1063:462</v>
      </c>
    </row>
    <row r="12" spans="1:20">
      <c r="A12" t="str">
        <f>Data!B12</f>
        <v>113013.SH</v>
      </c>
      <c r="B12" t="str">
        <f>Data!C12</f>
        <v>国君转债</v>
      </c>
      <c r="C12" s="8">
        <f>RTD("wdf.rtq", ,A12, "LastPrice","RT_Price")</f>
        <v>117.59</v>
      </c>
      <c r="D12" s="8">
        <f>[1]!cb_anal_straightbondvalue(A12,"")</f>
        <v>83.933499999999995</v>
      </c>
      <c r="E12" t="str">
        <f>Data!E12</f>
        <v>601211.SH</v>
      </c>
      <c r="F12" t="str">
        <f>Data!F12</f>
        <v>国泰君安</v>
      </c>
      <c r="G12" s="7">
        <f>RTD("wdf.rtq", ,E12, "LastPrice","RT_Price")</f>
        <v>20.21</v>
      </c>
      <c r="H12" s="7">
        <f>[1]!cb_anal_convprice(A12,"")</f>
        <v>20.2</v>
      </c>
      <c r="I12" s="2">
        <f>Data!J12</f>
        <v>0.20705564455376299</v>
      </c>
      <c r="J12" s="2">
        <f t="shared" si="0"/>
        <v>0.20705564455376299</v>
      </c>
      <c r="K12" s="7">
        <f ca="1">([1]!cb_info_maturitydate(A12)-TODAY())/365</f>
        <v>5.6657534246575345</v>
      </c>
      <c r="L12" s="6">
        <f t="shared" ca="1" si="1"/>
        <v>23.049485953971068</v>
      </c>
      <c r="M12" s="6">
        <f t="shared" ca="1" si="2"/>
        <v>106.98298595397107</v>
      </c>
      <c r="N12" s="2">
        <f t="shared" ca="1" si="3"/>
        <v>9.9146737693342812E-2</v>
      </c>
      <c r="O12" s="2">
        <f>IF(Data!V12=0,"",Data!V12)</f>
        <v>0.114698384125203</v>
      </c>
      <c r="P12" s="2">
        <f>IF(Data!W12=0,"",Data!W12)</f>
        <v>6.5933796733864097E-2</v>
      </c>
      <c r="Q12" s="2">
        <f t="shared" ca="1" si="4"/>
        <v>0.40676770499001846</v>
      </c>
      <c r="R12" s="5">
        <f t="shared" ca="1" si="5"/>
        <v>0.66270901337195764</v>
      </c>
      <c r="S12" s="3">
        <f t="shared" ca="1" si="6"/>
        <v>3.2807376899601866</v>
      </c>
      <c r="T12" t="str">
        <f t="shared" ca="1" si="7"/>
        <v>1176:663</v>
      </c>
    </row>
    <row r="13" spans="1:20">
      <c r="A13" t="str">
        <f>Data!B13</f>
        <v>113014.SH</v>
      </c>
      <c r="B13" t="str">
        <f>Data!C13</f>
        <v>林洋转债</v>
      </c>
      <c r="C13" s="8">
        <f>RTD("wdf.rtq", ,A13, "LastPrice","RT_Price")</f>
        <v>0</v>
      </c>
      <c r="D13" s="8">
        <f>[1]!cb_anal_straightbondvalue(A13,"")</f>
        <v>83.572900000000004</v>
      </c>
      <c r="E13" t="str">
        <f>Data!E13</f>
        <v>601222.SH</v>
      </c>
      <c r="F13" t="str">
        <f>Data!F13</f>
        <v>林洋能源</v>
      </c>
      <c r="G13" s="7">
        <f>RTD("wdf.rtq", ,E13, "LastPrice","RT_Price")</f>
        <v>8.59</v>
      </c>
      <c r="H13" s="7">
        <f>[1]!cb_anal_convprice(A13,"")</f>
        <v>8.8000000000000007</v>
      </c>
      <c r="I13" s="2">
        <f>Data!J13</f>
        <v>0.27930675751686102</v>
      </c>
      <c r="J13" s="2">
        <f t="shared" si="0"/>
        <v>0.27930675751686102</v>
      </c>
      <c r="K13" s="7">
        <f ca="1">([1]!cb_info_maturitydate(A13)-TODAY())/365</f>
        <v>5.9726027397260273</v>
      </c>
      <c r="L13" s="6">
        <f t="shared" ca="1" si="1"/>
        <v>28.451724862750119</v>
      </c>
      <c r="M13" s="6">
        <f t="shared" ca="1" si="2"/>
        <v>112.02462486275013</v>
      </c>
      <c r="N13" s="2">
        <f t="shared" ca="1" si="3"/>
        <v>-1</v>
      </c>
      <c r="O13" s="2">
        <f>IF(Data!V13=0,"",Data!V13)</f>
        <v>-0.117922280110116</v>
      </c>
      <c r="P13" s="2">
        <f>IF(Data!W13=0,"",Data!W13)</f>
        <v>8.46963474246442E-3</v>
      </c>
      <c r="Q13" s="2">
        <f t="shared" ca="1" si="4"/>
        <v>0</v>
      </c>
      <c r="R13" s="5">
        <f t="shared" ca="1" si="5"/>
        <v>0.66900279447477506</v>
      </c>
      <c r="S13" s="3">
        <f t="shared" ca="1" si="6"/>
        <v>7.6023044826678969</v>
      </c>
      <c r="T13" t="str">
        <f t="shared" ca="1" si="7"/>
        <v>0:653</v>
      </c>
    </row>
    <row r="14" spans="1:20">
      <c r="A14" t="str">
        <f>Data!B14</f>
        <v>113015.SH</v>
      </c>
      <c r="B14" t="str">
        <f>Data!C14</f>
        <v>隆基转债</v>
      </c>
      <c r="C14" s="8">
        <f>RTD("wdf.rtq", ,A14, "LastPrice","RT_Price")</f>
        <v>0</v>
      </c>
      <c r="D14" s="8">
        <f>[1]!cb_anal_straightbondvalue(A14,"")</f>
        <v>83.105999999999995</v>
      </c>
      <c r="E14" t="str">
        <f>Data!E14</f>
        <v>601012.SH</v>
      </c>
      <c r="F14" t="str">
        <f>Data!F14</f>
        <v>隆基股份</v>
      </c>
      <c r="G14" s="7">
        <f>RTD("wdf.rtq", ,E14, "LastPrice","RT_Price")</f>
        <v>34.130000000000003</v>
      </c>
      <c r="H14" s="7">
        <f>[1]!cb_anal_convprice(A14,"")</f>
        <v>32.35</v>
      </c>
      <c r="I14" s="2">
        <f>Data!J14</f>
        <v>0.423580480928888</v>
      </c>
      <c r="J14" s="2">
        <f t="shared" si="0"/>
        <v>0.423580480928888</v>
      </c>
      <c r="K14" s="7">
        <f ca="1">([1]!cb_info_maturitydate(A14)-TODAY())/365</f>
        <v>5.9890410958904106</v>
      </c>
      <c r="L14" s="6">
        <f t="shared" ca="1" si="1"/>
        <v>46.350465320984277</v>
      </c>
      <c r="M14" s="6">
        <f t="shared" ca="1" si="2"/>
        <v>129.45646532098428</v>
      </c>
      <c r="N14" s="2">
        <f t="shared" ca="1" si="3"/>
        <v>-1</v>
      </c>
      <c r="O14" s="2">
        <f>IF(Data!V14=0,"",Data!V14)</f>
        <v>-0.204394970496178</v>
      </c>
      <c r="P14" s="2">
        <f>IF(Data!W14=0,"",Data!W14)</f>
        <v>1.9830046723074202E-2</v>
      </c>
      <c r="Q14" s="2">
        <f t="shared" ca="1" si="4"/>
        <v>0</v>
      </c>
      <c r="R14" s="5">
        <f t="shared" ca="1" si="5"/>
        <v>0.74429322437550216</v>
      </c>
      <c r="S14" s="3">
        <f t="shared" ca="1" si="6"/>
        <v>2.3007518527836233</v>
      </c>
      <c r="T14" t="str">
        <f t="shared" ca="1" si="7"/>
        <v>0:785</v>
      </c>
    </row>
    <row r="15" spans="1:20">
      <c r="A15" t="str">
        <f>Data!B15</f>
        <v>113016.SH</v>
      </c>
      <c r="B15" t="str">
        <f>Data!C15</f>
        <v>小康转债</v>
      </c>
      <c r="C15" s="8">
        <f>RTD("wdf.rtq", ,A15, "LastPrice","RT_Price")</f>
        <v>0</v>
      </c>
      <c r="D15" s="8">
        <f>[1]!cb_anal_straightbondvalue(A15,"")</f>
        <v>83.4619</v>
      </c>
      <c r="E15" t="str">
        <f>Data!E15</f>
        <v>601127.SH</v>
      </c>
      <c r="F15" t="str">
        <f>Data!F15</f>
        <v>小康转债</v>
      </c>
      <c r="G15" s="7">
        <f>RTD("wdf.rtq", ,E15, "LastPrice","RT_Price")</f>
        <v>23.72</v>
      </c>
      <c r="H15" s="7">
        <f>[1]!cb_anal_convprice(A15,"")</f>
        <v>23</v>
      </c>
      <c r="I15" s="2">
        <f>Data!J15</f>
        <v>0.39913866972294698</v>
      </c>
      <c r="J15" s="2">
        <f t="shared" si="0"/>
        <v>0.39913866972294698</v>
      </c>
      <c r="K15" s="7">
        <f ca="1">([1]!cb_info_maturitydate(A15)-TODAY())/365</f>
        <v>6</v>
      </c>
      <c r="L15" s="6">
        <f t="shared" ca="1" si="1"/>
        <v>42.602759899497549</v>
      </c>
      <c r="M15" s="6">
        <f t="shared" ca="1" si="2"/>
        <v>126.06465989949754</v>
      </c>
      <c r="N15" s="2">
        <f t="shared" ca="1" si="3"/>
        <v>-1</v>
      </c>
      <c r="O15" s="2">
        <f>IF(Data!V15=0,"",Data!V15)</f>
        <v>-0.21073071186641401</v>
      </c>
      <c r="P15" s="2" t="str">
        <f>IF(Data!W15=0,"",Data!W15)</f>
        <v>NA</v>
      </c>
      <c r="Q15" s="2" t="str">
        <f t="shared" ca="1" si="4"/>
        <v/>
      </c>
      <c r="R15" s="5">
        <f t="shared" ca="1" si="5"/>
        <v>0.72987169564656185</v>
      </c>
      <c r="S15" s="3">
        <f t="shared" ca="1" si="6"/>
        <v>3.1733551984633124</v>
      </c>
      <c r="T15" t="str">
        <f t="shared" ca="1" si="7"/>
        <v>0:753</v>
      </c>
    </row>
    <row r="16" spans="1:20">
      <c r="A16" t="str">
        <f>Data!B16</f>
        <v>120001.SZ</v>
      </c>
      <c r="B16" t="str">
        <f>Data!C16</f>
        <v>16以岭EB</v>
      </c>
      <c r="C16" s="8">
        <f>RTD("wdf.rtq", ,A16, "LastPrice","RT_Price")</f>
        <v>108.04900000000001</v>
      </c>
      <c r="D16" s="8">
        <f>[1]!cb_anal_straightbondvalue(A16,"")</f>
        <v>94.351799999999997</v>
      </c>
      <c r="E16" t="str">
        <f>Data!E16</f>
        <v>002603.SZ</v>
      </c>
      <c r="F16" t="str">
        <f>Data!F16</f>
        <v>以岭药业</v>
      </c>
      <c r="G16" s="7">
        <f>RTD("wdf.rtq", ,E16, "LastPrice","RT_Price")</f>
        <v>16.600000000000001</v>
      </c>
      <c r="H16" s="7">
        <f>[1]!cb_anal_convprice(A16,"")</f>
        <v>17.8</v>
      </c>
      <c r="I16" s="2">
        <f>Data!J16</f>
        <v>0.16478189065069901</v>
      </c>
      <c r="J16" s="2">
        <f t="shared" si="0"/>
        <v>0.16478189065069901</v>
      </c>
      <c r="K16" s="7">
        <f ca="1">([1]!cb_info_maturitydate(A16)-TODAY())/365</f>
        <v>3.4465753424657533</v>
      </c>
      <c r="L16" s="6">
        <f t="shared" ca="1" si="1"/>
        <v>10.609167527708889</v>
      </c>
      <c r="M16" s="6">
        <f t="shared" ca="1" si="2"/>
        <v>104.96096752770889</v>
      </c>
      <c r="N16" s="2">
        <f t="shared" ca="1" si="3"/>
        <v>2.942076988263187E-2</v>
      </c>
      <c r="O16" s="2">
        <f>IF(Data!V16=0,"",Data!V16)</f>
        <v>3.0193652386296499E-4</v>
      </c>
      <c r="P16" s="2">
        <f>IF(Data!W16=0,"",Data!W16)</f>
        <v>2.0392506781258399E-2</v>
      </c>
      <c r="Q16" s="2">
        <f t="shared" ca="1" si="4"/>
        <v>0.92334231036127157</v>
      </c>
      <c r="R16" s="5">
        <f t="shared" ca="1" si="5"/>
        <v>0.53736653324733452</v>
      </c>
      <c r="S16" s="3">
        <f t="shared" ca="1" si="6"/>
        <v>3.0189131081310929</v>
      </c>
      <c r="T16" t="str">
        <f t="shared" ca="1" si="7"/>
        <v>1080:501</v>
      </c>
    </row>
    <row r="17" spans="1:20">
      <c r="A17" t="str">
        <f>Data!B17</f>
        <v>123001.SZ</v>
      </c>
      <c r="B17" t="str">
        <f>Data!C17</f>
        <v>蓝标转债</v>
      </c>
      <c r="C17" s="8">
        <f>RTD("wdf.rtq", ,A17, "LastPrice","RT_Price")</f>
        <v>101.89</v>
      </c>
      <c r="D17" s="8">
        <f>[1]!cb_anal_straightbondvalue(A17,"")</f>
        <v>93.080200000000005</v>
      </c>
      <c r="E17" t="str">
        <f>Data!E17</f>
        <v>300058.SZ</v>
      </c>
      <c r="F17" t="str">
        <f>Data!F17</f>
        <v>蓝色光标</v>
      </c>
      <c r="G17" s="7">
        <f>RTD("wdf.rtq", ,E17, "LastPrice","RT_Price")</f>
        <v>6.93</v>
      </c>
      <c r="H17" s="7">
        <f>[1]!cb_anal_convprice(A17,"")</f>
        <v>9.77</v>
      </c>
      <c r="I17" s="2">
        <f>Data!J17</f>
        <v>0.29932174400501299</v>
      </c>
      <c r="J17" s="2">
        <f t="shared" si="0"/>
        <v>0.29932174400501299</v>
      </c>
      <c r="K17" s="7">
        <f ca="1">([1]!cb_info_maturitydate(A17)-TODAY())/365</f>
        <v>4.1150684931506847</v>
      </c>
      <c r="L17" s="6">
        <f t="shared" ca="1" si="1"/>
        <v>10.134802738981504</v>
      </c>
      <c r="M17" s="6">
        <f t="shared" ca="1" si="2"/>
        <v>103.21500273898151</v>
      </c>
      <c r="N17" s="2">
        <f t="shared" ca="1" si="3"/>
        <v>-1.2837307598899006E-2</v>
      </c>
      <c r="O17" s="2">
        <f>IF(Data!V17=0,"",Data!V17)</f>
        <v>3.6654283977187702E-2</v>
      </c>
      <c r="P17" s="2">
        <f>IF(Data!W17=0,"",Data!W17)</f>
        <v>3.2600704944635302E-2</v>
      </c>
      <c r="Q17" s="2">
        <f t="shared" ca="1" si="4"/>
        <v>6.4492811930275021E-2</v>
      </c>
      <c r="R17" s="5">
        <f t="shared" ca="1" si="5"/>
        <v>0.43628614038886193</v>
      </c>
      <c r="S17" s="3">
        <f t="shared" ca="1" si="6"/>
        <v>4.4655695024448505</v>
      </c>
      <c r="T17" t="str">
        <f t="shared" ca="1" si="7"/>
        <v>1019:309</v>
      </c>
    </row>
    <row r="18" spans="1:20">
      <c r="A18" t="str">
        <f>Data!B18</f>
        <v>127003.SZ</v>
      </c>
      <c r="B18" t="str">
        <f>Data!C18</f>
        <v>海印转债</v>
      </c>
      <c r="C18" s="8">
        <f>RTD("wdf.rtq", ,A18, "LastPrice","RT_Price")</f>
        <v>99.641999999999996</v>
      </c>
      <c r="D18" s="8">
        <f>[1]!cb_anal_straightbondvalue(A18,"")</f>
        <v>92.484300000000005</v>
      </c>
      <c r="E18" t="str">
        <f>Data!E18</f>
        <v>000861.SZ</v>
      </c>
      <c r="F18" t="str">
        <f>Data!F18</f>
        <v>海印股份</v>
      </c>
      <c r="G18" s="7">
        <f>RTD("wdf.rtq", ,E18, "LastPrice","RT_Price")</f>
        <v>3.54</v>
      </c>
      <c r="H18" s="7">
        <f>[1]!cb_anal_convprice(A18,"")</f>
        <v>5.25</v>
      </c>
      <c r="I18" s="2">
        <f>Data!J18</f>
        <v>0.18786088146586599</v>
      </c>
      <c r="J18" s="2">
        <f t="shared" si="0"/>
        <v>0.18786088146586599</v>
      </c>
      <c r="K18" s="7">
        <f ca="1">([1]!cb_info_maturitydate(A18)-TODAY())/365</f>
        <v>4.5863013698630137</v>
      </c>
      <c r="L18" s="6">
        <f t="shared" ca="1" si="1"/>
        <v>3.7342453669654518</v>
      </c>
      <c r="M18" s="6">
        <f t="shared" ca="1" si="2"/>
        <v>96.218545366965458</v>
      </c>
      <c r="N18" s="2">
        <f t="shared" ca="1" si="3"/>
        <v>3.5579987412799774E-2</v>
      </c>
      <c r="O18" s="2">
        <f>IF(Data!V18=0,"",Data!V18)</f>
        <v>1.6890543932478901E-2</v>
      </c>
      <c r="P18" s="2">
        <f>IF(Data!W18=0,"",Data!W18)</f>
        <v>3.2723605624780702E-2</v>
      </c>
      <c r="Q18" s="2">
        <f t="shared" ca="1" si="4"/>
        <v>0.71604434773807679</v>
      </c>
      <c r="R18" s="5">
        <f t="shared" ca="1" si="5"/>
        <v>0.27178393354220709</v>
      </c>
      <c r="S18" s="3">
        <f t="shared" ca="1" si="6"/>
        <v>5.1768368293753735</v>
      </c>
      <c r="T18" t="str">
        <f t="shared" ca="1" si="7"/>
        <v>996:183</v>
      </c>
    </row>
    <row r="19" spans="1:20">
      <c r="A19" t="str">
        <f>Data!B19</f>
        <v>127004.SZ</v>
      </c>
      <c r="B19" t="str">
        <f>Data!C19</f>
        <v>模塑转债</v>
      </c>
      <c r="C19" s="8">
        <f>RTD("wdf.rtq", ,A19, "LastPrice","RT_Price")</f>
        <v>101.92</v>
      </c>
      <c r="D19" s="8">
        <f>[1]!cb_anal_straightbondvalue(A19,"")</f>
        <v>88.606999999999999</v>
      </c>
      <c r="E19" t="str">
        <f>Data!E19</f>
        <v>000700.SZ</v>
      </c>
      <c r="F19" t="str">
        <f>Data!F19</f>
        <v>模塑科技</v>
      </c>
      <c r="G19" s="7">
        <f>RTD("wdf.rtq", ,E19, "LastPrice","RT_Price")</f>
        <v>6.29</v>
      </c>
      <c r="H19" s="7">
        <f>[1]!cb_anal_convprice(A19,"")</f>
        <v>8</v>
      </c>
      <c r="I19" s="2">
        <f>Data!J19</f>
        <v>0.292094172781658</v>
      </c>
      <c r="J19" s="2">
        <f t="shared" si="0"/>
        <v>0.292094172781658</v>
      </c>
      <c r="K19" s="7">
        <f ca="1">([1]!cb_info_maturitydate(A19)-TODAY())/365</f>
        <v>5.5698630136986305</v>
      </c>
      <c r="L19" s="6">
        <f t="shared" ca="1" si="1"/>
        <v>16.892763783990706</v>
      </c>
      <c r="M19" s="6">
        <f t="shared" ca="1" si="2"/>
        <v>105.4997637839907</v>
      </c>
      <c r="N19" s="2">
        <f t="shared" ca="1" si="3"/>
        <v>-3.3931486247876452E-2</v>
      </c>
      <c r="O19" s="2">
        <f>IF(Data!V19=0,"",Data!V19)</f>
        <v>-2.0454718427935701E-2</v>
      </c>
      <c r="P19" s="2">
        <f>IF(Data!W19=0,"",Data!W19)</f>
        <v>3.0183270608682301E-2</v>
      </c>
      <c r="Q19" s="2">
        <f t="shared" ca="1" si="4"/>
        <v>0.32761880409306549</v>
      </c>
      <c r="R19" s="5">
        <f t="shared" ca="1" si="5"/>
        <v>0.54658153425537992</v>
      </c>
      <c r="S19" s="3">
        <f t="shared" ca="1" si="6"/>
        <v>6.8322691781922487</v>
      </c>
      <c r="T19" t="str">
        <f t="shared" ca="1" si="7"/>
        <v>1019:430</v>
      </c>
    </row>
    <row r="20" spans="1:20">
      <c r="A20" t="str">
        <f>Data!B20</f>
        <v>128010.SZ</v>
      </c>
      <c r="B20" t="str">
        <f>Data!C20</f>
        <v>顺昌转债</v>
      </c>
      <c r="C20" s="8">
        <f>RTD("wdf.rtq", ,A20, "LastPrice","RT_Price")</f>
        <v>116.895</v>
      </c>
      <c r="D20" s="8">
        <f>[1]!cb_anal_straightbondvalue(A20,"")</f>
        <v>92.547600000000003</v>
      </c>
      <c r="E20" t="str">
        <f>Data!E20</f>
        <v>002245.SZ</v>
      </c>
      <c r="F20" t="str">
        <f>Data!F20</f>
        <v>澳洋顺昌</v>
      </c>
      <c r="G20" s="7">
        <f>RTD("wdf.rtq", ,E20, "LastPrice","RT_Price")</f>
        <v>9.6</v>
      </c>
      <c r="H20" s="7">
        <f>[1]!cb_anal_convprice(A20,"")</f>
        <v>9.32</v>
      </c>
      <c r="I20" s="2">
        <f>Data!J20</f>
        <v>0.29986227183516001</v>
      </c>
      <c r="J20" s="2">
        <f t="shared" si="0"/>
        <v>0.29986227183516001</v>
      </c>
      <c r="K20" s="7">
        <f ca="1">([1]!cb_info_maturitydate(A20)-TODAY())/365</f>
        <v>4.2109589041095887</v>
      </c>
      <c r="L20" s="6">
        <f t="shared" ca="1" si="1"/>
        <v>28.613766682955998</v>
      </c>
      <c r="M20" s="6">
        <f t="shared" ca="1" si="2"/>
        <v>121.161366682956</v>
      </c>
      <c r="N20" s="2">
        <f t="shared" ca="1" si="3"/>
        <v>-3.5212269387154049E-2</v>
      </c>
      <c r="O20" s="2">
        <f>IF(Data!V20=0,"",Data!V20)</f>
        <v>-3.6111533920296097E-2</v>
      </c>
      <c r="P20" s="2">
        <f>IF(Data!W20=0,"",Data!W20)</f>
        <v>4.64899465518318E-2</v>
      </c>
      <c r="Q20" s="2">
        <f t="shared" ca="1" si="4"/>
        <v>0.50771634083249884</v>
      </c>
      <c r="R20" s="5">
        <f t="shared" ca="1" si="5"/>
        <v>0.67667564208293596</v>
      </c>
      <c r="S20" s="3">
        <f t="shared" ca="1" si="6"/>
        <v>7.2604682626924459</v>
      </c>
      <c r="T20" t="str">
        <f t="shared" ca="1" si="7"/>
        <v>1169:697</v>
      </c>
    </row>
    <row r="21" spans="1:20">
      <c r="A21" t="str">
        <f>Data!B21</f>
        <v>128012.SZ</v>
      </c>
      <c r="B21" t="str">
        <f>Data!C21</f>
        <v>辉丰转债</v>
      </c>
      <c r="C21" s="8">
        <f>RTD("wdf.rtq", ,A21, "LastPrice","RT_Price")</f>
        <v>103.63500000000001</v>
      </c>
      <c r="D21" s="8">
        <f>[1]!cb_anal_straightbondvalue(A21,"")</f>
        <v>86.853200000000001</v>
      </c>
      <c r="E21" t="str">
        <f>Data!E21</f>
        <v>002496.SZ</v>
      </c>
      <c r="F21" t="str">
        <f>Data!F21</f>
        <v>辉丰股份</v>
      </c>
      <c r="G21" s="7">
        <f>RTD("wdf.rtq", ,E21, "LastPrice","RT_Price")</f>
        <v>5.73</v>
      </c>
      <c r="H21" s="7">
        <f>[1]!cb_anal_convprice(A21,"")</f>
        <v>7.74</v>
      </c>
      <c r="I21" s="2">
        <f>Data!J21</f>
        <v>0.29870841546636101</v>
      </c>
      <c r="J21" s="2">
        <f t="shared" si="0"/>
        <v>0.29870841546636101</v>
      </c>
      <c r="K21" s="7">
        <f ca="1">([1]!cb_info_maturitydate(A21)-TODAY())/365</f>
        <v>4.4547945205479449</v>
      </c>
      <c r="L21" s="6">
        <f t="shared" ca="1" si="1"/>
        <v>12.332934166335539</v>
      </c>
      <c r="M21" s="6">
        <f t="shared" ca="1" si="2"/>
        <v>99.186134166335535</v>
      </c>
      <c r="N21" s="2">
        <f t="shared" ca="1" si="3"/>
        <v>4.4853707335782422E-2</v>
      </c>
      <c r="O21" s="2">
        <f>IF(Data!V21=0,"",Data!V21)</f>
        <v>0.122347377688878</v>
      </c>
      <c r="P21" s="2">
        <f>IF(Data!W21=0,"",Data!W21)</f>
        <v>3.5141887360370702E-2</v>
      </c>
      <c r="Q21" s="2">
        <f t="shared" ca="1" si="4"/>
        <v>1.3721248825537059E-2</v>
      </c>
      <c r="R21" s="5">
        <f t="shared" ca="1" si="5"/>
        <v>0.47778789336973582</v>
      </c>
      <c r="S21" s="3">
        <f t="shared" ca="1" si="6"/>
        <v>6.1729701985753982</v>
      </c>
      <c r="T21" t="str">
        <f t="shared" ca="1" si="7"/>
        <v>1036:354</v>
      </c>
    </row>
    <row r="22" spans="1:20">
      <c r="A22" t="str">
        <f>Data!B22</f>
        <v>128013.SZ</v>
      </c>
      <c r="B22" t="str">
        <f>Data!C22</f>
        <v>洪涛转债</v>
      </c>
      <c r="C22" s="8">
        <f>RTD("wdf.rtq", ,A22, "LastPrice","RT_Price")</f>
        <v>99.733000000000004</v>
      </c>
      <c r="D22" s="8">
        <f>[1]!cb_anal_straightbondvalue(A22,"")</f>
        <v>90.157300000000006</v>
      </c>
      <c r="E22" t="str">
        <f>Data!E22</f>
        <v>002325.SZ</v>
      </c>
      <c r="F22" t="str">
        <f>Data!F22</f>
        <v>洪涛股份</v>
      </c>
      <c r="G22" s="7">
        <f>RTD("wdf.rtq", ,E22, "LastPrice","RT_Price")</f>
        <v>5.68</v>
      </c>
      <c r="H22" s="7">
        <f>[1]!cb_anal_convprice(A22,"")</f>
        <v>10.029999999999999</v>
      </c>
      <c r="I22" s="2">
        <f>Data!J22</f>
        <v>0.31959641054902599</v>
      </c>
      <c r="J22" s="2">
        <f t="shared" si="0"/>
        <v>0.31959641054902599</v>
      </c>
      <c r="K22" s="7">
        <f ca="1">([1]!cb_info_maturitydate(A22)-TODAY())/365</f>
        <v>4.7260273972602738</v>
      </c>
      <c r="L22" s="6">
        <f t="shared" ca="1" si="1"/>
        <v>6.7761308922465187</v>
      </c>
      <c r="M22" s="6">
        <f t="shared" ca="1" si="2"/>
        <v>96.93343089224652</v>
      </c>
      <c r="N22" s="2">
        <f t="shared" ca="1" si="3"/>
        <v>2.8881357876061831E-2</v>
      </c>
      <c r="O22" s="2">
        <f>IF(Data!V22=0,"",Data!V22)</f>
        <v>1.73636161825995E-2</v>
      </c>
      <c r="P22" s="2">
        <f>IF(Data!W22=0,"",Data!W22)</f>
        <v>2.2349336482049901E-2</v>
      </c>
      <c r="Q22" s="2">
        <f t="shared" ca="1" si="4"/>
        <v>0.69684594145069934</v>
      </c>
      <c r="R22" s="5">
        <f t="shared" ca="1" si="5"/>
        <v>0.35606337135263633</v>
      </c>
      <c r="S22" s="3">
        <f t="shared" ca="1" si="6"/>
        <v>3.5499837622396444</v>
      </c>
      <c r="T22" t="str">
        <f t="shared" ca="1" si="7"/>
        <v>997:202</v>
      </c>
    </row>
    <row r="23" spans="1:20">
      <c r="A23" t="str">
        <f>Data!B23</f>
        <v>128014.SZ</v>
      </c>
      <c r="B23" t="str">
        <f>Data!C23</f>
        <v>永东转债</v>
      </c>
      <c r="C23" s="8">
        <f>RTD("wdf.rtq", ,A23, "LastPrice","RT_Price")</f>
        <v>117.19</v>
      </c>
      <c r="D23" s="8">
        <f>[1]!cb_anal_straightbondvalue(A23,"")</f>
        <v>87.604500000000002</v>
      </c>
      <c r="E23" t="str">
        <f>Data!E23</f>
        <v>002753.SZ</v>
      </c>
      <c r="F23" t="str">
        <f>Data!F23</f>
        <v>永东股份</v>
      </c>
      <c r="G23" s="7">
        <f>RTD("wdf.rtq", ,E23, "LastPrice","RT_Price")</f>
        <v>22.19</v>
      </c>
      <c r="H23" s="7">
        <f>[1]!cb_anal_convprice(A23,"")</f>
        <v>20.46</v>
      </c>
      <c r="I23" s="2">
        <f>Data!J23</f>
        <v>0.54857610710805904</v>
      </c>
      <c r="J23" s="2">
        <f t="shared" si="0"/>
        <v>0.54857610710805904</v>
      </c>
      <c r="K23" s="7">
        <f ca="1">([1]!cb_info_maturitydate(A23)-TODAY())/365</f>
        <v>5.4438356164383563</v>
      </c>
      <c r="L23" s="6">
        <f t="shared" ca="1" si="1"/>
        <v>56.412232432595054</v>
      </c>
      <c r="M23" s="6">
        <f t="shared" ca="1" si="2"/>
        <v>144.01673243259506</v>
      </c>
      <c r="N23" s="2">
        <f t="shared" ca="1" si="3"/>
        <v>-0.18627510831181315</v>
      </c>
      <c r="O23" s="2">
        <f>IF(Data!V23=0,"",Data!V23)</f>
        <v>-0.165546038441993</v>
      </c>
      <c r="P23" s="2">
        <f>IF(Data!W23=0,"",Data!W23)</f>
        <v>4.0745647908608101E-2</v>
      </c>
      <c r="Q23" s="2">
        <f t="shared" ca="1" si="4"/>
        <v>0.3054661310666329</v>
      </c>
      <c r="R23" s="5">
        <f t="shared" ca="1" si="5"/>
        <v>0.77851414398734053</v>
      </c>
      <c r="S23" s="3">
        <f t="shared" ca="1" si="6"/>
        <v>3.8050544671913022</v>
      </c>
      <c r="T23" t="str">
        <f t="shared" ca="1" si="7"/>
        <v>1172:844</v>
      </c>
    </row>
    <row r="24" spans="1:20">
      <c r="A24" t="str">
        <f>Data!B24</f>
        <v>128015.SZ</v>
      </c>
      <c r="B24" t="str">
        <f>Data!C24</f>
        <v>久其转债</v>
      </c>
      <c r="C24" s="8">
        <f>RTD("wdf.rtq", ,A24, "LastPrice","RT_Price")</f>
        <v>110</v>
      </c>
      <c r="D24" s="8">
        <f>[1]!cb_anal_straightbondvalue(A24,"")</f>
        <v>86.223500000000001</v>
      </c>
      <c r="E24" t="str">
        <f>Data!E24</f>
        <v>002279.SZ</v>
      </c>
      <c r="F24" t="str">
        <f>Data!F24</f>
        <v>久其软件</v>
      </c>
      <c r="G24" s="7">
        <f>RTD("wdf.rtq", ,E24, "LastPrice","RT_Price")</f>
        <v>11.88</v>
      </c>
      <c r="H24" s="7">
        <f>[1]!cb_anal_convprice(A24,"")</f>
        <v>12.9</v>
      </c>
      <c r="I24" s="2">
        <f>Data!J24</f>
        <v>0.291742093294378</v>
      </c>
      <c r="J24" s="2">
        <f t="shared" si="0"/>
        <v>0.291742093294378</v>
      </c>
      <c r="K24" s="7">
        <f ca="1">([1]!cb_info_maturitydate(A24)-TODAY())/365</f>
        <v>5.5863013698630137</v>
      </c>
      <c r="L24" s="6">
        <f t="shared" ca="1" si="1"/>
        <v>24.888484897411278</v>
      </c>
      <c r="M24" s="6">
        <f t="shared" ca="1" si="2"/>
        <v>111.11198489741128</v>
      </c>
      <c r="N24" s="2">
        <f t="shared" ca="1" si="3"/>
        <v>-1.0007785374709699E-2</v>
      </c>
      <c r="O24" s="2">
        <f>IF(Data!V24=0,"",Data!V24)</f>
        <v>-2.82931745558898E-2</v>
      </c>
      <c r="P24" s="2">
        <f>IF(Data!W24=0,"",Data!W24)</f>
        <v>5.6045691371315903E-2</v>
      </c>
      <c r="Q24" s="2">
        <f t="shared" ca="1" si="4"/>
        <v>0.62788564838503569</v>
      </c>
      <c r="R24" s="5">
        <f t="shared" ca="1" si="5"/>
        <v>0.63564269084696501</v>
      </c>
      <c r="S24" s="3">
        <f t="shared" ca="1" si="6"/>
        <v>4.9274627197439145</v>
      </c>
      <c r="T24" t="str">
        <f t="shared" ca="1" si="7"/>
        <v>1100:585</v>
      </c>
    </row>
    <row r="25" spans="1:20">
      <c r="A25" t="str">
        <f>Data!B25</f>
        <v>128016.SZ</v>
      </c>
      <c r="B25" t="str">
        <f>Data!C25</f>
        <v>雨虹转债</v>
      </c>
      <c r="C25" s="8">
        <f>RTD("wdf.rtq", ,A25, "LastPrice","RT_Price")</f>
        <v>116.215</v>
      </c>
      <c r="D25" s="8">
        <f>[1]!cb_anal_straightbondvalue(A25,"")</f>
        <v>83.512799999999999</v>
      </c>
      <c r="E25" t="str">
        <f>Data!E25</f>
        <v>002271.SZ</v>
      </c>
      <c r="F25" t="str">
        <f>Data!F25</f>
        <v>东方雨虹</v>
      </c>
      <c r="G25" s="7">
        <f>RTD("wdf.rtq", ,E25, "LastPrice","RT_Price")</f>
        <v>38</v>
      </c>
      <c r="H25" s="7">
        <f>[1]!cb_anal_convprice(A25,"")</f>
        <v>38.479999999999997</v>
      </c>
      <c r="I25" s="2">
        <f>Data!J25</f>
        <v>0.33054873436913901</v>
      </c>
      <c r="J25" s="2">
        <f t="shared" si="0"/>
        <v>0.33054873436913901</v>
      </c>
      <c r="K25" s="7">
        <f ca="1">([1]!cb_info_maturitydate(A25)-TODAY())/365</f>
        <v>5.8849315068493153</v>
      </c>
      <c r="L25" s="6">
        <f t="shared" ca="1" si="1"/>
        <v>33.368842306914296</v>
      </c>
      <c r="M25" s="6">
        <f t="shared" ca="1" si="2"/>
        <v>116.8816423069143</v>
      </c>
      <c r="N25" s="2">
        <f t="shared" ca="1" si="3"/>
        <v>-5.7035672476588584E-3</v>
      </c>
      <c r="O25" s="2">
        <f>IF(Data!V25=0,"",Data!V25)</f>
        <v>-9.2536046721779605E-2</v>
      </c>
      <c r="P25" s="2">
        <f>IF(Data!W25=0,"",Data!W25)</f>
        <v>7.8308913978966596E-2</v>
      </c>
      <c r="Q25" s="2">
        <f t="shared" ca="1" si="4"/>
        <v>0.86625156052296659</v>
      </c>
      <c r="R25" s="5">
        <f t="shared" ca="1" si="5"/>
        <v>0.68982971559885864</v>
      </c>
      <c r="S25" s="3">
        <f t="shared" ca="1" si="6"/>
        <v>1.7926967661093003</v>
      </c>
      <c r="T25" t="str">
        <f t="shared" ca="1" si="7"/>
        <v>1162:681</v>
      </c>
    </row>
    <row r="26" spans="1:20">
      <c r="A26" t="str">
        <f>Data!B26</f>
        <v>128017.SZ</v>
      </c>
      <c r="B26" t="str">
        <f>Data!C26</f>
        <v>金禾转债</v>
      </c>
      <c r="C26" s="8">
        <f>RTD("wdf.rtq", ,A26, "LastPrice","RT_Price")</f>
        <v>0</v>
      </c>
      <c r="D26" s="8">
        <f>[1]!cb_anal_straightbondvalue(A26,"")</f>
        <v>83.117099999999994</v>
      </c>
      <c r="E26" t="str">
        <f>Data!E26</f>
        <v>002597.SZ</v>
      </c>
      <c r="F26" t="str">
        <f>Data!F26</f>
        <v>金禾实业</v>
      </c>
      <c r="G26" s="7">
        <f>RTD("wdf.rtq", ,E26, "LastPrice","RT_Price")</f>
        <v>23.7</v>
      </c>
      <c r="H26" s="7">
        <f>[1]!cb_anal_convprice(A26,"")</f>
        <v>23.92</v>
      </c>
      <c r="I26" s="2">
        <f>Data!J26</f>
        <v>0.27925807424274302</v>
      </c>
      <c r="J26" s="2">
        <f t="shared" si="0"/>
        <v>0.27925807424274302</v>
      </c>
      <c r="K26" s="7">
        <f ca="1">([1]!cb_info_maturitydate(A26)-TODAY())/365</f>
        <v>5.9863013698630141</v>
      </c>
      <c r="L26" s="6">
        <f t="shared" ca="1" si="1"/>
        <v>29.470032060065009</v>
      </c>
      <c r="M26" s="6">
        <f t="shared" ca="1" si="2"/>
        <v>112.587132060065</v>
      </c>
      <c r="N26" s="2">
        <f t="shared" ca="1" si="3"/>
        <v>-1</v>
      </c>
      <c r="O26" s="2">
        <f>IF(Data!V26=0,"",Data!V26)</f>
        <v>-0.103159937101595</v>
      </c>
      <c r="P26" s="2">
        <f>IF(Data!W26=0,"",Data!W26)</f>
        <v>9.4155448723361491E-3</v>
      </c>
      <c r="Q26" s="2">
        <f t="shared" ca="1" si="4"/>
        <v>0</v>
      </c>
      <c r="R26" s="5">
        <f t="shared" ca="1" si="5"/>
        <v>0.67707211311755144</v>
      </c>
      <c r="S26" s="3">
        <f t="shared" ca="1" si="6"/>
        <v>2.8305690347723722</v>
      </c>
      <c r="T26" t="str">
        <f t="shared" ca="1" si="7"/>
        <v>0:671</v>
      </c>
    </row>
    <row r="27" spans="1:20">
      <c r="A27" t="str">
        <f>Data!B27</f>
        <v>128018.SZ</v>
      </c>
      <c r="B27" t="str">
        <f>Data!C27</f>
        <v>时达转债</v>
      </c>
      <c r="C27" s="8">
        <f>RTD("wdf.rtq", ,A27, "LastPrice","RT_Price")</f>
        <v>0</v>
      </c>
      <c r="D27" s="8">
        <f>[1]!cb_anal_straightbondvalue(A27,"")</f>
        <v>83.4619</v>
      </c>
      <c r="E27" t="str">
        <f>Data!E27</f>
        <v>002527.SZ</v>
      </c>
      <c r="F27" t="str">
        <f>Data!F27</f>
        <v>新时达</v>
      </c>
      <c r="G27" s="7">
        <f>RTD("wdf.rtq", ,E27, "LastPrice","RT_Price")</f>
        <v>11.41</v>
      </c>
      <c r="H27" s="7">
        <f>[1]!cb_anal_convprice(A27,"")</f>
        <v>11.9</v>
      </c>
      <c r="I27" s="2">
        <f>Data!J27</f>
        <v>0.28143158188952999</v>
      </c>
      <c r="J27" s="2">
        <f t="shared" si="0"/>
        <v>0.28143158188952999</v>
      </c>
      <c r="K27" s="7">
        <f ca="1">([1]!cb_info_maturitydate(A27)-TODAY())/365</f>
        <v>6</v>
      </c>
      <c r="L27" s="6">
        <f t="shared" ca="1" si="1"/>
        <v>27.554243965074818</v>
      </c>
      <c r="M27" s="6">
        <f t="shared" ca="1" si="2"/>
        <v>111.01614396507482</v>
      </c>
      <c r="N27" s="2">
        <f t="shared" ca="1" si="3"/>
        <v>-1</v>
      </c>
      <c r="O27" s="2">
        <f>IF(Data!V27=0,"",Data!V27)</f>
        <v>-8.8955141197092705E-2</v>
      </c>
      <c r="P27" s="2" t="str">
        <f>IF(Data!W27=0,"",Data!W27)</f>
        <v>NA</v>
      </c>
      <c r="Q27" s="2" t="str">
        <f t="shared" ca="1" si="4"/>
        <v/>
      </c>
      <c r="R27" s="5">
        <f t="shared" ca="1" si="5"/>
        <v>0.6606513136257286</v>
      </c>
      <c r="S27" s="3">
        <f t="shared" ca="1" si="6"/>
        <v>5.5516917111405757</v>
      </c>
      <c r="T27" t="str">
        <f t="shared" ca="1" si="7"/>
        <v>0:633</v>
      </c>
    </row>
    <row r="28" spans="1:20">
      <c r="A28" t="str">
        <f>Data!B28</f>
        <v>132001.SH</v>
      </c>
      <c r="B28" t="str">
        <f>Data!C28</f>
        <v>14宝钢EB</v>
      </c>
      <c r="C28" s="8">
        <f>RTD("wdf.rtq", ,A28, "LastPrice","RT_Price")</f>
        <v>147</v>
      </c>
      <c r="D28" s="8">
        <f>[1]!cb_anal_straightbondvalue(A28,"")</f>
        <v>102.623</v>
      </c>
      <c r="E28" t="str">
        <f>Data!E28</f>
        <v>601336.SH</v>
      </c>
      <c r="F28" t="str">
        <f>Data!F28</f>
        <v>新华保险</v>
      </c>
      <c r="G28" s="7">
        <f>RTD("wdf.rtq", ,E28, "LastPrice","RT_Price")</f>
        <v>62.870000000000005</v>
      </c>
      <c r="H28" s="7">
        <f>[1]!cb_anal_convprice(A28,"")</f>
        <v>42.31</v>
      </c>
      <c r="I28" s="2">
        <f>Data!J28</f>
        <v>0.36144612112548802</v>
      </c>
      <c r="J28" s="2">
        <f t="shared" si="0"/>
        <v>0.36144612112548802</v>
      </c>
      <c r="K28" s="7">
        <f ca="1">([1]!cb_info_maturitydate(A28)-TODAY())/365</f>
        <v>9.0410958904109592E-2</v>
      </c>
      <c r="L28" s="6">
        <f t="shared" ca="1" si="1"/>
        <v>48.72964777709268</v>
      </c>
      <c r="M28" s="6">
        <f t="shared" ca="1" si="2"/>
        <v>151.35264777709267</v>
      </c>
      <c r="N28" s="2">
        <f t="shared" ca="1" si="3"/>
        <v>-2.8758319335801197E-2</v>
      </c>
      <c r="O28" s="2">
        <f>IF(Data!V28=0,"",Data!V28)</f>
        <v>9.8227441854095102E-4</v>
      </c>
      <c r="P28" s="2">
        <f>IF(Data!W28=0,"",Data!W28)</f>
        <v>2.5207691829912601E-2</v>
      </c>
      <c r="Q28" s="2">
        <f t="shared" ca="1" si="4"/>
        <v>0.11903547437171616</v>
      </c>
      <c r="R28" s="5">
        <f t="shared" ca="1" si="5"/>
        <v>0.9998967487667757</v>
      </c>
      <c r="S28" s="3">
        <f t="shared" ca="1" si="6"/>
        <v>2.3632634099900156</v>
      </c>
      <c r="T28" t="str">
        <f t="shared" ca="1" si="7"/>
        <v>1470:1486</v>
      </c>
    </row>
    <row r="29" spans="1:20">
      <c r="A29" t="str">
        <f>Data!B29</f>
        <v>132002.SH</v>
      </c>
      <c r="B29" t="str">
        <f>Data!C29</f>
        <v>15天集EB</v>
      </c>
      <c r="C29" s="8">
        <f>RTD("wdf.rtq", ,A29, "LastPrice","RT_Price")</f>
        <v>103.2</v>
      </c>
      <c r="D29" s="8">
        <f>[1]!cb_anal_straightbondvalue(A29,"")</f>
        <v>91.1785</v>
      </c>
      <c r="E29" t="str">
        <f>Data!E29</f>
        <v>600535.SH</v>
      </c>
      <c r="F29" t="str">
        <f>Data!F29</f>
        <v>天士力</v>
      </c>
      <c r="G29" s="7">
        <f>RTD("wdf.rtq", ,E29, "LastPrice","RT_Price")</f>
        <v>38.18</v>
      </c>
      <c r="H29" s="7">
        <f>[1]!cb_anal_convprice(A29,"")</f>
        <v>56.02</v>
      </c>
      <c r="I29" s="2">
        <f>Data!J29</f>
        <v>0.163916560689021</v>
      </c>
      <c r="J29" s="2">
        <f t="shared" si="0"/>
        <v>0.163916560689021</v>
      </c>
      <c r="K29" s="7">
        <f ca="1">([1]!cb_info_maturitydate(A29)-TODAY())/365</f>
        <v>2.5863013698630137</v>
      </c>
      <c r="L29" s="6">
        <f t="shared" ca="1" si="1"/>
        <v>0.95116370292035923</v>
      </c>
      <c r="M29" s="6">
        <f t="shared" ca="1" si="2"/>
        <v>92.129663702920354</v>
      </c>
      <c r="N29" s="2">
        <f t="shared" ca="1" si="3"/>
        <v>0.12016038973914922</v>
      </c>
      <c r="O29" s="2">
        <f>IF(Data!V29=0,"",Data!V29)</f>
        <v>0.11327961179203599</v>
      </c>
      <c r="P29" s="2">
        <f>IF(Data!W29=0,"",Data!W29)</f>
        <v>1.56620254944216E-2</v>
      </c>
      <c r="Q29" s="2">
        <f t="shared" ca="1" si="4"/>
        <v>0.669788324275707</v>
      </c>
      <c r="R29" s="5">
        <f t="shared" ca="1" si="5"/>
        <v>0.11991002780885085</v>
      </c>
      <c r="S29" s="3">
        <f t="shared" ca="1" si="6"/>
        <v>0.21404860372875908</v>
      </c>
      <c r="T29" t="str">
        <f t="shared" ca="1" si="7"/>
        <v>1032:82</v>
      </c>
    </row>
    <row r="30" spans="1:20">
      <c r="A30" t="str">
        <f>Data!B30</f>
        <v>132003.SH</v>
      </c>
      <c r="B30" t="str">
        <f>Data!C30</f>
        <v>15清控EB</v>
      </c>
      <c r="C30" s="8">
        <f>RTD("wdf.rtq", ,A30, "LastPrice","RT_Price")</f>
        <v>100.66</v>
      </c>
      <c r="D30" s="8">
        <f>[1]!cb_anal_straightbondvalue(A30,"")</f>
        <v>96.552999999999997</v>
      </c>
      <c r="E30" t="str">
        <f>Data!E30</f>
        <v>600109.SH</v>
      </c>
      <c r="F30" t="str">
        <f>Data!F30</f>
        <v>国金证券</v>
      </c>
      <c r="G30" s="7">
        <f>RTD("wdf.rtq", ,E30, "LastPrice","RT_Price")</f>
        <v>10.86</v>
      </c>
      <c r="H30" s="7">
        <f>[1]!cb_anal_convprice(A30,"")</f>
        <v>16.75</v>
      </c>
      <c r="I30" s="2">
        <f>Data!J30</f>
        <v>0.24150753853456</v>
      </c>
      <c r="J30" s="2">
        <f t="shared" si="0"/>
        <v>0.24150753853456</v>
      </c>
      <c r="K30" s="7">
        <f ca="1">([1]!cb_info_maturitydate(A30)-TODAY())/365</f>
        <v>0.9671232876712329</v>
      </c>
      <c r="L30" s="6">
        <f t="shared" ca="1" si="1"/>
        <v>0.29547319720763049</v>
      </c>
      <c r="M30" s="6">
        <f t="shared" ca="1" si="2"/>
        <v>96.848473197207625</v>
      </c>
      <c r="N30" s="2">
        <f t="shared" ca="1" si="3"/>
        <v>3.9355569344197594E-2</v>
      </c>
      <c r="O30" s="2">
        <f>IF(Data!V30=0,"",Data!V30)</f>
        <v>8.3896031598203594E-2</v>
      </c>
      <c r="P30" s="2">
        <f>IF(Data!W30=0,"",Data!W30)</f>
        <v>3.8355732600524203E-2</v>
      </c>
      <c r="Q30" s="2">
        <f t="shared" ca="1" si="4"/>
        <v>0.12277082405984793</v>
      </c>
      <c r="R30" s="5">
        <f t="shared" ca="1" si="5"/>
        <v>5.0025625912156382E-2</v>
      </c>
      <c r="S30" s="3">
        <f t="shared" ca="1" si="6"/>
        <v>0.29866045320690376</v>
      </c>
      <c r="T30" t="str">
        <f t="shared" ca="1" si="7"/>
        <v>1007:32</v>
      </c>
    </row>
    <row r="31" spans="1:20">
      <c r="A31" t="str">
        <f>Data!B31</f>
        <v>132004.SH</v>
      </c>
      <c r="B31" t="str">
        <f>Data!C31</f>
        <v>15国盛EB</v>
      </c>
      <c r="C31" s="8">
        <f>RTD("wdf.rtq", ,A31, "LastPrice","RT_Price")</f>
        <v>92.34</v>
      </c>
      <c r="D31" s="8">
        <f>[1]!cb_anal_straightbondvalue(A31,"")</f>
        <v>88.486900000000006</v>
      </c>
      <c r="E31" t="str">
        <f>Data!E31</f>
        <v>600170.SH</v>
      </c>
      <c r="F31" t="str">
        <f>Data!F31</f>
        <v>上海建工</v>
      </c>
      <c r="G31" s="7">
        <f>RTD("wdf.rtq", ,E31, "LastPrice","RT_Price")</f>
        <v>3.83</v>
      </c>
      <c r="H31" s="7">
        <f>[1]!cb_anal_convprice(A31,"")</f>
        <v>6.76</v>
      </c>
      <c r="I31" s="2">
        <f>Data!J31</f>
        <v>0.14720802661638599</v>
      </c>
      <c r="J31" s="2">
        <f t="shared" si="0"/>
        <v>0.14720802661638599</v>
      </c>
      <c r="K31" s="7">
        <f ca="1">([1]!cb_info_maturitydate(A31)-TODAY())/365</f>
        <v>3.9972602739726026</v>
      </c>
      <c r="L31" s="6">
        <f t="shared" ca="1" si="1"/>
        <v>0.3652870781388336</v>
      </c>
      <c r="M31" s="6">
        <f t="shared" ca="1" si="2"/>
        <v>88.85218707813884</v>
      </c>
      <c r="N31" s="2">
        <f t="shared" ca="1" si="3"/>
        <v>3.9254103208443247E-2</v>
      </c>
      <c r="O31" s="2">
        <f>IF(Data!V31=0,"",Data!V31)</f>
        <v>4.5228717016169803E-2</v>
      </c>
      <c r="P31" s="2">
        <f>IF(Data!W31=0,"",Data!W31)</f>
        <v>1.28371100362882E-2</v>
      </c>
      <c r="Q31" s="2">
        <f t="shared" ca="1" si="4"/>
        <v>0.32081630387550342</v>
      </c>
      <c r="R31" s="5">
        <f t="shared" ca="1" si="5"/>
        <v>5.7103859747927851E-2</v>
      </c>
      <c r="S31" s="3">
        <f t="shared" ca="1" si="6"/>
        <v>0.84473165307585574</v>
      </c>
      <c r="T31" t="str">
        <f t="shared" ca="1" si="7"/>
        <v>923:32</v>
      </c>
    </row>
    <row r="32" spans="1:20">
      <c r="A32" t="str">
        <f>Data!B32</f>
        <v>132005.SH</v>
      </c>
      <c r="B32" t="str">
        <f>Data!C32</f>
        <v>15国资EB</v>
      </c>
      <c r="C32" s="8">
        <f>RTD("wdf.rtq", ,A32, "LastPrice","RT_Price")</f>
        <v>129.80000000000001</v>
      </c>
      <c r="D32" s="8">
        <f>[1]!cb_anal_straightbondvalue(A32,"")</f>
        <v>99.0548</v>
      </c>
      <c r="E32" t="str">
        <f>Data!E32</f>
        <v>601601.SH</v>
      </c>
      <c r="F32" t="str">
        <f>Data!F32</f>
        <v>中国太保</v>
      </c>
      <c r="G32" s="7">
        <f>RTD("wdf.rtq", ,E32, "LastPrice","RT_Price")</f>
        <v>43.67</v>
      </c>
      <c r="H32" s="7">
        <f>[1]!cb_anal_convprice(A32,"")</f>
        <v>37.58</v>
      </c>
      <c r="I32" s="2">
        <f>Data!J32</f>
        <v>0.28624793309885299</v>
      </c>
      <c r="J32" s="2">
        <f t="shared" si="0"/>
        <v>0.28624793309885299</v>
      </c>
      <c r="K32" s="7">
        <f ca="1">([1]!cb_info_maturitydate(A32)-TODAY())/365</f>
        <v>3.0876712328767124</v>
      </c>
      <c r="L32" s="6">
        <f t="shared" ca="1" si="1"/>
        <v>32.92646209381833</v>
      </c>
      <c r="M32" s="6">
        <f t="shared" ca="1" si="2"/>
        <v>131.98126209381832</v>
      </c>
      <c r="N32" s="2">
        <f t="shared" ca="1" si="3"/>
        <v>-1.652705891134576E-2</v>
      </c>
      <c r="O32" s="2">
        <f>IF(Data!V32=0,"",Data!V32)</f>
        <v>4.25245019231595E-2</v>
      </c>
      <c r="P32" s="2">
        <f>IF(Data!W32=0,"",Data!W32)</f>
        <v>2.5296817295482998E-2</v>
      </c>
      <c r="Q32" s="2">
        <f t="shared" ca="1" si="4"/>
        <v>9.78876813180647E-3</v>
      </c>
      <c r="R32" s="5">
        <f t="shared" ca="1" si="5"/>
        <v>0.73961798863755779</v>
      </c>
      <c r="S32" s="3">
        <f t="shared" ca="1" si="6"/>
        <v>1.9681159889237834</v>
      </c>
      <c r="T32" t="str">
        <f t="shared" ca="1" si="7"/>
        <v>1298:859</v>
      </c>
    </row>
    <row r="33" spans="1:20">
      <c r="A33" t="str">
        <f>Data!B33</f>
        <v>132006.SH</v>
      </c>
      <c r="B33" t="str">
        <f>Data!C33</f>
        <v>16皖新EB</v>
      </c>
      <c r="C33" s="8">
        <f>RTD("wdf.rtq", ,A33, "LastPrice","RT_Price")</f>
        <v>100.56</v>
      </c>
      <c r="D33" s="8">
        <f>[1]!cb_anal_straightbondvalue(A33,"")</f>
        <v>96.866600000000005</v>
      </c>
      <c r="E33" t="str">
        <f>Data!E33</f>
        <v>601801.SH</v>
      </c>
      <c r="F33" t="str">
        <f>Data!F33</f>
        <v>皖新传媒</v>
      </c>
      <c r="G33" s="7">
        <f>RTD("wdf.rtq", ,E33, "LastPrice","RT_Price")</f>
        <v>11.950000000000001</v>
      </c>
      <c r="H33" s="7">
        <f>[1]!cb_anal_convprice(A33,"")</f>
        <v>16.190000000000001</v>
      </c>
      <c r="I33" s="2">
        <f>Data!J33</f>
        <v>0.25362240062598201</v>
      </c>
      <c r="J33" s="2">
        <f t="shared" si="0"/>
        <v>0.25362240062598201</v>
      </c>
      <c r="K33" s="7">
        <f ca="1">([1]!cb_info_maturitydate(A33)-TODAY())/365</f>
        <v>3.6273972602739728</v>
      </c>
      <c r="L33" s="6">
        <f t="shared" ca="1" si="1"/>
        <v>7.6747619421966737</v>
      </c>
      <c r="M33" s="6">
        <f t="shared" ca="1" si="2"/>
        <v>104.54136194219667</v>
      </c>
      <c r="N33" s="2">
        <f t="shared" ca="1" si="3"/>
        <v>-3.808408335447222E-2</v>
      </c>
      <c r="O33" s="2">
        <f>IF(Data!V33=0,"",Data!V33)</f>
        <v>-0.13513753493833899</v>
      </c>
      <c r="P33" s="2">
        <f>IF(Data!W33=0,"",Data!W33)</f>
        <v>6.9322449151920304E-2</v>
      </c>
      <c r="Q33" s="2">
        <f t="shared" ca="1" si="4"/>
        <v>0.91924770959940938</v>
      </c>
      <c r="R33" s="5">
        <f t="shared" ca="1" si="5"/>
        <v>0.39185697634398503</v>
      </c>
      <c r="S33" s="3">
        <f t="shared" ca="1" si="6"/>
        <v>2.4203642763680357</v>
      </c>
      <c r="T33" t="str">
        <f t="shared" ca="1" si="7"/>
        <v>1006:289</v>
      </c>
    </row>
    <row r="34" spans="1:20">
      <c r="A34" t="str">
        <f>Data!B34</f>
        <v>132007.SH</v>
      </c>
      <c r="B34" t="str">
        <f>Data!C34</f>
        <v>16凤凰EB</v>
      </c>
      <c r="C34" s="8">
        <f>RTD("wdf.rtq", ,A34, "LastPrice","RT_Price")</f>
        <v>91.83</v>
      </c>
      <c r="D34" s="8">
        <f>[1]!cb_anal_straightbondvalue(A34,"")</f>
        <v>90.195599999999999</v>
      </c>
      <c r="E34" t="str">
        <f>Data!E34</f>
        <v>601928.SH</v>
      </c>
      <c r="F34" t="str">
        <f>Data!F34</f>
        <v>凤凰传媒</v>
      </c>
      <c r="G34" s="7">
        <f>RTD("wdf.rtq", ,E34, "LastPrice","RT_Price")</f>
        <v>8.8800000000000008</v>
      </c>
      <c r="H34" s="7">
        <f>[1]!cb_anal_convprice(A34,"")</f>
        <v>15.75</v>
      </c>
      <c r="I34" s="2">
        <f>Data!J34</f>
        <v>0.12909432917531899</v>
      </c>
      <c r="J34" s="2">
        <f t="shared" si="0"/>
        <v>0.12909432917531899</v>
      </c>
      <c r="K34" s="7">
        <f ca="1">([1]!cb_info_maturitydate(A34)-TODAY())/365</f>
        <v>3.9835616438356163</v>
      </c>
      <c r="L34" s="6">
        <f t="shared" ca="1" si="1"/>
        <v>0.16177195747807915</v>
      </c>
      <c r="M34" s="6">
        <f t="shared" ca="1" si="2"/>
        <v>90.35737195747808</v>
      </c>
      <c r="N34" s="2">
        <f t="shared" ca="1" si="3"/>
        <v>1.629781843605338E-2</v>
      </c>
      <c r="O34" s="2">
        <f>IF(Data!V34=0,"",Data!V34)</f>
        <v>5.0690822008087097E-2</v>
      </c>
      <c r="P34" s="2">
        <f>IF(Data!W34=0,"",Data!W34)</f>
        <v>3.9290618028239702E-2</v>
      </c>
      <c r="Q34" s="2">
        <f t="shared" ca="1" si="4"/>
        <v>0.19069201758331877</v>
      </c>
      <c r="R34" s="5">
        <f t="shared" ca="1" si="5"/>
        <v>3.1210503172587129E-2</v>
      </c>
      <c r="S34" s="3">
        <f t="shared" ca="1" si="6"/>
        <v>0.19816192490531512</v>
      </c>
      <c r="T34" t="str">
        <f t="shared" ca="1" si="7"/>
        <v>918:18</v>
      </c>
    </row>
    <row r="35" spans="1:20">
      <c r="A35" t="str">
        <f>Data!B35</f>
        <v>132008.SH</v>
      </c>
      <c r="B35" t="str">
        <f>Data!C35</f>
        <v>17山高EB</v>
      </c>
      <c r="C35" s="8">
        <f>RTD("wdf.rtq", ,A35, "LastPrice","RT_Price")</f>
        <v>94.39</v>
      </c>
      <c r="D35" s="8">
        <f>[1]!cb_anal_straightbondvalue(A35,"")</f>
        <v>92.930800000000005</v>
      </c>
      <c r="E35" t="str">
        <f>Data!E35</f>
        <v>600350.SH</v>
      </c>
      <c r="F35" t="str">
        <f>Data!F35</f>
        <v>山东高速</v>
      </c>
      <c r="G35" s="7">
        <f>RTD("wdf.rtq", ,E35, "LastPrice","RT_Price")</f>
        <v>5.96</v>
      </c>
      <c r="H35" s="7">
        <f>[1]!cb_anal_convprice(A35,"")</f>
        <v>9.8000000000000007</v>
      </c>
      <c r="I35" s="2">
        <f>Data!J35</f>
        <v>0.15989911395210199</v>
      </c>
      <c r="J35" s="2">
        <f t="shared" si="0"/>
        <v>0.15989911395210199</v>
      </c>
      <c r="K35" s="7">
        <f ca="1">([1]!cb_info_maturitydate(A35)-TODAY())/365</f>
        <v>4.463013698630137</v>
      </c>
      <c r="L35" s="6">
        <f t="shared" ca="1" si="1"/>
        <v>1.2134758468910889</v>
      </c>
      <c r="M35" s="6">
        <f t="shared" ca="1" si="2"/>
        <v>94.144275846891091</v>
      </c>
      <c r="N35" s="2">
        <f t="shared" ca="1" si="3"/>
        <v>2.6100806543833954E-3</v>
      </c>
      <c r="O35" s="2">
        <f>IF(Data!V35=0,"",Data!V35)</f>
        <v>-2.7085650389427301E-3</v>
      </c>
      <c r="P35" s="2">
        <f>IF(Data!W35=0,"",Data!W35)</f>
        <v>1.2594381548464401E-2</v>
      </c>
      <c r="Q35" s="2">
        <f t="shared" ca="1" si="4"/>
        <v>0.66359808251585573</v>
      </c>
      <c r="R35" s="5">
        <f t="shared" ca="1" si="5"/>
        <v>0.1345524142459445</v>
      </c>
      <c r="S35" s="3">
        <f t="shared" ca="1" si="6"/>
        <v>1.3729838188361683</v>
      </c>
      <c r="T35" t="str">
        <f t="shared" ca="1" si="7"/>
        <v>944:82</v>
      </c>
    </row>
    <row r="36" spans="1:20">
      <c r="A36" t="str">
        <f>Data!B36</f>
        <v>132009.SH</v>
      </c>
      <c r="B36" t="str">
        <f>Data!C36</f>
        <v>17中油EB</v>
      </c>
      <c r="C36" s="8">
        <f>RTD("wdf.rtq", ,A36, "LastPrice","RT_Price")</f>
        <v>103.62</v>
      </c>
      <c r="D36" s="8">
        <f>[1]!cb_anal_straightbondvalue(A36,"")</f>
        <v>88.034199999999998</v>
      </c>
      <c r="E36" t="str">
        <f>Data!E36</f>
        <v>601857.SH</v>
      </c>
      <c r="F36" t="str">
        <f>Data!F36</f>
        <v>中国石油</v>
      </c>
      <c r="G36" s="7">
        <f>RTD("wdf.rtq", ,E36, "LastPrice","RT_Price")</f>
        <v>8.61</v>
      </c>
      <c r="H36" s="7">
        <f>[1]!cb_anal_convprice(A36,"")</f>
        <v>8.92</v>
      </c>
      <c r="I36" s="2">
        <f>Data!J36</f>
        <v>0.120367937766344</v>
      </c>
      <c r="J36" s="2">
        <f t="shared" si="0"/>
        <v>0.120367937766344</v>
      </c>
      <c r="K36" s="7">
        <f ca="1">([1]!cb_info_maturitydate(A36)-TODAY())/365</f>
        <v>4.6821917808219178</v>
      </c>
      <c r="L36" s="6">
        <f t="shared" ca="1" si="1"/>
        <v>11.570910715093969</v>
      </c>
      <c r="M36" s="6">
        <f t="shared" ca="1" si="2"/>
        <v>99.605110715093971</v>
      </c>
      <c r="N36" s="2">
        <f t="shared" ca="1" si="3"/>
        <v>4.0308065079010191E-2</v>
      </c>
      <c r="O36" s="2">
        <f>IF(Data!V36=0,"",Data!V36)</f>
        <v>5.2422202660257197E-2</v>
      </c>
      <c r="P36" s="2">
        <f>IF(Data!W36=0,"",Data!W36)</f>
        <v>1.48055404123994E-2</v>
      </c>
      <c r="Q36" s="2">
        <f t="shared" ca="1" si="4"/>
        <v>0.20661678517645082</v>
      </c>
      <c r="R36" s="5">
        <f t="shared" ca="1" si="5"/>
        <v>0.60413892452323759</v>
      </c>
      <c r="S36" s="3">
        <f t="shared" ca="1" si="6"/>
        <v>6.7728578982425738</v>
      </c>
      <c r="T36" t="str">
        <f t="shared" ca="1" si="7"/>
        <v>1036:583</v>
      </c>
    </row>
    <row r="37" spans="1:20">
      <c r="A37" t="str">
        <f>Data!B37</f>
        <v>132010.SH</v>
      </c>
      <c r="B37" t="str">
        <f>Data!C37</f>
        <v>17桐昆EB</v>
      </c>
      <c r="C37" s="8">
        <f>RTD("wdf.rtq", ,A37, "LastPrice","RT_Price")</f>
        <v>112.05</v>
      </c>
      <c r="D37" s="8">
        <f>[1]!cb_anal_straightbondvalue(A37,"")</f>
        <v>92.260599999999997</v>
      </c>
      <c r="E37" t="str">
        <f>Data!E37</f>
        <v>601233.SH</v>
      </c>
      <c r="F37" t="str">
        <f>Data!F37</f>
        <v>桐昆股份</v>
      </c>
      <c r="G37" s="7">
        <f>RTD("wdf.rtq", ,E37, "LastPrice","RT_Price")</f>
        <v>15.700000000000001</v>
      </c>
      <c r="H37" s="7">
        <f>[1]!cb_anal_convprice(A37,"")</f>
        <v>17.12</v>
      </c>
      <c r="I37" s="2">
        <f>Data!J37</f>
        <v>0.42673407271004798</v>
      </c>
      <c r="J37" s="2">
        <f t="shared" si="0"/>
        <v>0.42673407271004798</v>
      </c>
      <c r="K37" s="7">
        <f ca="1">([1]!cb_info_maturitydate(A37)-TODAY())/365</f>
        <v>2.7397260273972601</v>
      </c>
      <c r="L37" s="6">
        <f t="shared" ca="1" si="1"/>
        <v>23.820684184402218</v>
      </c>
      <c r="M37" s="6">
        <f t="shared" ca="1" si="2"/>
        <v>116.08128418440222</v>
      </c>
      <c r="N37" s="2">
        <f t="shared" ca="1" si="3"/>
        <v>-3.4728114981897318E-2</v>
      </c>
      <c r="O37" s="2">
        <f>IF(Data!V37=0,"",Data!V37)</f>
        <v>-4.1970622310360597E-2</v>
      </c>
      <c r="P37" s="2">
        <f>IF(Data!W37=0,"",Data!W37)</f>
        <v>4.0207613603871602E-2</v>
      </c>
      <c r="Q37" s="2">
        <f t="shared" ca="1" si="4"/>
        <v>0.57147386470761297</v>
      </c>
      <c r="R37" s="5">
        <f t="shared" ca="1" si="5"/>
        <v>0.61361889371583489</v>
      </c>
      <c r="S37" s="3">
        <f t="shared" ca="1" si="6"/>
        <v>3.5842225100223999</v>
      </c>
      <c r="T37" t="str">
        <f t="shared" ca="1" si="7"/>
        <v>1121:563</v>
      </c>
    </row>
    <row r="38" spans="1:20">
      <c r="A38" t="str">
        <f>Data!B38</f>
        <v>132011.SH</v>
      </c>
      <c r="B38" t="str">
        <f>Data!C38</f>
        <v>17浙报EB</v>
      </c>
      <c r="C38" s="8">
        <f>RTD("wdf.rtq", ,A38, "LastPrice","RT_Price")</f>
        <v>90.19</v>
      </c>
      <c r="D38" s="8">
        <f>[1]!cb_anal_straightbondvalue(A38,"")</f>
        <v>86.026499999999999</v>
      </c>
      <c r="E38" t="str">
        <f>Data!E38</f>
        <v>600633.SH</v>
      </c>
      <c r="F38" t="str">
        <f>Data!F38</f>
        <v>浙数文化</v>
      </c>
      <c r="G38" s="7">
        <f>RTD("wdf.rtq", ,E38, "LastPrice","RT_Price")</f>
        <v>16.059999999999999</v>
      </c>
      <c r="H38" s="7">
        <f>[1]!cb_anal_convprice(A38,"")</f>
        <v>25</v>
      </c>
      <c r="I38" s="2">
        <f>Data!J38</f>
        <v>0.29745119663146002</v>
      </c>
      <c r="J38" s="2">
        <f t="shared" si="0"/>
        <v>0.29745119663146002</v>
      </c>
      <c r="K38" s="7">
        <f ca="1">([1]!cb_info_maturitydate(A38)-TODAY())/365</f>
        <v>4.7780821917808218</v>
      </c>
      <c r="L38" s="6">
        <f t="shared" ca="1" si="1"/>
        <v>8.6510768875465693</v>
      </c>
      <c r="M38" s="6">
        <f t="shared" ca="1" si="2"/>
        <v>94.677576887546564</v>
      </c>
      <c r="N38" s="2">
        <f t="shared" ca="1" si="3"/>
        <v>-4.7398518583515181E-2</v>
      </c>
      <c r="O38" s="2">
        <f>IF(Data!V38=0,"",Data!V38)</f>
        <v>-4.8712848209831398E-2</v>
      </c>
      <c r="P38" s="2">
        <f>IF(Data!W38=0,"",Data!W38)</f>
        <v>1.6750516100331701E-2</v>
      </c>
      <c r="Q38" s="2">
        <f t="shared" ca="1" si="4"/>
        <v>0.53127092387893948</v>
      </c>
      <c r="R38" s="5">
        <f t="shared" ca="1" si="5"/>
        <v>0.40310924680484217</v>
      </c>
      <c r="S38" s="3">
        <f t="shared" ca="1" si="6"/>
        <v>1.6124369872193689</v>
      </c>
      <c r="T38" t="str">
        <f t="shared" ca="1" si="7"/>
        <v>902:259</v>
      </c>
    </row>
    <row r="39" spans="1:20">
      <c r="A39" t="str">
        <f>Data!B39</f>
        <v>132012.SH</v>
      </c>
      <c r="B39" t="str">
        <f>Data!C39</f>
        <v>17巨化EB</v>
      </c>
      <c r="C39" s="8">
        <f>RTD("wdf.rtq", ,A39, "LastPrice","RT_Price")</f>
        <v>99.55</v>
      </c>
      <c r="D39" s="8">
        <f>[1]!cb_anal_straightbondvalue(A39,"")</f>
        <v>91.868499999999997</v>
      </c>
      <c r="E39" t="str">
        <f>Data!E39</f>
        <v>600160.SH</v>
      </c>
      <c r="F39" t="str">
        <f>Data!F39</f>
        <v>巨化股份</v>
      </c>
      <c r="G39" s="7">
        <f>RTD("wdf.rtq", ,E39, "LastPrice","RT_Price")</f>
        <v>11.17</v>
      </c>
      <c r="H39" s="7">
        <f>[1]!cb_anal_convprice(A39,"")</f>
        <v>13.49</v>
      </c>
      <c r="I39" s="2">
        <f>Data!J39</f>
        <v>0.365650815975951</v>
      </c>
      <c r="J39" s="2">
        <f t="shared" si="0"/>
        <v>0.365650815975951</v>
      </c>
      <c r="K39" s="7">
        <f ca="1">([1]!cb_info_maturitydate(A39)-TODAY())/365</f>
        <v>2.8273972602739725</v>
      </c>
      <c r="L39" s="6">
        <f t="shared" ca="1" si="1"/>
        <v>15.634578184697816</v>
      </c>
      <c r="M39" s="6">
        <f t="shared" ca="1" si="2"/>
        <v>107.50307818469781</v>
      </c>
      <c r="N39" s="2">
        <f t="shared" ca="1" si="3"/>
        <v>-7.398000428447149E-2</v>
      </c>
      <c r="O39" s="2">
        <f>IF(Data!V39=0,"",Data!V39)</f>
        <v>-9.2617263697219204E-2</v>
      </c>
      <c r="P39" s="2">
        <f>IF(Data!W39=0,"",Data!W39)</f>
        <v>1.73195412642905E-2</v>
      </c>
      <c r="Q39" s="2">
        <f t="shared" ca="1" si="4"/>
        <v>0.85905487285152016</v>
      </c>
      <c r="R39" s="5">
        <f t="shared" ca="1" si="5"/>
        <v>0.52768798463800437</v>
      </c>
      <c r="S39" s="3">
        <f t="shared" ca="1" si="6"/>
        <v>3.9116974398666002</v>
      </c>
      <c r="T39" t="str">
        <f t="shared" ca="1" si="7"/>
        <v>996:437</v>
      </c>
    </row>
  </sheetData>
  <phoneticPr fontId="1" type="noConversion"/>
  <conditionalFormatting sqref="Q2:Q39">
    <cfRule type="colorScale" priority="4">
      <colorScale>
        <cfvo type="min"/>
        <cfvo type="percentile" val="50"/>
        <cfvo type="max"/>
        <color rgb="FF5A8AC6"/>
        <color rgb="FFFCFCFF"/>
        <color rgb="FFF8696B"/>
      </colorScale>
    </cfRule>
  </conditionalFormatting>
  <conditionalFormatting sqref="R2:R39">
    <cfRule type="cellIs" dxfId="1" priority="3" operator="greaterThan">
      <formula>0.6</formula>
    </cfRule>
  </conditionalFormatting>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9"/>
  <sheetViews>
    <sheetView workbookViewId="0">
      <selection activeCell="M27" sqref="M27"/>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3">
      <c r="A1" t="s">
        <v>115</v>
      </c>
      <c r="B1" t="s">
        <v>110</v>
      </c>
      <c r="C1" t="s">
        <v>109</v>
      </c>
      <c r="D1" t="s">
        <v>111</v>
      </c>
      <c r="E1" t="s">
        <v>112</v>
      </c>
      <c r="F1" t="s">
        <v>113</v>
      </c>
      <c r="G1" t="s">
        <v>114</v>
      </c>
      <c r="H1" s="2" t="s">
        <v>116</v>
      </c>
      <c r="I1" s="2" t="s">
        <v>117</v>
      </c>
      <c r="J1" s="2" t="s">
        <v>118</v>
      </c>
      <c r="K1" s="2" t="s">
        <v>119</v>
      </c>
      <c r="L1" s="44">
        <f>Data!X1</f>
        <v>43040</v>
      </c>
      <c r="M1" s="44">
        <f>Data!Y1</f>
        <v>43009</v>
      </c>
      <c r="N1" s="44">
        <f>Data!Z1</f>
        <v>42979</v>
      </c>
      <c r="O1" s="44">
        <f>Data!AA1</f>
        <v>42948</v>
      </c>
      <c r="P1" s="44">
        <f>Data!AB1</f>
        <v>42917</v>
      </c>
      <c r="Q1" s="44">
        <f>Data!AC1</f>
        <v>42887</v>
      </c>
      <c r="R1" s="44">
        <f>Data!AD1</f>
        <v>42856</v>
      </c>
      <c r="S1" s="44">
        <f>Data!AE1</f>
        <v>42826</v>
      </c>
      <c r="T1" s="44">
        <f>Data!AF1</f>
        <v>42795</v>
      </c>
      <c r="U1" s="44">
        <f>Data!AG1</f>
        <v>42767</v>
      </c>
      <c r="V1" s="44">
        <f>Data!AH1</f>
        <v>42736</v>
      </c>
      <c r="W1" s="44">
        <f>Data!AI1</f>
        <v>42705</v>
      </c>
    </row>
    <row r="2" spans="1:23">
      <c r="A2" s="1">
        <f>Data!A2</f>
        <v>43045</v>
      </c>
      <c r="B2" t="str">
        <f>Data!B2</f>
        <v>110030.SH</v>
      </c>
      <c r="C2" t="str">
        <f>Data!C2</f>
        <v>格力转债</v>
      </c>
      <c r="D2" t="str">
        <f>Data!E2</f>
        <v>600185.SH</v>
      </c>
      <c r="E2" t="str">
        <f>Data!F2</f>
        <v>格力地产</v>
      </c>
      <c r="F2" s="6">
        <f>Data!D2</f>
        <v>107.9415</v>
      </c>
      <c r="G2" s="6">
        <f>Data!N2</f>
        <v>104.81905077031401</v>
      </c>
      <c r="H2" s="2">
        <f t="shared" ref="H2" si="0">F2/G2-1</f>
        <v>2.9788947779427088E-2</v>
      </c>
      <c r="I2" s="2">
        <f>IF(Data!V2=0,"",Data!V2)</f>
        <v>3.0354022656349899E-2</v>
      </c>
      <c r="J2" s="2">
        <f>IF(Data!W2=0,"",Data!W2)</f>
        <v>5.3962622421590799E-2</v>
      </c>
      <c r="K2" s="2">
        <f>IFERROR(_xlfn.NORM.DIST(H2,I2,J2,TRUE),"")</f>
        <v>0.4958225132506468</v>
      </c>
      <c r="L2" s="2">
        <f>IF(Data!X2=0,"",Data!X2)</f>
        <v>2.7634862309762399E-2</v>
      </c>
      <c r="M2" s="2">
        <f>IF(Data!Y2=0,"",Data!Y2)</f>
        <v>1.9892937408283899E-2</v>
      </c>
      <c r="N2" s="2">
        <f>IF(Data!Z2=0,"",Data!Z2)</f>
        <v>-1.0961264297404899E-2</v>
      </c>
      <c r="O2" s="2">
        <f>IF(Data!AA2=0,"",Data!AA2)</f>
        <v>-4.3781538592947197E-3</v>
      </c>
      <c r="P2" s="2">
        <f>IF(Data!AB2=0,"",Data!AB2)</f>
        <v>-2.0273839675158601E-2</v>
      </c>
      <c r="Q2" s="2">
        <f>IF(Data!AC2=0,"",Data!AC2)</f>
        <v>-3.04512573384308E-2</v>
      </c>
      <c r="R2" s="2">
        <f>IF(Data!AD2=0,"",Data!AD2)</f>
        <v>-3.1669850990477602E-2</v>
      </c>
      <c r="S2" s="2">
        <f>IF(Data!AE2=0,"",Data!AE2)</f>
        <v>-1.1619019567989199E-3</v>
      </c>
      <c r="T2" s="2">
        <f>IF(Data!AF2=0,"",Data!AF2)</f>
        <v>9.6884113971332494E-2</v>
      </c>
      <c r="U2" s="2">
        <f>IF(Data!AG2=0,"",Data!AG2)</f>
        <v>0.10323886787727</v>
      </c>
      <c r="V2" s="2">
        <f>IF(Data!AH2=0,"",Data!AH2)</f>
        <v>8.8044548570667597E-2</v>
      </c>
      <c r="W2" s="2">
        <f>IF(Data!AI2=0,"",Data!AI2)</f>
        <v>7.6227689187124997E-2</v>
      </c>
    </row>
    <row r="3" spans="1:23">
      <c r="A3" s="1">
        <f>Data!A3</f>
        <v>43045</v>
      </c>
      <c r="B3" t="str">
        <f>Data!B3</f>
        <v>110031.SH</v>
      </c>
      <c r="C3" t="str">
        <f>Data!C3</f>
        <v>航信转债</v>
      </c>
      <c r="D3" t="str">
        <f>Data!E3</f>
        <v>600271.SH</v>
      </c>
      <c r="E3" t="str">
        <f>Data!F3</f>
        <v>航天信息</v>
      </c>
      <c r="F3" s="6">
        <f>Data!D3</f>
        <v>104.1645</v>
      </c>
      <c r="G3" s="6">
        <f>Data!N3</f>
        <v>94.165920209792304</v>
      </c>
      <c r="H3" s="2">
        <f t="shared" ref="H3:H39" si="1">F3/G3-1</f>
        <v>0.10618045008142918</v>
      </c>
      <c r="I3" s="2">
        <f>IF(Data!V3=0,"",Data!V3)</f>
        <v>0.117758883092854</v>
      </c>
      <c r="J3" s="2">
        <f>IF(Data!W3=0,"",Data!W3)</f>
        <v>2.6119259533629299E-2</v>
      </c>
      <c r="K3" s="2">
        <f t="shared" ref="K3:K39" si="2">IFERROR(_xlfn.NORM.DIST(H3,I3,J3,TRUE),"")</f>
        <v>0.32877762775483627</v>
      </c>
      <c r="L3" s="2">
        <f>IF(Data!X3=0,"",Data!X3)</f>
        <v>0.107918771248855</v>
      </c>
      <c r="M3" s="2">
        <f>IF(Data!Y3=0,"",Data!Y3)</f>
        <v>9.9957779334053296E-2</v>
      </c>
      <c r="N3" s="2">
        <f>IF(Data!Z3=0,"",Data!Z3)</f>
        <v>0.112726465494715</v>
      </c>
      <c r="O3" s="2">
        <f>IF(Data!AA3=0,"",Data!AA3)</f>
        <v>0.10834551636317601</v>
      </c>
      <c r="P3" s="2">
        <f>IF(Data!AB3=0,"",Data!AB3)</f>
        <v>9.44226492937046E-2</v>
      </c>
      <c r="Q3" s="2">
        <f>IF(Data!AC3=0,"",Data!AC3)</f>
        <v>8.9286288283602105E-2</v>
      </c>
      <c r="R3" s="2">
        <f>IF(Data!AD3=0,"",Data!AD3)</f>
        <v>8.5764960998125597E-2</v>
      </c>
      <c r="S3" s="2">
        <f>IF(Data!AE3=0,"",Data!AE3)</f>
        <v>0.10549494888123601</v>
      </c>
      <c r="T3" s="2">
        <f>IF(Data!AF3=0,"",Data!AF3)</f>
        <v>0.12625145832527901</v>
      </c>
      <c r="U3" s="2">
        <f>IF(Data!AG3=0,"",Data!AG3)</f>
        <v>0.143171296663132</v>
      </c>
      <c r="V3" s="2">
        <f>IF(Data!AH3=0,"",Data!AH3)</f>
        <v>0.13685014250619301</v>
      </c>
      <c r="W3" s="2">
        <f>IF(Data!AI3=0,"",Data!AI3)</f>
        <v>0.15621020818508699</v>
      </c>
    </row>
    <row r="4" spans="1:23">
      <c r="A4" s="1">
        <f>Data!A4</f>
        <v>43045</v>
      </c>
      <c r="B4" t="str">
        <f>Data!B4</f>
        <v>110032.SH</v>
      </c>
      <c r="C4" t="str">
        <f>Data!C4</f>
        <v>三一转债</v>
      </c>
      <c r="D4" t="str">
        <f>Data!E4</f>
        <v>600031.SH</v>
      </c>
      <c r="E4" t="str">
        <f>Data!F4</f>
        <v>三一重工</v>
      </c>
      <c r="F4" s="6">
        <f>Data!D4</f>
        <v>117.5595</v>
      </c>
      <c r="G4" s="6">
        <f>Data!N4</f>
        <v>119.810918565319</v>
      </c>
      <c r="H4" s="2">
        <f t="shared" si="1"/>
        <v>-1.879143063319022E-2</v>
      </c>
      <c r="I4" s="2">
        <f>IF(Data!V4=0,"",Data!V4)</f>
        <v>2.5807679952865601E-3</v>
      </c>
      <c r="J4" s="2">
        <f>IF(Data!W4=0,"",Data!W4)</f>
        <v>3.3077015300924502E-2</v>
      </c>
      <c r="K4" s="2">
        <f t="shared" si="2"/>
        <v>0.25909614777142537</v>
      </c>
      <c r="L4" s="2">
        <f>IF(Data!X4=0,"",Data!X4)</f>
        <v>-2.1029382877273999E-2</v>
      </c>
      <c r="M4" s="2">
        <f>IF(Data!Y4=0,"",Data!Y4)</f>
        <v>-1.9375318945349201E-2</v>
      </c>
      <c r="N4" s="2">
        <f>IF(Data!Z4=0,"",Data!Z4)</f>
        <v>5.5321884031630901E-3</v>
      </c>
      <c r="O4" s="2">
        <f>IF(Data!AA4=0,"",Data!AA4)</f>
        <v>2.2706218648471501E-3</v>
      </c>
      <c r="P4" s="2">
        <f>IF(Data!AB4=0,"",Data!AB4)</f>
        <v>3.1907251948297601E-3</v>
      </c>
      <c r="Q4" s="2">
        <f>IF(Data!AC4=0,"",Data!AC4)</f>
        <v>-9.6585676365306006E-3</v>
      </c>
      <c r="R4" s="2">
        <f>IF(Data!AD4=0,"",Data!AD4)</f>
        <v>-2.7918072858033102E-2</v>
      </c>
      <c r="S4" s="2">
        <f>IF(Data!AE4=0,"",Data!AE4)</f>
        <v>-3.2897547946851402E-2</v>
      </c>
      <c r="T4" s="2">
        <f>IF(Data!AF4=0,"",Data!AF4)</f>
        <v>-2.6464498115153098E-2</v>
      </c>
      <c r="U4" s="2">
        <f>IF(Data!AG4=0,"",Data!AG4)</f>
        <v>-9.9356990701386094E-3</v>
      </c>
      <c r="V4" s="2">
        <f>IF(Data!AH4=0,"",Data!AH4)</f>
        <v>1.73315978442776E-2</v>
      </c>
      <c r="W4" s="2">
        <f>IF(Data!AI4=0,"",Data!AI4)</f>
        <v>4.0998052924822601E-2</v>
      </c>
    </row>
    <row r="5" spans="1:23">
      <c r="A5" s="1">
        <f>Data!A5</f>
        <v>43045</v>
      </c>
      <c r="B5" t="str">
        <f>Data!B5</f>
        <v>110033.SH</v>
      </c>
      <c r="C5" t="str">
        <f>Data!C5</f>
        <v>国贸转债</v>
      </c>
      <c r="D5" t="str">
        <f>Data!E5</f>
        <v>600755.SH</v>
      </c>
      <c r="E5" t="str">
        <f>Data!F5</f>
        <v>厦门国贸</v>
      </c>
      <c r="F5" s="6">
        <f>Data!D5</f>
        <v>125.74079999999999</v>
      </c>
      <c r="G5" s="6">
        <f>Data!N5</f>
        <v>143.56778530773499</v>
      </c>
      <c r="H5" s="2">
        <f t="shared" si="1"/>
        <v>-0.12417120783414726</v>
      </c>
      <c r="I5" s="2">
        <f>IF(Data!V5=0,"",Data!V5)</f>
        <v>-2.80040368148371E-2</v>
      </c>
      <c r="J5" s="2">
        <f>IF(Data!W5=0,"",Data!W5)</f>
        <v>5.6953976392797201E-2</v>
      </c>
      <c r="K5" s="2">
        <f t="shared" si="2"/>
        <v>4.5657001474568713E-2</v>
      </c>
      <c r="L5" s="2">
        <f>IF(Data!X5=0,"",Data!X5)</f>
        <v>-0.12538192382572599</v>
      </c>
      <c r="M5" s="2">
        <f>IF(Data!Y5=0,"",Data!Y5)</f>
        <v>-0.128159204750458</v>
      </c>
      <c r="N5" s="2">
        <f>IF(Data!Z5=0,"",Data!Z5)</f>
        <v>-0.11651375448586999</v>
      </c>
      <c r="O5" s="2">
        <f>IF(Data!AA5=0,"",Data!AA5)</f>
        <v>-0.107690119450808</v>
      </c>
      <c r="P5" s="2">
        <f>IF(Data!AB5=0,"",Data!AB5)</f>
        <v>-1.65915885937701E-2</v>
      </c>
      <c r="Q5" s="2">
        <f>IF(Data!AC5=0,"",Data!AC5)</f>
        <v>2.08330946309668E-2</v>
      </c>
      <c r="R5" s="2">
        <f>IF(Data!AD5=0,"",Data!AD5)</f>
        <v>1.31325610552289E-3</v>
      </c>
      <c r="S5" s="2">
        <f>IF(Data!AE5=0,"",Data!AE5)</f>
        <v>7.2666148954844099E-3</v>
      </c>
      <c r="T5" s="2">
        <f>IF(Data!AF5=0,"",Data!AF5)</f>
        <v>1.66367923819098E-2</v>
      </c>
      <c r="U5" s="2">
        <f>IF(Data!AG5=0,"",Data!AG5)</f>
        <v>4.1707004143099304E-3</v>
      </c>
      <c r="V5" s="2">
        <f>IF(Data!AH5=0,"",Data!AH5)</f>
        <v>-1.5513835383906499E-3</v>
      </c>
      <c r="W5" s="2">
        <f>IF(Data!AI5=0,"",Data!AI5)</f>
        <v>-1.1840539833418E-2</v>
      </c>
    </row>
    <row r="6" spans="1:23">
      <c r="A6" s="1">
        <f>Data!A6</f>
        <v>43045</v>
      </c>
      <c r="B6" t="str">
        <f>Data!B6</f>
        <v>110034.SH</v>
      </c>
      <c r="C6" t="str">
        <f>Data!C6</f>
        <v>九州转债</v>
      </c>
      <c r="D6" t="str">
        <f>Data!E6</f>
        <v>600998.SH</v>
      </c>
      <c r="E6" t="str">
        <f>Data!F6</f>
        <v>九州通</v>
      </c>
      <c r="F6" s="6">
        <f>Data!D6</f>
        <v>120.5356</v>
      </c>
      <c r="G6" s="6">
        <f>Data!N6</f>
        <v>117.356151498949</v>
      </c>
      <c r="H6" s="2">
        <f t="shared" si="1"/>
        <v>2.7092303730490652E-2</v>
      </c>
      <c r="I6" s="2">
        <f>IF(Data!V6=0,"",Data!V6)</f>
        <v>1.6913218993359999E-2</v>
      </c>
      <c r="J6" s="2">
        <f>IF(Data!W6=0,"",Data!W6)</f>
        <v>4.5559275977844101E-2</v>
      </c>
      <c r="K6" s="2">
        <f t="shared" si="2"/>
        <v>0.58839765547556389</v>
      </c>
      <c r="L6" s="2">
        <f>IF(Data!X6=0,"",Data!X6)</f>
        <v>2.8395749253006801E-2</v>
      </c>
      <c r="M6" s="2">
        <f>IF(Data!Y6=0,"",Data!Y6)</f>
        <v>3.5226431580190502E-2</v>
      </c>
      <c r="N6" s="2">
        <f>IF(Data!Z6=0,"",Data!Z6)</f>
        <v>5.80812937159704E-2</v>
      </c>
      <c r="O6" s="2">
        <f>IF(Data!AA6=0,"",Data!AA6)</f>
        <v>7.5731588093123706E-2</v>
      </c>
      <c r="P6" s="2">
        <f>IF(Data!AB6=0,"",Data!AB6)</f>
        <v>6.2790335713550693E-2</v>
      </c>
      <c r="Q6" s="2">
        <f>IF(Data!AC6=0,"",Data!AC6)</f>
        <v>5.0165184670314202E-2</v>
      </c>
      <c r="R6" s="2">
        <f>IF(Data!AD6=0,"",Data!AD6)</f>
        <v>4.3768115058021799E-2</v>
      </c>
      <c r="S6" s="2">
        <f>IF(Data!AE6=0,"",Data!AE6)</f>
        <v>1.71739874024356E-2</v>
      </c>
      <c r="T6" s="2">
        <f>IF(Data!AF6=0,"",Data!AF6)</f>
        <v>2.7929296611342298E-3</v>
      </c>
      <c r="U6" s="2">
        <f>IF(Data!AG6=0,"",Data!AG6)</f>
        <v>-2.7387714531797801E-2</v>
      </c>
      <c r="V6" s="2">
        <f>IF(Data!AH6=0,"",Data!AH6)</f>
        <v>-4.4723948900385502E-2</v>
      </c>
      <c r="W6" s="2">
        <f>IF(Data!AI6=0,"",Data!AI6)</f>
        <v>-4.51705440148783E-2</v>
      </c>
    </row>
    <row r="7" spans="1:23">
      <c r="A7" s="1">
        <f>Data!A7</f>
        <v>43045</v>
      </c>
      <c r="B7" t="str">
        <f>Data!B7</f>
        <v>113008.SH</v>
      </c>
      <c r="C7" t="str">
        <f>Data!C7</f>
        <v>电气转债</v>
      </c>
      <c r="D7" t="str">
        <f>Data!E7</f>
        <v>601727.SH</v>
      </c>
      <c r="E7" t="str">
        <f>Data!F7</f>
        <v>上海电气</v>
      </c>
      <c r="F7" s="6">
        <f>Data!D7</f>
        <v>104.6284</v>
      </c>
      <c r="G7" s="6">
        <f>Data!N7</f>
        <v>105.08146302053299</v>
      </c>
      <c r="H7" s="2">
        <f t="shared" si="1"/>
        <v>-4.3115408513532127E-3</v>
      </c>
      <c r="I7" s="2">
        <f>IF(Data!V7=0,"",Data!V7)</f>
        <v>9.2595641915853705E-2</v>
      </c>
      <c r="J7" s="2">
        <f>IF(Data!W7=0,"",Data!W7)</f>
        <v>8.0855234134533105E-2</v>
      </c>
      <c r="K7" s="2">
        <f t="shared" si="2"/>
        <v>0.11535595535802155</v>
      </c>
      <c r="L7" s="2">
        <f>IF(Data!X7=0,"",Data!X7)</f>
        <v>-1.14436564616893E-2</v>
      </c>
      <c r="M7" s="2">
        <f>IF(Data!Y7=0,"",Data!Y7)</f>
        <v>-7.3539871712149998E-3</v>
      </c>
      <c r="N7" s="2">
        <f>IF(Data!Z7=0,"",Data!Z7)</f>
        <v>1.53783265912234E-2</v>
      </c>
      <c r="O7" s="2">
        <f>IF(Data!AA7=0,"",Data!AA7)</f>
        <v>2.9930886068292101E-2</v>
      </c>
      <c r="P7" s="2">
        <f>IF(Data!AB7=0,"",Data!AB7)</f>
        <v>2.5191565475939801E-2</v>
      </c>
      <c r="Q7" s="2">
        <f>IF(Data!AC7=0,"",Data!AC7)</f>
        <v>3.2724005836468902E-2</v>
      </c>
      <c r="R7" s="2">
        <f>IF(Data!AD7=0,"",Data!AD7)</f>
        <v>7.2400649633950695E-2</v>
      </c>
      <c r="S7" s="2">
        <f>IF(Data!AE7=0,"",Data!AE7)</f>
        <v>0.212094534929579</v>
      </c>
      <c r="T7" s="2">
        <f>IF(Data!AF7=0,"",Data!AF7)</f>
        <v>0.21066356385878901</v>
      </c>
      <c r="U7" s="2">
        <f>IF(Data!AG7=0,"",Data!AG7)</f>
        <v>0.20065239390584499</v>
      </c>
      <c r="V7" s="2">
        <f>IF(Data!AH7=0,"",Data!AH7)</f>
        <v>0.15364026627198499</v>
      </c>
      <c r="W7" s="2">
        <f>IF(Data!AI7=0,"",Data!AI7)</f>
        <v>0.124734384799171</v>
      </c>
    </row>
    <row r="8" spans="1:23">
      <c r="A8" s="1">
        <f>Data!A8</f>
        <v>43045</v>
      </c>
      <c r="B8" t="str">
        <f>Data!B8</f>
        <v>113009.SH</v>
      </c>
      <c r="C8" t="str">
        <f>Data!C8</f>
        <v>广汽转债</v>
      </c>
      <c r="D8" t="str">
        <f>Data!E8</f>
        <v>601238.SH</v>
      </c>
      <c r="E8" t="str">
        <f>Data!F8</f>
        <v>广汽集团</v>
      </c>
      <c r="F8" s="6">
        <f>Data!D8</f>
        <v>129.75409999999999</v>
      </c>
      <c r="G8" s="6">
        <f>Data!N8</f>
        <v>132.577484276848</v>
      </c>
      <c r="H8" s="2">
        <f t="shared" si="1"/>
        <v>-2.1296106893627709E-2</v>
      </c>
      <c r="I8" s="2">
        <f>IF(Data!V8=0,"",Data!V8)</f>
        <v>-3.7212950301725799E-2</v>
      </c>
      <c r="J8" s="2">
        <f>IF(Data!W8=0,"",Data!W8)</f>
        <v>2.5871927116519498E-2</v>
      </c>
      <c r="K8" s="2">
        <f t="shared" si="2"/>
        <v>0.73079421254428789</v>
      </c>
      <c r="L8" s="2">
        <f>IF(Data!X8=0,"",Data!X8)</f>
        <v>-1.96677404039328E-2</v>
      </c>
      <c r="M8" s="2">
        <f>IF(Data!Y8=0,"",Data!Y8)</f>
        <v>-2.2789366710340701E-2</v>
      </c>
      <c r="N8" s="2">
        <f>IF(Data!Z8=0,"",Data!Z8)</f>
        <v>-9.3772193673258893E-3</v>
      </c>
      <c r="O8" s="2">
        <f>IF(Data!AA8=0,"",Data!AA8)</f>
        <v>-5.6514070329380002E-3</v>
      </c>
      <c r="P8" s="2">
        <f>IF(Data!AB8=0,"",Data!AB8)</f>
        <v>-1.54576362306984E-2</v>
      </c>
      <c r="Q8" s="2">
        <f>IF(Data!AC8=0,"",Data!AC8)</f>
        <v>-2.1974969066178199E-2</v>
      </c>
      <c r="R8" s="2">
        <f>IF(Data!AD8=0,"",Data!AD8)</f>
        <v>-3.62120063089457E-2</v>
      </c>
      <c r="S8" s="2">
        <f>IF(Data!AE8=0,"",Data!AE8)</f>
        <v>-6.2818981136097005E-2</v>
      </c>
      <c r="T8" s="2">
        <f>IF(Data!AF8=0,"",Data!AF8)</f>
        <v>-5.4337955395968203E-2</v>
      </c>
      <c r="U8" s="2">
        <f>IF(Data!AG8=0,"",Data!AG8)</f>
        <v>-4.4135859392558201E-2</v>
      </c>
      <c r="V8" s="2">
        <f>IF(Data!AH8=0,"",Data!AH8)</f>
        <v>-3.6045155367441399E-2</v>
      </c>
      <c r="W8" s="2">
        <f>IF(Data!AI8=0,"",Data!AI8)</f>
        <v>-6.3210108200032297E-2</v>
      </c>
    </row>
    <row r="9" spans="1:23">
      <c r="A9" s="1">
        <f>Data!A9</f>
        <v>43045</v>
      </c>
      <c r="B9" t="str">
        <f>Data!B9</f>
        <v>113010.SH</v>
      </c>
      <c r="C9" t="str">
        <f>Data!C9</f>
        <v>江南转债</v>
      </c>
      <c r="D9" t="str">
        <f>Data!E9</f>
        <v>601199.SH</v>
      </c>
      <c r="E9" t="str">
        <f>Data!F9</f>
        <v>江南水务</v>
      </c>
      <c r="F9" s="6">
        <f>Data!D9</f>
        <v>104.1095</v>
      </c>
      <c r="G9" s="6">
        <f>Data!N9</f>
        <v>93.330763072046906</v>
      </c>
      <c r="H9" s="2">
        <f t="shared" si="1"/>
        <v>0.11548964749846102</v>
      </c>
      <c r="I9" s="2">
        <f>IF(Data!V9=0,"",Data!V9)</f>
        <v>5.5746530480187698E-2</v>
      </c>
      <c r="J9" s="2">
        <f>IF(Data!W9=0,"",Data!W9)</f>
        <v>4.1623833057429602E-2</v>
      </c>
      <c r="K9" s="2">
        <f t="shared" si="2"/>
        <v>0.92440065543158978</v>
      </c>
      <c r="L9" s="2">
        <f>IF(Data!X9=0,"",Data!X9)</f>
        <v>0.115896376115336</v>
      </c>
      <c r="M9" s="2">
        <f>IF(Data!Y9=0,"",Data!Y9)</f>
        <v>0.11051958627717701</v>
      </c>
      <c r="N9" s="2">
        <f>IF(Data!Z9=0,"",Data!Z9)</f>
        <v>0.116085290690794</v>
      </c>
      <c r="O9" s="2">
        <f>IF(Data!AA9=0,"",Data!AA9)</f>
        <v>0.102915100681899</v>
      </c>
      <c r="P9" s="2">
        <f>IF(Data!AB9=0,"",Data!AB9)</f>
        <v>7.9025109124654297E-2</v>
      </c>
      <c r="Q9" s="2">
        <f>IF(Data!AC9=0,"",Data!AC9)</f>
        <v>7.3368823751870996E-2</v>
      </c>
      <c r="R9" s="2">
        <f>IF(Data!AD9=0,"",Data!AD9)</f>
        <v>5.8847038593567699E-2</v>
      </c>
      <c r="S9" s="2">
        <f>IF(Data!AE9=0,"",Data!AE9)</f>
        <v>4.1164465596956697E-2</v>
      </c>
      <c r="T9" s="2">
        <f>IF(Data!AF9=0,"",Data!AF9)</f>
        <v>3.4759719637743797E-2</v>
      </c>
      <c r="U9" s="2">
        <f>IF(Data!AG9=0,"",Data!AG9)</f>
        <v>2.4969577108060401E-2</v>
      </c>
      <c r="V9" s="2">
        <f>IF(Data!AH9=0,"",Data!AH9)</f>
        <v>6.2745809165828904E-3</v>
      </c>
      <c r="W9" s="2">
        <f>IF(Data!AI9=0,"",Data!AI9)</f>
        <v>3.88261494179774E-3</v>
      </c>
    </row>
    <row r="10" spans="1:23">
      <c r="A10" s="1">
        <f>Data!A10</f>
        <v>43045</v>
      </c>
      <c r="B10" t="str">
        <f>Data!B10</f>
        <v>113011.SH</v>
      </c>
      <c r="C10" t="str">
        <f>Data!C10</f>
        <v>光大转债</v>
      </c>
      <c r="D10" t="str">
        <f>Data!E10</f>
        <v>601818.SH</v>
      </c>
      <c r="E10" t="str">
        <f>Data!F10</f>
        <v>光大银行</v>
      </c>
      <c r="F10" s="6">
        <f>Data!D10</f>
        <v>108.21120000000001</v>
      </c>
      <c r="G10" s="6">
        <f>Data!N10</f>
        <v>97.584715433777802</v>
      </c>
      <c r="H10" s="2">
        <f t="shared" si="1"/>
        <v>0.10889496904290774</v>
      </c>
      <c r="I10" s="2">
        <f>IF(Data!V10=0,"",Data!V10)</f>
        <v>8.9090848853772803E-2</v>
      </c>
      <c r="J10" s="2">
        <f>IF(Data!W10=0,"",Data!W10)</f>
        <v>4.0995526976325102E-2</v>
      </c>
      <c r="K10" s="2">
        <f t="shared" si="2"/>
        <v>0.68548054169760775</v>
      </c>
      <c r="L10" s="2">
        <f>IF(Data!X10=0,"",Data!X10)</f>
        <v>0.112194272247457</v>
      </c>
      <c r="M10" s="2">
        <f>IF(Data!Y10=0,"",Data!Y10)</f>
        <v>0.122554618501012</v>
      </c>
      <c r="N10" s="2">
        <f>IF(Data!Z10=0,"",Data!Z10)</f>
        <v>0.13321186119505901</v>
      </c>
      <c r="O10" s="2">
        <f>IF(Data!AA10=0,"",Data!AA10)</f>
        <v>0.13210190967027799</v>
      </c>
      <c r="P10" s="2">
        <f>IF(Data!AB10=0,"",Data!AB10)</f>
        <v>9.1102636119196598E-2</v>
      </c>
      <c r="Q10" s="2">
        <f>IF(Data!AC10=0,"",Data!AC10)</f>
        <v>7.7883220168339207E-2</v>
      </c>
      <c r="R10" s="2">
        <f>IF(Data!AD10=0,"",Data!AD10)</f>
        <v>5.7443944003936202E-2</v>
      </c>
      <c r="S10" s="2">
        <f>IF(Data!AE10=0,"",Data!AE10)</f>
        <v>4.6845667659117497E-2</v>
      </c>
      <c r="T10" s="2">
        <f>IF(Data!AF10=0,"",Data!AF10)</f>
        <v>5.2505352112612498E-5</v>
      </c>
      <c r="U10" s="2" t="str">
        <f>IF(Data!AG10=0,"",Data!AG10)</f>
        <v/>
      </c>
      <c r="V10" s="2" t="str">
        <f>IF(Data!AH10=0,"",Data!AH10)</f>
        <v/>
      </c>
      <c r="W10" s="2" t="str">
        <f>IF(Data!AI10=0,"",Data!AI10)</f>
        <v/>
      </c>
    </row>
    <row r="11" spans="1:23">
      <c r="A11" s="1">
        <f>Data!A11</f>
        <v>43045</v>
      </c>
      <c r="B11" t="str">
        <f>Data!B11</f>
        <v>113012.SH</v>
      </c>
      <c r="C11" t="str">
        <f>Data!C11</f>
        <v>骆驼转债</v>
      </c>
      <c r="D11" t="str">
        <f>Data!E11</f>
        <v>601311.SH</v>
      </c>
      <c r="E11" t="str">
        <f>Data!F11</f>
        <v>骆驼股份</v>
      </c>
      <c r="F11" s="6">
        <f>Data!D11</f>
        <v>105.9226</v>
      </c>
      <c r="G11" s="6">
        <f>Data!N11</f>
        <v>101.336308109642</v>
      </c>
      <c r="H11" s="2">
        <f t="shared" si="1"/>
        <v>4.5258130831012711E-2</v>
      </c>
      <c r="I11" s="2">
        <f>IF(Data!V11=0,"",Data!V11)</f>
        <v>5.6925943059193497E-2</v>
      </c>
      <c r="J11" s="2">
        <f>IF(Data!W11=0,"",Data!W11)</f>
        <v>5.6036984989803897E-2</v>
      </c>
      <c r="K11" s="2">
        <f t="shared" si="2"/>
        <v>0.41753005106684088</v>
      </c>
      <c r="L11" s="2">
        <f>IF(Data!X11=0,"",Data!X11)</f>
        <v>5.53051255762445E-2</v>
      </c>
      <c r="M11" s="2">
        <f>IF(Data!Y11=0,"",Data!Y11)</f>
        <v>5.2038638911473901E-2</v>
      </c>
      <c r="N11" s="2">
        <f>IF(Data!Z11=0,"",Data!Z11)</f>
        <v>7.5643002553533303E-2</v>
      </c>
      <c r="O11" s="2">
        <f>IF(Data!AA11=0,"",Data!AA11)</f>
        <v>0.125759741792318</v>
      </c>
      <c r="P11" s="2">
        <f>IF(Data!AB11=0,"",Data!AB11)</f>
        <v>8.9864163856767196E-2</v>
      </c>
      <c r="Q11" s="2">
        <f>IF(Data!AC11=0,"",Data!AC11)</f>
        <v>6.2618797135403095E-2</v>
      </c>
      <c r="R11" s="2">
        <f>IF(Data!AD11=0,"",Data!AD11)</f>
        <v>4.2403767648642302E-2</v>
      </c>
      <c r="S11" s="2">
        <f>IF(Data!AE11=0,"",Data!AE11)</f>
        <v>-2.9795562221697301E-2</v>
      </c>
      <c r="T11" s="2">
        <f>IF(Data!AF11=0,"",Data!AF11)</f>
        <v>-8.5104557433903993E-2</v>
      </c>
      <c r="U11" s="2" t="str">
        <f>IF(Data!AG11=0,"",Data!AG11)</f>
        <v/>
      </c>
      <c r="V11" s="2" t="str">
        <f>IF(Data!AH11=0,"",Data!AH11)</f>
        <v/>
      </c>
      <c r="W11" s="2" t="str">
        <f>IF(Data!AI11=0,"",Data!AI11)</f>
        <v/>
      </c>
    </row>
    <row r="12" spans="1:23">
      <c r="A12" s="1">
        <f>Data!A12</f>
        <v>43045</v>
      </c>
      <c r="B12" t="str">
        <f>Data!B12</f>
        <v>113013.SH</v>
      </c>
      <c r="C12" t="str">
        <f>Data!C12</f>
        <v>国君转债</v>
      </c>
      <c r="D12" t="str">
        <f>Data!E12</f>
        <v>601211.SH</v>
      </c>
      <c r="E12" t="str">
        <f>Data!F12</f>
        <v>国泰君安</v>
      </c>
      <c r="F12" s="6">
        <f>Data!D12</f>
        <v>115.93259999999999</v>
      </c>
      <c r="G12" s="6">
        <f>Data!N12</f>
        <v>106.246424179898</v>
      </c>
      <c r="H12" s="2">
        <f t="shared" si="1"/>
        <v>9.1167075926256391E-2</v>
      </c>
      <c r="I12" s="2">
        <f>IF(Data!V12=0,"",Data!V12)</f>
        <v>0.114698384125203</v>
      </c>
      <c r="J12" s="2">
        <f>IF(Data!W12=0,"",Data!W12)</f>
        <v>6.5933796733864097E-2</v>
      </c>
      <c r="K12" s="2">
        <f t="shared" si="2"/>
        <v>0.36058596828388989</v>
      </c>
      <c r="L12" s="2">
        <f>IF(Data!X12=0,"",Data!X12)</f>
        <v>9.33085258063827E-2</v>
      </c>
      <c r="M12" s="2">
        <f>IF(Data!Y12=0,"",Data!Y12)</f>
        <v>0.11737195646956</v>
      </c>
      <c r="N12" s="2">
        <f>IF(Data!Z12=0,"",Data!Z12)</f>
        <v>0.13461067960787701</v>
      </c>
      <c r="O12" s="2">
        <f>IF(Data!AA12=0,"",Data!AA12)</f>
        <v>0.167449752817632</v>
      </c>
      <c r="P12" s="2">
        <f>IF(Data!AB12=0,"",Data!AB12)</f>
        <v>2.1090679322802099E-2</v>
      </c>
      <c r="Q12" s="2" t="str">
        <f>IF(Data!AC12=0,"",Data!AC12)</f>
        <v/>
      </c>
      <c r="R12" s="2" t="str">
        <f>IF(Data!AD12=0,"",Data!AD12)</f>
        <v/>
      </c>
      <c r="S12" s="2" t="str">
        <f>IF(Data!AE12=0,"",Data!AE12)</f>
        <v/>
      </c>
      <c r="T12" s="2" t="str">
        <f>IF(Data!AF12=0,"",Data!AF12)</f>
        <v/>
      </c>
      <c r="U12" s="2" t="str">
        <f>IF(Data!AG12=0,"",Data!AG12)</f>
        <v/>
      </c>
      <c r="V12" s="2" t="str">
        <f>IF(Data!AH12=0,"",Data!AH12)</f>
        <v/>
      </c>
      <c r="W12" s="2" t="str">
        <f>IF(Data!AI12=0,"",Data!AI12)</f>
        <v/>
      </c>
    </row>
    <row r="13" spans="1:23">
      <c r="A13" s="1">
        <f>Data!A13</f>
        <v>43045</v>
      </c>
      <c r="B13" t="str">
        <f>Data!B13</f>
        <v>113014.SH</v>
      </c>
      <c r="C13" t="str">
        <f>Data!C13</f>
        <v>林洋转债</v>
      </c>
      <c r="D13" t="str">
        <f>Data!E13</f>
        <v>601222.SH</v>
      </c>
      <c r="E13" t="str">
        <f>Data!F13</f>
        <v>林洋能源</v>
      </c>
      <c r="F13" s="6">
        <f>Data!D13</f>
        <v>99.991</v>
      </c>
      <c r="G13" s="6">
        <f>Data!N13</f>
        <v>113.390814227535</v>
      </c>
      <c r="H13" s="2">
        <f t="shared" si="1"/>
        <v>-0.11817371908668317</v>
      </c>
      <c r="I13" s="2">
        <f>IF(Data!V13=0,"",Data!V13)</f>
        <v>-0.117922280110116</v>
      </c>
      <c r="J13" s="2">
        <f>IF(Data!W13=0,"",Data!W13)</f>
        <v>8.46963474246442E-3</v>
      </c>
      <c r="K13" s="2">
        <f t="shared" si="2"/>
        <v>0.48815829614058814</v>
      </c>
      <c r="L13" s="2">
        <f>IF(Data!X13=0,"",Data!X13)</f>
        <v>-0.11347763924807901</v>
      </c>
      <c r="M13" s="2">
        <f>IF(Data!Y13=0,"",Data!Y13)</f>
        <v>-0.123848467926165</v>
      </c>
      <c r="N13" s="2" t="str">
        <f>IF(Data!Z13=0,"",Data!Z13)</f>
        <v/>
      </c>
      <c r="O13" s="2" t="str">
        <f>IF(Data!AA13=0,"",Data!AA13)</f>
        <v/>
      </c>
      <c r="P13" s="2" t="str">
        <f>IF(Data!AB13=0,"",Data!AB13)</f>
        <v/>
      </c>
      <c r="Q13" s="2" t="str">
        <f>IF(Data!AC13=0,"",Data!AC13)</f>
        <v/>
      </c>
      <c r="R13" s="2" t="str">
        <f>IF(Data!AD13=0,"",Data!AD13)</f>
        <v/>
      </c>
      <c r="S13" s="2" t="str">
        <f>IF(Data!AE13=0,"",Data!AE13)</f>
        <v/>
      </c>
      <c r="T13" s="2" t="str">
        <f>IF(Data!AF13=0,"",Data!AF13)</f>
        <v/>
      </c>
      <c r="U13" s="2" t="str">
        <f>IF(Data!AG13=0,"",Data!AG13)</f>
        <v/>
      </c>
      <c r="V13" s="2" t="str">
        <f>IF(Data!AH13=0,"",Data!AH13)</f>
        <v/>
      </c>
      <c r="W13" s="2" t="str">
        <f>IF(Data!AI13=0,"",Data!AI13)</f>
        <v/>
      </c>
    </row>
    <row r="14" spans="1:23">
      <c r="A14" s="1">
        <f>Data!A14</f>
        <v>43045</v>
      </c>
      <c r="B14" t="str">
        <f>Data!B14</f>
        <v>113015.SH</v>
      </c>
      <c r="C14" t="str">
        <f>Data!C14</f>
        <v>隆基转债</v>
      </c>
      <c r="D14" t="str">
        <f>Data!E14</f>
        <v>601012.SH</v>
      </c>
      <c r="E14" t="str">
        <f>Data!F14</f>
        <v>隆基股份</v>
      </c>
      <c r="F14" s="6">
        <f>Data!D14</f>
        <v>99.995900000000006</v>
      </c>
      <c r="G14" s="6">
        <f>Data!N14</f>
        <v>129.39633447915699</v>
      </c>
      <c r="H14" s="2">
        <f t="shared" si="1"/>
        <v>-0.2272122668505171</v>
      </c>
      <c r="I14" s="2">
        <f>IF(Data!V14=0,"",Data!V14)</f>
        <v>-0.204394970496178</v>
      </c>
      <c r="J14" s="2">
        <f>IF(Data!W14=0,"",Data!W14)</f>
        <v>1.9830046723074202E-2</v>
      </c>
      <c r="K14" s="2">
        <f t="shared" si="2"/>
        <v>0.12493965159947801</v>
      </c>
      <c r="L14" s="2">
        <f>IF(Data!X14=0,"",Data!X14)</f>
        <v>-0.204394970496178</v>
      </c>
      <c r="M14" s="2" t="str">
        <f>IF(Data!Y14=0,"",Data!Y14)</f>
        <v/>
      </c>
      <c r="N14" s="2" t="str">
        <f>IF(Data!Z14=0,"",Data!Z14)</f>
        <v/>
      </c>
      <c r="O14" s="2" t="str">
        <f>IF(Data!AA14=0,"",Data!AA14)</f>
        <v/>
      </c>
      <c r="P14" s="2" t="str">
        <f>IF(Data!AB14=0,"",Data!AB14)</f>
        <v/>
      </c>
      <c r="Q14" s="2" t="str">
        <f>IF(Data!AC14=0,"",Data!AC14)</f>
        <v/>
      </c>
      <c r="R14" s="2" t="str">
        <f>IF(Data!AD14=0,"",Data!AD14)</f>
        <v/>
      </c>
      <c r="S14" s="2" t="str">
        <f>IF(Data!AE14=0,"",Data!AE14)</f>
        <v/>
      </c>
      <c r="T14" s="2" t="str">
        <f>IF(Data!AF14=0,"",Data!AF14)</f>
        <v/>
      </c>
      <c r="U14" s="2" t="str">
        <f>IF(Data!AG14=0,"",Data!AG14)</f>
        <v/>
      </c>
      <c r="V14" s="2" t="str">
        <f>IF(Data!AH14=0,"",Data!AH14)</f>
        <v/>
      </c>
      <c r="W14" s="2" t="str">
        <f>IF(Data!AI14=0,"",Data!AI14)</f>
        <v/>
      </c>
    </row>
    <row r="15" spans="1:23">
      <c r="A15" s="1">
        <f>Data!A15</f>
        <v>43045</v>
      </c>
      <c r="B15" t="str">
        <f>Data!B15</f>
        <v>113016.SH</v>
      </c>
      <c r="C15" t="str">
        <f>Data!C15</f>
        <v>小康转债</v>
      </c>
      <c r="D15" t="str">
        <f>Data!E15</f>
        <v>601127.SH</v>
      </c>
      <c r="E15" t="str">
        <f>Data!F15</f>
        <v>小康转债</v>
      </c>
      <c r="F15" s="6">
        <f>Data!D15</f>
        <v>99.999200000000002</v>
      </c>
      <c r="G15" s="6">
        <f>Data!N15</f>
        <v>126.68646802771001</v>
      </c>
      <c r="H15" s="2">
        <f t="shared" si="1"/>
        <v>-0.21065602698681851</v>
      </c>
      <c r="I15" s="2">
        <f>IF(Data!V15=0,"",Data!V15)</f>
        <v>-0.21073071186641401</v>
      </c>
      <c r="J15" s="2" t="str">
        <f>IF(Data!W15=0,"",Data!W15)</f>
        <v>NA</v>
      </c>
      <c r="K15" s="2" t="str">
        <f t="shared" si="2"/>
        <v/>
      </c>
      <c r="L15" s="2">
        <f>IF(Data!X15=0,"",Data!X15)</f>
        <v>-0.21073071186641401</v>
      </c>
      <c r="M15" s="2" t="str">
        <f>IF(Data!Y15=0,"",Data!Y15)</f>
        <v/>
      </c>
      <c r="N15" s="2" t="str">
        <f>IF(Data!Z15=0,"",Data!Z15)</f>
        <v/>
      </c>
      <c r="O15" s="2" t="str">
        <f>IF(Data!AA15=0,"",Data!AA15)</f>
        <v/>
      </c>
      <c r="P15" s="2" t="str">
        <f>IF(Data!AB15=0,"",Data!AB15)</f>
        <v/>
      </c>
      <c r="Q15" s="2" t="str">
        <f>IF(Data!AC15=0,"",Data!AC15)</f>
        <v/>
      </c>
      <c r="R15" s="2" t="str">
        <f>IF(Data!AD15=0,"",Data!AD15)</f>
        <v/>
      </c>
      <c r="S15" s="2" t="str">
        <f>IF(Data!AE15=0,"",Data!AE15)</f>
        <v/>
      </c>
      <c r="T15" s="2" t="str">
        <f>IF(Data!AF15=0,"",Data!AF15)</f>
        <v/>
      </c>
      <c r="U15" s="2" t="str">
        <f>IF(Data!AG15=0,"",Data!AG15)</f>
        <v/>
      </c>
      <c r="V15" s="2" t="str">
        <f>IF(Data!AH15=0,"",Data!AH15)</f>
        <v/>
      </c>
      <c r="W15" s="2" t="str">
        <f>IF(Data!AI15=0,"",Data!AI15)</f>
        <v/>
      </c>
    </row>
    <row r="16" spans="1:23">
      <c r="A16" s="1">
        <f>Data!A16</f>
        <v>43045</v>
      </c>
      <c r="B16" t="str">
        <f>Data!B16</f>
        <v>120001.SZ</v>
      </c>
      <c r="C16" t="str">
        <f>Data!C16</f>
        <v>16以岭EB</v>
      </c>
      <c r="D16" t="str">
        <f>Data!E16</f>
        <v>002603.SZ</v>
      </c>
      <c r="E16" t="str">
        <f>Data!F16</f>
        <v>以岭药业</v>
      </c>
      <c r="F16" s="6">
        <f>Data!D16</f>
        <v>107.4928</v>
      </c>
      <c r="G16" s="6">
        <f>Data!N16</f>
        <v>105.49708533655701</v>
      </c>
      <c r="H16" s="2">
        <f t="shared" si="1"/>
        <v>1.891724929723182E-2</v>
      </c>
      <c r="I16" s="2">
        <f>IF(Data!V16=0,"",Data!V16)</f>
        <v>3.0193652386296499E-4</v>
      </c>
      <c r="J16" s="2">
        <f>IF(Data!W16=0,"",Data!W16)</f>
        <v>2.0392506781258399E-2</v>
      </c>
      <c r="K16" s="2">
        <f t="shared" si="2"/>
        <v>0.81933944845467976</v>
      </c>
      <c r="L16" s="2">
        <f>IF(Data!X16=0,"",Data!X16)</f>
        <v>2.20349066919375E-2</v>
      </c>
      <c r="M16" s="2">
        <f>IF(Data!Y16=0,"",Data!Y16)</f>
        <v>1.1869153258163E-2</v>
      </c>
      <c r="N16" s="2">
        <f>IF(Data!Z16=0,"",Data!Z16)</f>
        <v>1.53263298555805E-2</v>
      </c>
      <c r="O16" s="2">
        <f>IF(Data!AA16=0,"",Data!AA16)</f>
        <v>2.6246758100307199E-2</v>
      </c>
      <c r="P16" s="2">
        <f>IF(Data!AB16=0,"",Data!AB16)</f>
        <v>4.0400623057097402E-3</v>
      </c>
      <c r="Q16" s="2">
        <f>IF(Data!AC16=0,"",Data!AC16)</f>
        <v>-2.0632804912399201E-3</v>
      </c>
      <c r="R16" s="2">
        <f>IF(Data!AD16=0,"",Data!AD16)</f>
        <v>-2.4286663030540601E-2</v>
      </c>
      <c r="S16" s="2">
        <f>IF(Data!AE16=0,"",Data!AE16)</f>
        <v>-2.57235212355615E-2</v>
      </c>
      <c r="T16" s="2">
        <f>IF(Data!AF16=0,"",Data!AF16)</f>
        <v>-2.2268732479479601E-2</v>
      </c>
      <c r="U16" s="2">
        <f>IF(Data!AG16=0,"",Data!AG16)</f>
        <v>-1.5092781201492299E-3</v>
      </c>
      <c r="V16" s="2">
        <f>IF(Data!AH16=0,"",Data!AH16)</f>
        <v>6.18735979660988E-4</v>
      </c>
      <c r="W16" s="2">
        <f>IF(Data!AI16=0,"",Data!AI16)</f>
        <v>-1.4578841835068501E-2</v>
      </c>
    </row>
    <row r="17" spans="1:23">
      <c r="A17" s="1">
        <f>Data!A17</f>
        <v>43045</v>
      </c>
      <c r="B17" t="str">
        <f>Data!B17</f>
        <v>123001.SZ</v>
      </c>
      <c r="C17" t="str">
        <f>Data!C17</f>
        <v>蓝标转债</v>
      </c>
      <c r="D17" t="str">
        <f>Data!E17</f>
        <v>300058.SZ</v>
      </c>
      <c r="E17" t="str">
        <f>Data!F17</f>
        <v>蓝色光标</v>
      </c>
      <c r="F17" s="6">
        <f>Data!D17</f>
        <v>101.37860000000001</v>
      </c>
      <c r="G17" s="6">
        <f>Data!N17</f>
        <v>103.424987610344</v>
      </c>
      <c r="H17" s="2">
        <f t="shared" si="1"/>
        <v>-1.9786201164981643E-2</v>
      </c>
      <c r="I17" s="2">
        <f>IF(Data!V17=0,"",Data!V17)</f>
        <v>3.6654283977187702E-2</v>
      </c>
      <c r="J17" s="2">
        <f>IF(Data!W17=0,"",Data!W17)</f>
        <v>3.2600704944635302E-2</v>
      </c>
      <c r="K17" s="2">
        <f t="shared" si="2"/>
        <v>4.1702185179736846E-2</v>
      </c>
      <c r="L17" s="2">
        <f>IF(Data!X17=0,"",Data!X17)</f>
        <v>-2.3670591061301999E-2</v>
      </c>
      <c r="M17" s="2">
        <f>IF(Data!Y17=0,"",Data!Y17)</f>
        <v>-8.6159293955832099E-3</v>
      </c>
      <c r="N17" s="2">
        <f>IF(Data!Z17=0,"",Data!Z17)</f>
        <v>2.4153531631704198E-2</v>
      </c>
      <c r="O17" s="2">
        <f>IF(Data!AA17=0,"",Data!AA17)</f>
        <v>2.99830295806813E-2</v>
      </c>
      <c r="P17" s="2">
        <f>IF(Data!AB17=0,"",Data!AB17)</f>
        <v>2.2465812762101699E-2</v>
      </c>
      <c r="Q17" s="2">
        <f>IF(Data!AC17=0,"",Data!AC17)</f>
        <v>-1.4616195718969899E-2</v>
      </c>
      <c r="R17" s="2">
        <f>IF(Data!AD17=0,"",Data!AD17)</f>
        <v>9.1875090120239603E-2</v>
      </c>
      <c r="S17" s="2">
        <f>IF(Data!AE17=0,"",Data!AE17)</f>
        <v>5.6981806769574303E-2</v>
      </c>
      <c r="T17" s="2">
        <f>IF(Data!AF17=0,"",Data!AF17)</f>
        <v>5.7140238301467403E-2</v>
      </c>
      <c r="U17" s="2">
        <f>IF(Data!AG17=0,"",Data!AG17)</f>
        <v>6.6933041573307803E-2</v>
      </c>
      <c r="V17" s="2">
        <f>IF(Data!AH17=0,"",Data!AH17)</f>
        <v>5.2907043100345101E-2</v>
      </c>
      <c r="W17" s="2">
        <f>IF(Data!AI17=0,"",Data!AI17)</f>
        <v>5.5642577714212597E-2</v>
      </c>
    </row>
    <row r="18" spans="1:23">
      <c r="A18" s="1">
        <f>Data!A18</f>
        <v>43045</v>
      </c>
      <c r="B18" t="str">
        <f>Data!B18</f>
        <v>127003.SZ</v>
      </c>
      <c r="C18" t="str">
        <f>Data!C18</f>
        <v>海印转债</v>
      </c>
      <c r="D18" t="str">
        <f>Data!E18</f>
        <v>000861.SZ</v>
      </c>
      <c r="E18" t="str">
        <f>Data!F18</f>
        <v>海印股份</v>
      </c>
      <c r="F18" s="6">
        <f>Data!D18</f>
        <v>99.458500000000001</v>
      </c>
      <c r="G18" s="6">
        <f>Data!N18</f>
        <v>96.153711379723703</v>
      </c>
      <c r="H18" s="2">
        <f t="shared" si="1"/>
        <v>3.4369849825403476E-2</v>
      </c>
      <c r="I18" s="2">
        <f>IF(Data!V18=0,"",Data!V18)</f>
        <v>1.6890543932478901E-2</v>
      </c>
      <c r="J18" s="2">
        <f>IF(Data!W18=0,"",Data!W18)</f>
        <v>3.2723605624780702E-2</v>
      </c>
      <c r="K18" s="2">
        <f t="shared" si="2"/>
        <v>0.70338103539828523</v>
      </c>
      <c r="L18" s="2">
        <f>IF(Data!X18=0,"",Data!X18)</f>
        <v>3.28239151796225E-2</v>
      </c>
      <c r="M18" s="2">
        <f>IF(Data!Y18=0,"",Data!Y18)</f>
        <v>2.9767956982256101E-2</v>
      </c>
      <c r="N18" s="2">
        <f>IF(Data!Z18=0,"",Data!Z18)</f>
        <v>3.9176876788135903E-2</v>
      </c>
      <c r="O18" s="2">
        <f>IF(Data!AA18=0,"",Data!AA18)</f>
        <v>5.7702007998549201E-2</v>
      </c>
      <c r="P18" s="2">
        <f>IF(Data!AB18=0,"",Data!AB18)</f>
        <v>4.6831294491699003E-2</v>
      </c>
      <c r="Q18" s="2">
        <f>IF(Data!AC18=0,"",Data!AC18)</f>
        <v>4.1150705481538902E-2</v>
      </c>
      <c r="R18" s="2">
        <f>IF(Data!AD18=0,"",Data!AD18)</f>
        <v>3.2169941616508199E-2</v>
      </c>
      <c r="S18" s="2">
        <f>IF(Data!AE18=0,"",Data!AE18)</f>
        <v>2.6905879711187301E-2</v>
      </c>
      <c r="T18" s="2">
        <f>IF(Data!AF18=0,"",Data!AF18)</f>
        <v>1.7587899416392001E-2</v>
      </c>
      <c r="U18" s="2">
        <f>IF(Data!AG18=0,"",Data!AG18)</f>
        <v>-1.5996315409168599E-2</v>
      </c>
      <c r="V18" s="2">
        <f>IF(Data!AH18=0,"",Data!AH18)</f>
        <v>-3.8395476834651998E-2</v>
      </c>
      <c r="W18" s="2">
        <f>IF(Data!AI18=0,"",Data!AI18)</f>
        <v>-3.1686096473227898E-2</v>
      </c>
    </row>
    <row r="19" spans="1:23">
      <c r="A19" s="1">
        <f>Data!A19</f>
        <v>43045</v>
      </c>
      <c r="B19" t="str">
        <f>Data!B19</f>
        <v>127004.SZ</v>
      </c>
      <c r="C19" t="str">
        <f>Data!C19</f>
        <v>模塑转债</v>
      </c>
      <c r="D19" t="str">
        <f>Data!E19</f>
        <v>000700.SZ</v>
      </c>
      <c r="E19" t="str">
        <f>Data!F19</f>
        <v>模塑科技</v>
      </c>
      <c r="F19" s="6">
        <f>Data!D19</f>
        <v>102.8436</v>
      </c>
      <c r="G19" s="6">
        <f>Data!N19</f>
        <v>105.760034973042</v>
      </c>
      <c r="H19" s="2">
        <f t="shared" si="1"/>
        <v>-2.7575964529374386E-2</v>
      </c>
      <c r="I19" s="2">
        <f>IF(Data!V19=0,"",Data!V19)</f>
        <v>-2.0454718427935701E-2</v>
      </c>
      <c r="J19" s="2">
        <f>IF(Data!W19=0,"",Data!W19)</f>
        <v>3.0183270608682301E-2</v>
      </c>
      <c r="K19" s="2">
        <f t="shared" si="2"/>
        <v>0.40674211802415777</v>
      </c>
      <c r="L19" s="2">
        <f>IF(Data!X19=0,"",Data!X19)</f>
        <v>-2.1935150907121701E-2</v>
      </c>
      <c r="M19" s="2">
        <f>IF(Data!Y19=0,"",Data!Y19)</f>
        <v>-2.3692799601462498E-2</v>
      </c>
      <c r="N19" s="2">
        <f>IF(Data!Z19=0,"",Data!Z19)</f>
        <v>-1.68484114182901E-3</v>
      </c>
      <c r="O19" s="2">
        <f>IF(Data!AA19=0,"",Data!AA19)</f>
        <v>1.9306418684968301E-3</v>
      </c>
      <c r="P19" s="2">
        <f>IF(Data!AB19=0,"",Data!AB19)</f>
        <v>-2.1765643666843301E-2</v>
      </c>
      <c r="Q19" s="2">
        <f>IF(Data!AC19=0,"",Data!AC19)</f>
        <v>-5.9527678901384898E-2</v>
      </c>
      <c r="R19" s="2" t="str">
        <f>IF(Data!AD19=0,"",Data!AD19)</f>
        <v/>
      </c>
      <c r="S19" s="2" t="str">
        <f>IF(Data!AE19=0,"",Data!AE19)</f>
        <v/>
      </c>
      <c r="T19" s="2" t="str">
        <f>IF(Data!AF19=0,"",Data!AF19)</f>
        <v/>
      </c>
      <c r="U19" s="2" t="str">
        <f>IF(Data!AG19=0,"",Data!AG19)</f>
        <v/>
      </c>
      <c r="V19" s="2" t="str">
        <f>IF(Data!AH19=0,"",Data!AH19)</f>
        <v/>
      </c>
      <c r="W19" s="2" t="str">
        <f>IF(Data!AI19=0,"",Data!AI19)</f>
        <v/>
      </c>
    </row>
    <row r="20" spans="1:23">
      <c r="A20" s="1">
        <f>Data!A20</f>
        <v>43045</v>
      </c>
      <c r="B20" t="str">
        <f>Data!B20</f>
        <v>128010.SZ</v>
      </c>
      <c r="C20" t="str">
        <f>Data!C20</f>
        <v>顺昌转债</v>
      </c>
      <c r="D20" t="str">
        <f>Data!E20</f>
        <v>002245.SZ</v>
      </c>
      <c r="E20" t="str">
        <f>Data!F20</f>
        <v>澳洋顺昌</v>
      </c>
      <c r="F20" s="6">
        <f>Data!D20</f>
        <v>116.4448</v>
      </c>
      <c r="G20" s="6">
        <f>Data!N20</f>
        <v>121.001059571281</v>
      </c>
      <c r="H20" s="2">
        <f t="shared" si="1"/>
        <v>-3.7654708044907115E-2</v>
      </c>
      <c r="I20" s="2">
        <f>IF(Data!V20=0,"",Data!V20)</f>
        <v>-3.6111533920296097E-2</v>
      </c>
      <c r="J20" s="2">
        <f>IF(Data!W20=0,"",Data!W20)</f>
        <v>4.64899465518318E-2</v>
      </c>
      <c r="K20" s="2">
        <f t="shared" si="2"/>
        <v>0.48676005427469099</v>
      </c>
      <c r="L20" s="2">
        <f>IF(Data!X20=0,"",Data!X20)</f>
        <v>-3.34872298772418E-2</v>
      </c>
      <c r="M20" s="2">
        <f>IF(Data!Y20=0,"",Data!Y20)</f>
        <v>-1.44588813108228E-2</v>
      </c>
      <c r="N20" s="2">
        <f>IF(Data!Z20=0,"",Data!Z20)</f>
        <v>2.7297682225439001E-2</v>
      </c>
      <c r="O20" s="2">
        <f>IF(Data!AA20=0,"",Data!AA20)</f>
        <v>3.8025629298861399E-2</v>
      </c>
      <c r="P20" s="2">
        <f>IF(Data!AB20=0,"",Data!AB20)</f>
        <v>1.7212709545627598E-2</v>
      </c>
      <c r="Q20" s="2">
        <f>IF(Data!AC20=0,"",Data!AC20)</f>
        <v>-2.52776455856141E-2</v>
      </c>
      <c r="R20" s="2">
        <f>IF(Data!AD20=0,"",Data!AD20)</f>
        <v>-5.97233186964857E-2</v>
      </c>
      <c r="S20" s="2">
        <f>IF(Data!AE20=0,"",Data!AE20)</f>
        <v>-4.7420979308423199E-2</v>
      </c>
      <c r="T20" s="2">
        <f>IF(Data!AF20=0,"",Data!AF20)</f>
        <v>-6.2254210567518897E-2</v>
      </c>
      <c r="U20" s="2">
        <f>IF(Data!AG20=0,"",Data!AG20)</f>
        <v>-8.3732160654017396E-2</v>
      </c>
      <c r="V20" s="2">
        <f>IF(Data!AH20=0,"",Data!AH20)</f>
        <v>-8.7710615594807403E-2</v>
      </c>
      <c r="W20" s="2">
        <f>IF(Data!AI20=0,"",Data!AI20)</f>
        <v>-7.5821141936973493E-2</v>
      </c>
    </row>
    <row r="21" spans="1:23">
      <c r="A21" s="1">
        <f>Data!A21</f>
        <v>43045</v>
      </c>
      <c r="B21" t="str">
        <f>Data!B21</f>
        <v>128012.SZ</v>
      </c>
      <c r="C21" t="str">
        <f>Data!C21</f>
        <v>辉丰转债</v>
      </c>
      <c r="D21" t="str">
        <f>Data!E21</f>
        <v>002496.SZ</v>
      </c>
      <c r="E21" t="str">
        <f>Data!F21</f>
        <v>辉丰股份</v>
      </c>
      <c r="F21" s="6">
        <f>Data!D21</f>
        <v>103.21639999999999</v>
      </c>
      <c r="G21" s="6">
        <f>Data!N21</f>
        <v>99.110659160547598</v>
      </c>
      <c r="H21" s="2">
        <f t="shared" si="1"/>
        <v>4.1425825175893216E-2</v>
      </c>
      <c r="I21" s="2">
        <f>IF(Data!V21=0,"",Data!V21)</f>
        <v>0.122347377688878</v>
      </c>
      <c r="J21" s="2">
        <f>IF(Data!W21=0,"",Data!W21)</f>
        <v>3.5141887360370702E-2</v>
      </c>
      <c r="K21" s="2">
        <f t="shared" si="2"/>
        <v>1.0647600957633539E-2</v>
      </c>
      <c r="L21" s="2">
        <f>IF(Data!X21=0,"",Data!X21)</f>
        <v>4.4551518235825302E-2</v>
      </c>
      <c r="M21" s="2">
        <f>IF(Data!Y21=0,"",Data!Y21)</f>
        <v>5.3561427430072098E-2</v>
      </c>
      <c r="N21" s="2">
        <f>IF(Data!Z21=0,"",Data!Z21)</f>
        <v>8.5713484720737296E-2</v>
      </c>
      <c r="O21" s="2">
        <f>IF(Data!AA21=0,"",Data!AA21)</f>
        <v>0.116212435993234</v>
      </c>
      <c r="P21" s="2">
        <f>IF(Data!AB21=0,"",Data!AB21)</f>
        <v>0.120140452950862</v>
      </c>
      <c r="Q21" s="2">
        <f>IF(Data!AC21=0,"",Data!AC21)</f>
        <v>0.119151463706789</v>
      </c>
      <c r="R21" s="2">
        <f>IF(Data!AD21=0,"",Data!AD21)</f>
        <v>0.13623968719948201</v>
      </c>
      <c r="S21" s="2">
        <f>IF(Data!AE21=0,"",Data!AE21)</f>
        <v>0.144883171380006</v>
      </c>
      <c r="T21" s="2">
        <f>IF(Data!AF21=0,"",Data!AF21)</f>
        <v>0.14788555319538299</v>
      </c>
      <c r="U21" s="2">
        <f>IF(Data!AG21=0,"",Data!AG21)</f>
        <v>0.16277648491216001</v>
      </c>
      <c r="V21" s="2">
        <f>IF(Data!AH21=0,"",Data!AH21)</f>
        <v>0.15535458341803099</v>
      </c>
      <c r="W21" s="2">
        <f>IF(Data!AI21=0,"",Data!AI21)</f>
        <v>0.15533712767343</v>
      </c>
    </row>
    <row r="22" spans="1:23">
      <c r="A22" s="1">
        <f>Data!A22</f>
        <v>43045</v>
      </c>
      <c r="B22" t="str">
        <f>Data!B22</f>
        <v>128013.SZ</v>
      </c>
      <c r="C22" t="str">
        <f>Data!C22</f>
        <v>洪涛转债</v>
      </c>
      <c r="D22" t="str">
        <f>Data!E22</f>
        <v>002325.SZ</v>
      </c>
      <c r="E22" t="str">
        <f>Data!F22</f>
        <v>洪涛股份</v>
      </c>
      <c r="F22" s="6">
        <f>Data!D22</f>
        <v>99.634</v>
      </c>
      <c r="G22" s="6">
        <f>Data!N22</f>
        <v>96.919830696475898</v>
      </c>
      <c r="H22" s="2">
        <f t="shared" si="1"/>
        <v>2.8004272025856869E-2</v>
      </c>
      <c r="I22" s="2">
        <f>IF(Data!V22=0,"",Data!V22)</f>
        <v>1.73636161825995E-2</v>
      </c>
      <c r="J22" s="2">
        <f>IF(Data!W22=0,"",Data!W22)</f>
        <v>2.2349336482049901E-2</v>
      </c>
      <c r="K22" s="2">
        <f t="shared" si="2"/>
        <v>0.68300061087421382</v>
      </c>
      <c r="L22" s="2">
        <f>IF(Data!X22=0,"",Data!X22)</f>
        <v>2.4174914814948999E-2</v>
      </c>
      <c r="M22" s="2">
        <f>IF(Data!Y22=0,"",Data!Y22)</f>
        <v>1.26988148981348E-2</v>
      </c>
      <c r="N22" s="2">
        <f>IF(Data!Z22=0,"",Data!Z22)</f>
        <v>1.5322908375113501E-2</v>
      </c>
      <c r="O22" s="2">
        <f>IF(Data!AA22=0,"",Data!AA22)</f>
        <v>2.2677069869237301E-2</v>
      </c>
      <c r="P22" s="2">
        <f>IF(Data!AB22=0,"",Data!AB22)</f>
        <v>-1.6937047449512001E-2</v>
      </c>
      <c r="Q22" s="2">
        <f>IF(Data!AC22=0,"",Data!AC22)</f>
        <v>-2.75044267611056E-3</v>
      </c>
      <c r="R22" s="2">
        <f>IF(Data!AD22=0,"",Data!AD22)</f>
        <v>4.4321161283302199E-2</v>
      </c>
      <c r="S22" s="2">
        <f>IF(Data!AE22=0,"",Data!AE22)</f>
        <v>3.9541032566693203E-2</v>
      </c>
      <c r="T22" s="2">
        <f>IF(Data!AF22=0,"",Data!AF22)</f>
        <v>3.6501568123261503E-2</v>
      </c>
      <c r="U22" s="2">
        <f>IF(Data!AG22=0,"",Data!AG22)</f>
        <v>3.3244016015866601E-2</v>
      </c>
      <c r="V22" s="2">
        <f>IF(Data!AH22=0,"",Data!AH22)</f>
        <v>2.1971008305501201E-2</v>
      </c>
      <c r="W22" s="2">
        <f>IF(Data!AI22=0,"",Data!AI22)</f>
        <v>1.2522160908552999E-2</v>
      </c>
    </row>
    <row r="23" spans="1:23">
      <c r="A23" s="1">
        <f>Data!A23</f>
        <v>43045</v>
      </c>
      <c r="B23" t="str">
        <f>Data!B23</f>
        <v>128014.SZ</v>
      </c>
      <c r="C23" t="str">
        <f>Data!C23</f>
        <v>永东转债</v>
      </c>
      <c r="D23" t="str">
        <f>Data!E23</f>
        <v>002753.SZ</v>
      </c>
      <c r="E23" t="str">
        <f>Data!F23</f>
        <v>永东股份</v>
      </c>
      <c r="F23" s="6">
        <f>Data!D23</f>
        <v>117.1905</v>
      </c>
      <c r="G23" s="6">
        <f>Data!N23</f>
        <v>145.45073856758299</v>
      </c>
      <c r="H23" s="2">
        <f t="shared" si="1"/>
        <v>-0.19429422528818585</v>
      </c>
      <c r="I23" s="2">
        <f>IF(Data!V23=0,"",Data!V23)</f>
        <v>-0.165546038441993</v>
      </c>
      <c r="J23" s="2">
        <f>IF(Data!W23=0,"",Data!W23)</f>
        <v>4.0745647908608101E-2</v>
      </c>
      <c r="K23" s="2">
        <f t="shared" si="2"/>
        <v>0.24023328885489453</v>
      </c>
      <c r="L23" s="2">
        <f>IF(Data!X23=0,"",Data!X23)</f>
        <v>-0.19111987556940599</v>
      </c>
      <c r="M23" s="2">
        <f>IF(Data!Y23=0,"",Data!Y23)</f>
        <v>-0.194953289446369</v>
      </c>
      <c r="N23" s="2">
        <f>IF(Data!Z23=0,"",Data!Z23)</f>
        <v>-0.217584645373011</v>
      </c>
      <c r="O23" s="2">
        <f>IF(Data!AA23=0,"",Data!AA23)</f>
        <v>-0.199796259520125</v>
      </c>
      <c r="P23" s="2">
        <f>IF(Data!AB23=0,"",Data!AB23)</f>
        <v>-0.14596644945496201</v>
      </c>
      <c r="Q23" s="2">
        <f>IF(Data!AC23=0,"",Data!AC23)</f>
        <v>-0.11430717727165</v>
      </c>
      <c r="R23" s="2">
        <f>IF(Data!AD23=0,"",Data!AD23)</f>
        <v>-0.13441461188762099</v>
      </c>
      <c r="S23" s="2">
        <f>IF(Data!AE23=0,"",Data!AE23)</f>
        <v>-0.133373078405014</v>
      </c>
      <c r="T23" s="2" t="str">
        <f>IF(Data!AF23=0,"",Data!AF23)</f>
        <v/>
      </c>
      <c r="U23" s="2" t="str">
        <f>IF(Data!AG23=0,"",Data!AG23)</f>
        <v/>
      </c>
      <c r="V23" s="2" t="str">
        <f>IF(Data!AH23=0,"",Data!AH23)</f>
        <v/>
      </c>
      <c r="W23" s="2" t="str">
        <f>IF(Data!AI23=0,"",Data!AI23)</f>
        <v/>
      </c>
    </row>
    <row r="24" spans="1:23">
      <c r="A24" s="1">
        <f>Data!A24</f>
        <v>43045</v>
      </c>
      <c r="B24" t="str">
        <f>Data!B24</f>
        <v>128015.SZ</v>
      </c>
      <c r="C24" t="str">
        <f>Data!C24</f>
        <v>久其转债</v>
      </c>
      <c r="D24" t="str">
        <f>Data!E24</f>
        <v>002279.SZ</v>
      </c>
      <c r="E24" t="str">
        <f>Data!F24</f>
        <v>久其软件</v>
      </c>
      <c r="F24" s="6">
        <f>Data!D24</f>
        <v>110.1561</v>
      </c>
      <c r="G24" s="6">
        <f>Data!N24</f>
        <v>111.642320463955</v>
      </c>
      <c r="H24" s="2">
        <f t="shared" si="1"/>
        <v>-1.331233942270893E-2</v>
      </c>
      <c r="I24" s="2">
        <f>IF(Data!V24=0,"",Data!V24)</f>
        <v>-2.82931745558898E-2</v>
      </c>
      <c r="J24" s="2">
        <f>IF(Data!W24=0,"",Data!W24)</f>
        <v>5.6045691371315903E-2</v>
      </c>
      <c r="K24" s="2">
        <f t="shared" si="2"/>
        <v>0.60537968287921851</v>
      </c>
      <c r="L24" s="2">
        <f>IF(Data!X24=0,"",Data!X24)</f>
        <v>-6.9271450050515703E-3</v>
      </c>
      <c r="M24" s="2">
        <f>IF(Data!Y24=0,"",Data!Y24)</f>
        <v>-1.06121487477303E-2</v>
      </c>
      <c r="N24" s="2">
        <f>IF(Data!Z24=0,"",Data!Z24)</f>
        <v>-3.4419323471994198E-3</v>
      </c>
      <c r="O24" s="2">
        <f>IF(Data!AA24=0,"",Data!AA24)</f>
        <v>9.8340597878217896E-3</v>
      </c>
      <c r="P24" s="2">
        <f>IF(Data!AB24=0,"",Data!AB24)</f>
        <v>-2.5117977223137699E-2</v>
      </c>
      <c r="Q24" s="2">
        <f>IF(Data!AC24=0,"",Data!AC24)</f>
        <v>-0.13720630262752001</v>
      </c>
      <c r="R24" s="2" t="str">
        <f>IF(Data!AD24=0,"",Data!AD24)</f>
        <v/>
      </c>
      <c r="S24" s="2" t="str">
        <f>IF(Data!AE24=0,"",Data!AE24)</f>
        <v/>
      </c>
      <c r="T24" s="2" t="str">
        <f>IF(Data!AF24=0,"",Data!AF24)</f>
        <v/>
      </c>
      <c r="U24" s="2" t="str">
        <f>IF(Data!AG24=0,"",Data!AG24)</f>
        <v/>
      </c>
      <c r="V24" s="2" t="str">
        <f>IF(Data!AH24=0,"",Data!AH24)</f>
        <v/>
      </c>
      <c r="W24" s="2" t="str">
        <f>IF(Data!AI24=0,"",Data!AI24)</f>
        <v/>
      </c>
    </row>
    <row r="25" spans="1:23">
      <c r="A25" s="1">
        <f>Data!A25</f>
        <v>43045</v>
      </c>
      <c r="B25" t="str">
        <f>Data!B25</f>
        <v>128016.SZ</v>
      </c>
      <c r="C25" t="str">
        <f>Data!C25</f>
        <v>雨虹转债</v>
      </c>
      <c r="D25" t="str">
        <f>Data!E25</f>
        <v>002271.SZ</v>
      </c>
      <c r="E25" t="str">
        <f>Data!F25</f>
        <v>东方雨虹</v>
      </c>
      <c r="F25" s="6">
        <f>Data!D25</f>
        <v>116.24469999999999</v>
      </c>
      <c r="G25" s="6">
        <f>Data!N25</f>
        <v>116.277966933568</v>
      </c>
      <c r="H25" s="2">
        <f t="shared" si="1"/>
        <v>-2.8609834214776697E-4</v>
      </c>
      <c r="I25" s="2">
        <f>IF(Data!V25=0,"",Data!V25)</f>
        <v>-9.2536046721779605E-2</v>
      </c>
      <c r="J25" s="2">
        <f>IF(Data!W25=0,"",Data!W25)</f>
        <v>7.8308913978966596E-2</v>
      </c>
      <c r="K25" s="2">
        <f t="shared" si="2"/>
        <v>0.88060690918505291</v>
      </c>
      <c r="L25" s="2">
        <f>IF(Data!X25=0,"",Data!X25)</f>
        <v>-1.3428881411971599E-2</v>
      </c>
      <c r="M25" s="2">
        <f>IF(Data!Y25=0,"",Data!Y25)</f>
        <v>-9.2519462668131505E-2</v>
      </c>
      <c r="N25" s="2">
        <f>IF(Data!Z25=0,"",Data!Z25)</f>
        <v>-0.15587816475202901</v>
      </c>
      <c r="O25" s="2" t="str">
        <f>IF(Data!AA25=0,"",Data!AA25)</f>
        <v/>
      </c>
      <c r="P25" s="2" t="str">
        <f>IF(Data!AB25=0,"",Data!AB25)</f>
        <v/>
      </c>
      <c r="Q25" s="2" t="str">
        <f>IF(Data!AC25=0,"",Data!AC25)</f>
        <v/>
      </c>
      <c r="R25" s="2" t="str">
        <f>IF(Data!AD25=0,"",Data!AD25)</f>
        <v/>
      </c>
      <c r="S25" s="2" t="str">
        <f>IF(Data!AE25=0,"",Data!AE25)</f>
        <v/>
      </c>
      <c r="T25" s="2" t="str">
        <f>IF(Data!AF25=0,"",Data!AF25)</f>
        <v/>
      </c>
      <c r="U25" s="2" t="str">
        <f>IF(Data!AG25=0,"",Data!AG25)</f>
        <v/>
      </c>
      <c r="V25" s="2" t="str">
        <f>IF(Data!AH25=0,"",Data!AH25)</f>
        <v/>
      </c>
      <c r="W25" s="2" t="str">
        <f>IF(Data!AI25=0,"",Data!AI25)</f>
        <v/>
      </c>
    </row>
    <row r="26" spans="1:23">
      <c r="A26" s="1">
        <f>Data!A26</f>
        <v>43045</v>
      </c>
      <c r="B26" t="str">
        <f>Data!B26</f>
        <v>128017.SZ</v>
      </c>
      <c r="C26" t="str">
        <f>Data!C26</f>
        <v>金禾转债</v>
      </c>
      <c r="D26" t="str">
        <f>Data!E26</f>
        <v>002597.SZ</v>
      </c>
      <c r="E26" t="str">
        <f>Data!F26</f>
        <v>金禾实业</v>
      </c>
      <c r="F26" s="6">
        <f>Data!D26</f>
        <v>99.995099999999994</v>
      </c>
      <c r="G26" s="6">
        <f>Data!N26</f>
        <v>112.46051674192999</v>
      </c>
      <c r="H26" s="2">
        <f t="shared" si="1"/>
        <v>-0.11084260594796258</v>
      </c>
      <c r="I26" s="2">
        <f>IF(Data!V26=0,"",Data!V26)</f>
        <v>-0.103159937101595</v>
      </c>
      <c r="J26" s="2">
        <f>IF(Data!W26=0,"",Data!W26)</f>
        <v>9.4155448723361491E-3</v>
      </c>
      <c r="K26" s="2">
        <f t="shared" si="2"/>
        <v>0.20726269590442992</v>
      </c>
      <c r="L26" s="2">
        <f>IF(Data!X26=0,"",Data!X26)</f>
        <v>-0.103159937101595</v>
      </c>
      <c r="M26" s="2" t="str">
        <f>IF(Data!Y26=0,"",Data!Y26)</f>
        <v/>
      </c>
      <c r="N26" s="2" t="str">
        <f>IF(Data!Z26=0,"",Data!Z26)</f>
        <v/>
      </c>
      <c r="O26" s="2" t="str">
        <f>IF(Data!AA26=0,"",Data!AA26)</f>
        <v/>
      </c>
      <c r="P26" s="2" t="str">
        <f>IF(Data!AB26=0,"",Data!AB26)</f>
        <v/>
      </c>
      <c r="Q26" s="2" t="str">
        <f>IF(Data!AC26=0,"",Data!AC26)</f>
        <v/>
      </c>
      <c r="R26" s="2" t="str">
        <f>IF(Data!AD26=0,"",Data!AD26)</f>
        <v/>
      </c>
      <c r="S26" s="2" t="str">
        <f>IF(Data!AE26=0,"",Data!AE26)</f>
        <v/>
      </c>
      <c r="T26" s="2" t="str">
        <f>IF(Data!AF26=0,"",Data!AF26)</f>
        <v/>
      </c>
      <c r="U26" s="2" t="str">
        <f>IF(Data!AG26=0,"",Data!AG26)</f>
        <v/>
      </c>
      <c r="V26" s="2" t="str">
        <f>IF(Data!AH26=0,"",Data!AH26)</f>
        <v/>
      </c>
      <c r="W26" s="2" t="str">
        <f>IF(Data!AI26=0,"",Data!AI26)</f>
        <v/>
      </c>
    </row>
    <row r="27" spans="1:23">
      <c r="A27" s="1">
        <f>Data!A27</f>
        <v>43045</v>
      </c>
      <c r="B27" t="str">
        <f>Data!B27</f>
        <v>128018.SZ</v>
      </c>
      <c r="C27" t="str">
        <f>Data!C27</f>
        <v>时达转债</v>
      </c>
      <c r="D27" t="str">
        <f>Data!E27</f>
        <v>002527.SZ</v>
      </c>
      <c r="E27" t="str">
        <f>Data!F27</f>
        <v>新时达</v>
      </c>
      <c r="F27" s="6">
        <f>Data!D27</f>
        <v>99.999200000000002</v>
      </c>
      <c r="G27" s="6">
        <f>Data!N27</f>
        <v>109.753724710572</v>
      </c>
      <c r="H27" s="2">
        <f t="shared" si="1"/>
        <v>-8.8876479921709661E-2</v>
      </c>
      <c r="I27" s="2">
        <f>IF(Data!V27=0,"",Data!V27)</f>
        <v>-8.8955141197092705E-2</v>
      </c>
      <c r="J27" s="2" t="str">
        <f>IF(Data!W27=0,"",Data!W27)</f>
        <v>NA</v>
      </c>
      <c r="K27" s="2" t="str">
        <f t="shared" si="2"/>
        <v/>
      </c>
      <c r="L27" s="2">
        <f>IF(Data!X27=0,"",Data!X27)</f>
        <v>-8.8955141197092705E-2</v>
      </c>
      <c r="M27" s="2" t="str">
        <f>IF(Data!Y27=0,"",Data!Y27)</f>
        <v/>
      </c>
      <c r="N27" s="2" t="str">
        <f>IF(Data!Z27=0,"",Data!Z27)</f>
        <v/>
      </c>
      <c r="O27" s="2" t="str">
        <f>IF(Data!AA27=0,"",Data!AA27)</f>
        <v/>
      </c>
      <c r="P27" s="2" t="str">
        <f>IF(Data!AB27=0,"",Data!AB27)</f>
        <v/>
      </c>
      <c r="Q27" s="2" t="str">
        <f>IF(Data!AC27=0,"",Data!AC27)</f>
        <v/>
      </c>
      <c r="R27" s="2" t="str">
        <f>IF(Data!AD27=0,"",Data!AD27)</f>
        <v/>
      </c>
      <c r="S27" s="2" t="str">
        <f>IF(Data!AE27=0,"",Data!AE27)</f>
        <v/>
      </c>
      <c r="T27" s="2" t="str">
        <f>IF(Data!AF27=0,"",Data!AF27)</f>
        <v/>
      </c>
      <c r="U27" s="2" t="str">
        <f>IF(Data!AG27=0,"",Data!AG27)</f>
        <v/>
      </c>
      <c r="V27" s="2" t="str">
        <f>IF(Data!AH27=0,"",Data!AH27)</f>
        <v/>
      </c>
      <c r="W27" s="2" t="str">
        <f>IF(Data!AI27=0,"",Data!AI27)</f>
        <v/>
      </c>
    </row>
    <row r="28" spans="1:23">
      <c r="A28" s="1">
        <f>Data!A28</f>
        <v>43045</v>
      </c>
      <c r="B28" t="str">
        <f>Data!B28</f>
        <v>132001.SH</v>
      </c>
      <c r="C28" t="str">
        <f>Data!C28</f>
        <v>14宝钢EB</v>
      </c>
      <c r="D28" t="str">
        <f>Data!E28</f>
        <v>601336.SH</v>
      </c>
      <c r="E28" t="str">
        <f>Data!F28</f>
        <v>新华保险</v>
      </c>
      <c r="F28" s="6">
        <f>Data!D28</f>
        <v>143.84</v>
      </c>
      <c r="G28" s="6">
        <f>Data!N28</f>
        <v>148.22046765867401</v>
      </c>
      <c r="H28" s="2">
        <f t="shared" si="1"/>
        <v>-2.9553729844932541E-2</v>
      </c>
      <c r="I28" s="2">
        <f>IF(Data!V28=0,"",Data!V28)</f>
        <v>9.8227441854095102E-4</v>
      </c>
      <c r="J28" s="2">
        <f>IF(Data!W28=0,"",Data!W28)</f>
        <v>2.5207691829912601E-2</v>
      </c>
      <c r="K28" s="2">
        <f t="shared" si="2"/>
        <v>0.11287558024729981</v>
      </c>
      <c r="L28" s="2">
        <f>IF(Data!X28=0,"",Data!X28)</f>
        <v>-3.0339970782113999E-2</v>
      </c>
      <c r="M28" s="2">
        <f>IF(Data!Y28=0,"",Data!Y28)</f>
        <v>-1.59790234807815E-2</v>
      </c>
      <c r="N28" s="2">
        <f>IF(Data!Z28=0,"",Data!Z28)</f>
        <v>1.1938138124458699E-2</v>
      </c>
      <c r="O28" s="2">
        <f>IF(Data!AA28=0,"",Data!AA28)</f>
        <v>-1.5528474914125E-2</v>
      </c>
      <c r="P28" s="2">
        <f>IF(Data!AB28=0,"",Data!AB28)</f>
        <v>-1.3010306988189901E-2</v>
      </c>
      <c r="Q28" s="2">
        <f>IF(Data!AC28=0,"",Data!AC28)</f>
        <v>-3.3624817043909801E-3</v>
      </c>
      <c r="R28" s="2">
        <f>IF(Data!AD28=0,"",Data!AD28)</f>
        <v>-3.2207433322634198E-2</v>
      </c>
      <c r="S28" s="2">
        <f>IF(Data!AE28=0,"",Data!AE28)</f>
        <v>-9.2673175167441706E-3</v>
      </c>
      <c r="T28" s="2">
        <f>IF(Data!AF28=0,"",Data!AF28)</f>
        <v>-4.4182733299886399E-4</v>
      </c>
      <c r="U28" s="2">
        <f>IF(Data!AG28=0,"",Data!AG28)</f>
        <v>-1.7618416149181801E-3</v>
      </c>
      <c r="V28" s="2">
        <f>IF(Data!AH28=0,"",Data!AH28)</f>
        <v>1.2071138453502101E-2</v>
      </c>
      <c r="W28" s="2">
        <f>IF(Data!AI28=0,"",Data!AI28)</f>
        <v>2.1498089961827099E-2</v>
      </c>
    </row>
    <row r="29" spans="1:23">
      <c r="A29" s="1">
        <f>Data!A29</f>
        <v>43045</v>
      </c>
      <c r="B29" t="str">
        <f>Data!B29</f>
        <v>132002.SH</v>
      </c>
      <c r="C29" t="str">
        <f>Data!C29</f>
        <v>15天集EB</v>
      </c>
      <c r="D29" t="str">
        <f>Data!E29</f>
        <v>600535.SH</v>
      </c>
      <c r="E29" t="str">
        <f>Data!F29</f>
        <v>天士力</v>
      </c>
      <c r="F29" s="6">
        <f>Data!D29</f>
        <v>103.4</v>
      </c>
      <c r="G29" s="6">
        <f>Data!N29</f>
        <v>92.164961015004195</v>
      </c>
      <c r="H29" s="2">
        <f t="shared" si="1"/>
        <v>0.12190141308872016</v>
      </c>
      <c r="I29" s="2">
        <f>IF(Data!V29=0,"",Data!V29)</f>
        <v>0.11327961179203599</v>
      </c>
      <c r="J29" s="2">
        <f>IF(Data!W29=0,"",Data!W29)</f>
        <v>1.56620254944216E-2</v>
      </c>
      <c r="K29" s="2">
        <f t="shared" si="2"/>
        <v>0.70900861505275603</v>
      </c>
      <c r="L29" s="2">
        <f>IF(Data!X29=0,"",Data!X29)</f>
        <v>0.123328104382215</v>
      </c>
      <c r="M29" s="2">
        <f>IF(Data!Y29=0,"",Data!Y29)</f>
        <v>0.12421498342779801</v>
      </c>
      <c r="N29" s="2">
        <f>IF(Data!Z29=0,"",Data!Z29)</f>
        <v>0.13046997884542699</v>
      </c>
      <c r="O29" s="2">
        <f>IF(Data!AA29=0,"",Data!AA29)</f>
        <v>0.12812100896392001</v>
      </c>
      <c r="P29" s="2">
        <f>IF(Data!AB29=0,"",Data!AB29)</f>
        <v>0.122118227893319</v>
      </c>
      <c r="Q29" s="2">
        <f>IF(Data!AC29=0,"",Data!AC29)</f>
        <v>0.130547009035937</v>
      </c>
      <c r="R29" s="2">
        <f>IF(Data!AD29=0,"",Data!AD29)</f>
        <v>0.11112750394532001</v>
      </c>
      <c r="S29" s="2">
        <f>IF(Data!AE29=0,"",Data!AE29)</f>
        <v>9.9573875302417E-2</v>
      </c>
      <c r="T29" s="2">
        <f>IF(Data!AF29=0,"",Data!AF29)</f>
        <v>0.105711649889926</v>
      </c>
      <c r="U29" s="2">
        <f>IF(Data!AG29=0,"",Data!AG29)</f>
        <v>0.11486062219439</v>
      </c>
      <c r="V29" s="2">
        <f>IF(Data!AH29=0,"",Data!AH29)</f>
        <v>9.51139944331853E-2</v>
      </c>
      <c r="W29" s="2">
        <f>IF(Data!AI29=0,"",Data!AI29)</f>
        <v>8.6094205804999199E-2</v>
      </c>
    </row>
    <row r="30" spans="1:23">
      <c r="A30" s="1">
        <f>Data!A30</f>
        <v>43045</v>
      </c>
      <c r="B30" t="str">
        <f>Data!B30</f>
        <v>132003.SH</v>
      </c>
      <c r="C30" t="str">
        <f>Data!C30</f>
        <v>15清控EB</v>
      </c>
      <c r="D30" t="str">
        <f>Data!E30</f>
        <v>600109.SH</v>
      </c>
      <c r="E30" t="str">
        <f>Data!F30</f>
        <v>国金证券</v>
      </c>
      <c r="F30" s="6">
        <f>Data!D30</f>
        <v>100.35</v>
      </c>
      <c r="G30" s="6">
        <f>Data!N30</f>
        <v>96.812289217082593</v>
      </c>
      <c r="H30" s="2">
        <f t="shared" si="1"/>
        <v>3.6541959822732561E-2</v>
      </c>
      <c r="I30" s="2">
        <f>IF(Data!V30=0,"",Data!V30)</f>
        <v>8.3896031598203594E-2</v>
      </c>
      <c r="J30" s="2">
        <f>IF(Data!W30=0,"",Data!W30)</f>
        <v>3.8355732600524203E-2</v>
      </c>
      <c r="K30" s="2">
        <f t="shared" si="2"/>
        <v>0.10848929528590448</v>
      </c>
      <c r="L30" s="2">
        <f>IF(Data!X30=0,"",Data!X30)</f>
        <v>4.1484788106452598E-2</v>
      </c>
      <c r="M30" s="2">
        <f>IF(Data!Y30=0,"",Data!Y30)</f>
        <v>4.3196635085545797E-2</v>
      </c>
      <c r="N30" s="2">
        <f>IF(Data!Z30=0,"",Data!Z30)</f>
        <v>5.1715321325152698E-2</v>
      </c>
      <c r="O30" s="2">
        <f>IF(Data!AA30=0,"",Data!AA30)</f>
        <v>6.8660992077718003E-2</v>
      </c>
      <c r="P30" s="2">
        <f>IF(Data!AB30=0,"",Data!AB30)</f>
        <v>6.9288140187940106E-2</v>
      </c>
      <c r="Q30" s="2">
        <f>IF(Data!AC30=0,"",Data!AC30)</f>
        <v>5.6436041741869399E-2</v>
      </c>
      <c r="R30" s="2">
        <f>IF(Data!AD30=0,"",Data!AD30)</f>
        <v>4.6086811731167798E-2</v>
      </c>
      <c r="S30" s="2">
        <f>IF(Data!AE30=0,"",Data!AE30)</f>
        <v>5.8542458138049598E-2</v>
      </c>
      <c r="T30" s="2">
        <f>IF(Data!AF30=0,"",Data!AF30)</f>
        <v>9.8242798384631097E-2</v>
      </c>
      <c r="U30" s="2">
        <f>IF(Data!AG30=0,"",Data!AG30)</f>
        <v>0.119239356984027</v>
      </c>
      <c r="V30" s="2">
        <f>IF(Data!AH30=0,"",Data!AH30)</f>
        <v>0.116776879868402</v>
      </c>
      <c r="W30" s="2">
        <f>IF(Data!AI30=0,"",Data!AI30)</f>
        <v>0.11467047972407</v>
      </c>
    </row>
    <row r="31" spans="1:23">
      <c r="A31" s="1">
        <f>Data!A31</f>
        <v>43045</v>
      </c>
      <c r="B31" t="str">
        <f>Data!B31</f>
        <v>132004.SH</v>
      </c>
      <c r="C31" t="str">
        <f>Data!C31</f>
        <v>15国盛EB</v>
      </c>
      <c r="D31" t="str">
        <f>Data!E31</f>
        <v>600170.SH</v>
      </c>
      <c r="E31" t="str">
        <f>Data!F31</f>
        <v>上海建工</v>
      </c>
      <c r="F31" s="6">
        <f>Data!D31</f>
        <v>92.41</v>
      </c>
      <c r="G31" s="6">
        <f>Data!N31</f>
        <v>88.857418281994299</v>
      </c>
      <c r="H31" s="2">
        <f t="shared" si="1"/>
        <v>3.9980699267351705E-2</v>
      </c>
      <c r="I31" s="2">
        <f>IF(Data!V31=0,"",Data!V31)</f>
        <v>4.5228717016169803E-2</v>
      </c>
      <c r="J31" s="2">
        <f>IF(Data!W31=0,"",Data!W31)</f>
        <v>1.28371100362882E-2</v>
      </c>
      <c r="K31" s="2">
        <f t="shared" si="2"/>
        <v>0.34133729792162737</v>
      </c>
      <c r="L31" s="2">
        <f>IF(Data!X31=0,"",Data!X31)</f>
        <v>3.07254035211172E-2</v>
      </c>
      <c r="M31" s="2">
        <f>IF(Data!Y31=0,"",Data!Y31)</f>
        <v>2.69174541772941E-2</v>
      </c>
      <c r="N31" s="2">
        <f>IF(Data!Z31=0,"",Data!Z31)</f>
        <v>3.2256573254174699E-2</v>
      </c>
      <c r="O31" s="2">
        <f>IF(Data!AA31=0,"",Data!AA31)</f>
        <v>4.3783157895306103E-2</v>
      </c>
      <c r="P31" s="2">
        <f>IF(Data!AB31=0,"",Data!AB31)</f>
        <v>3.9196145713516803E-2</v>
      </c>
      <c r="Q31" s="2">
        <f>IF(Data!AC31=0,"",Data!AC31)</f>
        <v>4.3303787750726797E-2</v>
      </c>
      <c r="R31" s="2">
        <f>IF(Data!AD31=0,"",Data!AD31)</f>
        <v>3.4563078764624798E-2</v>
      </c>
      <c r="S31" s="2">
        <f>IF(Data!AE31=0,"",Data!AE31)</f>
        <v>4.1533182418079101E-2</v>
      </c>
      <c r="T31" s="2">
        <f>IF(Data!AF31=0,"",Data!AF31)</f>
        <v>6.4577923123286696E-2</v>
      </c>
      <c r="U31" s="2">
        <f>IF(Data!AG31=0,"",Data!AG31)</f>
        <v>5.7429735260821901E-2</v>
      </c>
      <c r="V31" s="2">
        <f>IF(Data!AH31=0,"",Data!AH31)</f>
        <v>4.2849695492015102E-2</v>
      </c>
      <c r="W31" s="2">
        <f>IF(Data!AI31=0,"",Data!AI31)</f>
        <v>5.4999213215392397E-2</v>
      </c>
    </row>
    <row r="32" spans="1:23">
      <c r="A32" s="1">
        <f>Data!A32</f>
        <v>43045</v>
      </c>
      <c r="B32" t="str">
        <f>Data!B32</f>
        <v>132005.SH</v>
      </c>
      <c r="C32" t="str">
        <f>Data!C32</f>
        <v>15国资EB</v>
      </c>
      <c r="D32" t="str">
        <f>Data!E32</f>
        <v>601601.SH</v>
      </c>
      <c r="E32" t="str">
        <f>Data!F32</f>
        <v>中国太保</v>
      </c>
      <c r="F32" s="6">
        <f>Data!D32</f>
        <v>129</v>
      </c>
      <c r="G32" s="6">
        <f>Data!N32</f>
        <v>129.34457162828701</v>
      </c>
      <c r="H32" s="2">
        <f t="shared" si="1"/>
        <v>-2.663982136623777E-3</v>
      </c>
      <c r="I32" s="2">
        <f>IF(Data!V32=0,"",Data!V32)</f>
        <v>4.25245019231595E-2</v>
      </c>
      <c r="J32" s="2">
        <f>IF(Data!W32=0,"",Data!W32)</f>
        <v>2.5296817295482998E-2</v>
      </c>
      <c r="K32" s="2">
        <f t="shared" si="2"/>
        <v>3.7022855801704779E-2</v>
      </c>
      <c r="L32" s="2">
        <f>IF(Data!X32=0,"",Data!X32)</f>
        <v>-3.45852134494726E-3</v>
      </c>
      <c r="M32" s="2">
        <f>IF(Data!Y32=0,"",Data!Y32)</f>
        <v>3.3820394819625201E-3</v>
      </c>
      <c r="N32" s="2">
        <f>IF(Data!Z32=0,"",Data!Z32)</f>
        <v>2.49948772962196E-2</v>
      </c>
      <c r="O32" s="2">
        <f>IF(Data!AA32=0,"",Data!AA32)</f>
        <v>3.0804706322847202E-2</v>
      </c>
      <c r="P32" s="2">
        <f>IF(Data!AB32=0,"",Data!AB32)</f>
        <v>2.8029185155632901E-2</v>
      </c>
      <c r="Q32" s="2">
        <f>IF(Data!AC32=0,"",Data!AC32)</f>
        <v>1.9229481004478501E-2</v>
      </c>
      <c r="R32" s="2">
        <f>IF(Data!AD32=0,"",Data!AD32)</f>
        <v>3.2526677387606499E-2</v>
      </c>
      <c r="S32" s="2">
        <f>IF(Data!AE32=0,"",Data!AE32)</f>
        <v>3.3371796852961197E-2</v>
      </c>
      <c r="T32" s="2">
        <f>IF(Data!AF32=0,"",Data!AF32)</f>
        <v>5.9452262372065398E-2</v>
      </c>
      <c r="U32" s="2">
        <f>IF(Data!AG32=0,"",Data!AG32)</f>
        <v>7.4873329029071706E-2</v>
      </c>
      <c r="V32" s="2">
        <f>IF(Data!AH32=0,"",Data!AH32)</f>
        <v>7.2318972478539204E-2</v>
      </c>
      <c r="W32" s="2">
        <f>IF(Data!AI32=0,"",Data!AI32)</f>
        <v>7.0584351222238995E-2</v>
      </c>
    </row>
    <row r="33" spans="1:23">
      <c r="A33" s="1">
        <f>Data!A33</f>
        <v>43045</v>
      </c>
      <c r="B33" t="str">
        <f>Data!B33</f>
        <v>132006.SH</v>
      </c>
      <c r="C33" t="str">
        <f>Data!C33</f>
        <v>16皖新EB</v>
      </c>
      <c r="D33" t="str">
        <f>Data!E33</f>
        <v>601801.SH</v>
      </c>
      <c r="E33" t="str">
        <f>Data!F33</f>
        <v>皖新传媒</v>
      </c>
      <c r="F33" s="6">
        <f>Data!D33</f>
        <v>100.56</v>
      </c>
      <c r="G33" s="6">
        <f>Data!N33</f>
        <v>104.69695786032</v>
      </c>
      <c r="H33" s="2">
        <f t="shared" si="1"/>
        <v>-3.9513639602014594E-2</v>
      </c>
      <c r="I33" s="2">
        <f>IF(Data!V33=0,"",Data!V33)</f>
        <v>-0.13513753493833899</v>
      </c>
      <c r="J33" s="2">
        <f>IF(Data!W33=0,"",Data!W33)</f>
        <v>6.9322449151920304E-2</v>
      </c>
      <c r="K33" s="2">
        <f t="shared" si="2"/>
        <v>0.91611540160969751</v>
      </c>
      <c r="L33" s="2">
        <f>IF(Data!X33=0,"",Data!X33)</f>
        <v>-4.0713597575470703E-2</v>
      </c>
      <c r="M33" s="2">
        <f>IF(Data!Y33=0,"",Data!Y33)</f>
        <v>-4.9830794155104198E-2</v>
      </c>
      <c r="N33" s="2">
        <f>IF(Data!Z33=0,"",Data!Z33)</f>
        <v>-4.9994840945610103E-2</v>
      </c>
      <c r="O33" s="2">
        <f>IF(Data!AA33=0,"",Data!AA33)</f>
        <v>-6.2701703233783102E-2</v>
      </c>
      <c r="P33" s="2">
        <f>IF(Data!AB33=0,"",Data!AB33)</f>
        <v>-7.6302423776262202E-2</v>
      </c>
      <c r="Q33" s="2">
        <f>IF(Data!AC33=0,"",Data!AC33)</f>
        <v>-0.101708072255299</v>
      </c>
      <c r="R33" s="2">
        <f>IF(Data!AD33=0,"",Data!AD33)</f>
        <v>-0.14608184968453999</v>
      </c>
      <c r="S33" s="2">
        <f>IF(Data!AE33=0,"",Data!AE33)</f>
        <v>-0.20298003429448599</v>
      </c>
      <c r="T33" s="2">
        <f>IF(Data!AF33=0,"",Data!AF33)</f>
        <v>-0.22690368093511401</v>
      </c>
      <c r="U33" s="2">
        <f>IF(Data!AG33=0,"",Data!AG33)</f>
        <v>-0.227838402805005</v>
      </c>
      <c r="V33" s="2">
        <f>IF(Data!AH33=0,"",Data!AH33)</f>
        <v>-0.21500302060370499</v>
      </c>
      <c r="W33" s="2">
        <f>IF(Data!AI33=0,"",Data!AI33)</f>
        <v>-0.18728556112585701</v>
      </c>
    </row>
    <row r="34" spans="1:23">
      <c r="A34" s="1">
        <f>Data!A34</f>
        <v>43045</v>
      </c>
      <c r="B34" t="str">
        <f>Data!B34</f>
        <v>132007.SH</v>
      </c>
      <c r="C34" t="str">
        <f>Data!C34</f>
        <v>16凤凰EB</v>
      </c>
      <c r="D34" t="str">
        <f>Data!E34</f>
        <v>601928.SH</v>
      </c>
      <c r="E34" t="str">
        <f>Data!F34</f>
        <v>凤凰传媒</v>
      </c>
      <c r="F34" s="6">
        <f>Data!D34</f>
        <v>91.96</v>
      </c>
      <c r="G34" s="6">
        <f>Data!N34</f>
        <v>90.349332806320504</v>
      </c>
      <c r="H34" s="2">
        <f t="shared" si="1"/>
        <v>1.7827106671968851E-2</v>
      </c>
      <c r="I34" s="2">
        <f>IF(Data!V34=0,"",Data!V34)</f>
        <v>5.0690822008087097E-2</v>
      </c>
      <c r="J34" s="2">
        <f>IF(Data!W34=0,"",Data!W34)</f>
        <v>3.9290618028239702E-2</v>
      </c>
      <c r="K34" s="2">
        <f t="shared" si="2"/>
        <v>0.20145749611980535</v>
      </c>
      <c r="L34" s="2">
        <f>IF(Data!X34=0,"",Data!X34)</f>
        <v>1.83544583256036E-2</v>
      </c>
      <c r="M34" s="2">
        <f>IF(Data!Y34=0,"",Data!Y34)</f>
        <v>1.15815068678537E-2</v>
      </c>
      <c r="N34" s="2">
        <f>IF(Data!Z34=0,"",Data!Z34)</f>
        <v>2.3999192293232299E-2</v>
      </c>
      <c r="O34" s="2">
        <f>IF(Data!AA34=0,"",Data!AA34)</f>
        <v>3.0499185754204398E-2</v>
      </c>
      <c r="P34" s="2">
        <f>IF(Data!AB34=0,"",Data!AB34)</f>
        <v>2.5972295169380499E-2</v>
      </c>
      <c r="Q34" s="2">
        <f>IF(Data!AC34=0,"",Data!AC34)</f>
        <v>2.8711547107806101E-2</v>
      </c>
      <c r="R34" s="2">
        <f>IF(Data!AD34=0,"",Data!AD34)</f>
        <v>3.9896908681630899E-2</v>
      </c>
      <c r="S34" s="2">
        <f>IF(Data!AE34=0,"",Data!AE34)</f>
        <v>6.2619632130664002E-2</v>
      </c>
      <c r="T34" s="2">
        <f>IF(Data!AF34=0,"",Data!AF34)</f>
        <v>9.3074676748654106E-2</v>
      </c>
      <c r="U34" s="2">
        <f>IF(Data!AG34=0,"",Data!AG34)</f>
        <v>0.1036366402697</v>
      </c>
      <c r="V34" s="2">
        <f>IF(Data!AH34=0,"",Data!AH34)</f>
        <v>9.3507226767023194E-2</v>
      </c>
      <c r="W34" s="2">
        <f>IF(Data!AI34=0,"",Data!AI34)</f>
        <v>0.111680444231347</v>
      </c>
    </row>
    <row r="35" spans="1:23">
      <c r="A35" s="1">
        <f>Data!A35</f>
        <v>43045</v>
      </c>
      <c r="B35" t="str">
        <f>Data!B35</f>
        <v>132008.SH</v>
      </c>
      <c r="C35" t="str">
        <f>Data!C35</f>
        <v>17山高EB</v>
      </c>
      <c r="D35" t="str">
        <f>Data!E35</f>
        <v>600350.SH</v>
      </c>
      <c r="E35" t="str">
        <f>Data!F35</f>
        <v>山东高速</v>
      </c>
      <c r="F35" s="6">
        <f>Data!D35</f>
        <v>94.5</v>
      </c>
      <c r="G35" s="6">
        <f>Data!N35</f>
        <v>94.090740184478605</v>
      </c>
      <c r="H35" s="2">
        <f t="shared" si="1"/>
        <v>4.3496290359601453E-3</v>
      </c>
      <c r="I35" s="2">
        <f>IF(Data!V35=0,"",Data!V35)</f>
        <v>-2.7085650389427301E-3</v>
      </c>
      <c r="J35" s="2">
        <f>IF(Data!W35=0,"",Data!W35)</f>
        <v>1.2594381548464401E-2</v>
      </c>
      <c r="K35" s="2">
        <f t="shared" si="2"/>
        <v>0.71240487795306973</v>
      </c>
      <c r="L35" s="2">
        <f>IF(Data!X35=0,"",Data!X35)</f>
        <v>8.1897567515079605E-4</v>
      </c>
      <c r="M35" s="2">
        <f>IF(Data!Y35=0,"",Data!Y35)</f>
        <v>-9.11662054614237E-4</v>
      </c>
      <c r="N35" s="2">
        <f>IF(Data!Z35=0,"",Data!Z35)</f>
        <v>6.73197767928782E-5</v>
      </c>
      <c r="O35" s="2">
        <f>IF(Data!AA35=0,"",Data!AA35)</f>
        <v>1.1673216446681E-3</v>
      </c>
      <c r="P35" s="2">
        <f>IF(Data!AB35=0,"",Data!AB35)</f>
        <v>-4.8426526878669303E-3</v>
      </c>
      <c r="Q35" s="2">
        <f>IF(Data!AC35=0,"",Data!AC35)</f>
        <v>-1.17290986757545E-2</v>
      </c>
      <c r="R35" s="2">
        <f>IF(Data!AD35=0,"",Data!AD35)</f>
        <v>-5.4670397011908501E-3</v>
      </c>
      <c r="S35" s="2">
        <f>IF(Data!AE35=0,"",Data!AE35)</f>
        <v>1.8559552048812E-2</v>
      </c>
      <c r="T35" s="2" t="str">
        <f>IF(Data!AF35=0,"",Data!AF35)</f>
        <v/>
      </c>
      <c r="U35" s="2" t="str">
        <f>IF(Data!AG35=0,"",Data!AG35)</f>
        <v/>
      </c>
      <c r="V35" s="2" t="str">
        <f>IF(Data!AH35=0,"",Data!AH35)</f>
        <v/>
      </c>
      <c r="W35" s="2" t="str">
        <f>IF(Data!AI35=0,"",Data!AI35)</f>
        <v/>
      </c>
    </row>
    <row r="36" spans="1:23">
      <c r="A36" s="1">
        <f>Data!A36</f>
        <v>43045</v>
      </c>
      <c r="B36" t="str">
        <f>Data!B36</f>
        <v>132009.SH</v>
      </c>
      <c r="C36" t="str">
        <f>Data!C36</f>
        <v>17中油EB</v>
      </c>
      <c r="D36" t="str">
        <f>Data!E36</f>
        <v>601857.SH</v>
      </c>
      <c r="E36" t="str">
        <f>Data!F36</f>
        <v>中国石油</v>
      </c>
      <c r="F36" s="6">
        <f>Data!D36</f>
        <v>102.49</v>
      </c>
      <c r="G36" s="6">
        <f>Data!N36</f>
        <v>98.085955112322097</v>
      </c>
      <c r="H36" s="2">
        <f t="shared" si="1"/>
        <v>4.4899852202434642E-2</v>
      </c>
      <c r="I36" s="2">
        <f>IF(Data!V36=0,"",Data!V36)</f>
        <v>5.2422202660257197E-2</v>
      </c>
      <c r="J36" s="2">
        <f>IF(Data!W36=0,"",Data!W36)</f>
        <v>1.48055404123994E-2</v>
      </c>
      <c r="K36" s="2">
        <f t="shared" si="2"/>
        <v>0.3056997692464577</v>
      </c>
      <c r="L36" s="2">
        <f>IF(Data!X36=0,"",Data!X36)</f>
        <v>4.2375873615796401E-2</v>
      </c>
      <c r="M36" s="2">
        <f>IF(Data!Y36=0,"",Data!Y36)</f>
        <v>4.7287586445369102E-2</v>
      </c>
      <c r="N36" s="2">
        <f>IF(Data!Z36=0,"",Data!Z36)</f>
        <v>6.2186785304291198E-2</v>
      </c>
      <c r="O36" s="2">
        <f>IF(Data!AA36=0,"",Data!AA36)</f>
        <v>6.1142506857198201E-2</v>
      </c>
      <c r="P36" s="2">
        <f>IF(Data!AB36=0,"",Data!AB36)</f>
        <v>3.1026091873840499E-2</v>
      </c>
      <c r="Q36" s="2" t="str">
        <f>IF(Data!AC36=0,"",Data!AC36)</f>
        <v/>
      </c>
      <c r="R36" s="2" t="str">
        <f>IF(Data!AD36=0,"",Data!AD36)</f>
        <v/>
      </c>
      <c r="S36" s="2" t="str">
        <f>IF(Data!AE36=0,"",Data!AE36)</f>
        <v/>
      </c>
      <c r="T36" s="2" t="str">
        <f>IF(Data!AF36=0,"",Data!AF36)</f>
        <v/>
      </c>
      <c r="U36" s="2" t="str">
        <f>IF(Data!AG36=0,"",Data!AG36)</f>
        <v/>
      </c>
      <c r="V36" s="2" t="str">
        <f>IF(Data!AH36=0,"",Data!AH36)</f>
        <v/>
      </c>
      <c r="W36" s="2" t="str">
        <f>IF(Data!AI36=0,"",Data!AI36)</f>
        <v/>
      </c>
    </row>
    <row r="37" spans="1:23">
      <c r="A37" s="1">
        <f>Data!A37</f>
        <v>43045</v>
      </c>
      <c r="B37" t="str">
        <f>Data!B37</f>
        <v>132010.SH</v>
      </c>
      <c r="C37" t="str">
        <f>Data!C37</f>
        <v>17桐昆EB</v>
      </c>
      <c r="D37" t="str">
        <f>Data!E37</f>
        <v>601233.SH</v>
      </c>
      <c r="E37" t="str">
        <f>Data!F37</f>
        <v>桐昆股份</v>
      </c>
      <c r="F37" s="6">
        <f>Data!D37</f>
        <v>111.88</v>
      </c>
      <c r="G37" s="6">
        <f>Data!N37</f>
        <v>115.351859510266</v>
      </c>
      <c r="H37" s="2">
        <f t="shared" si="1"/>
        <v>-3.0097993435095116E-2</v>
      </c>
      <c r="I37" s="2">
        <f>IF(Data!V37=0,"",Data!V37)</f>
        <v>-4.1970622310360597E-2</v>
      </c>
      <c r="J37" s="2">
        <f>IF(Data!W37=0,"",Data!W37)</f>
        <v>4.0207613603871602E-2</v>
      </c>
      <c r="K37" s="2">
        <f t="shared" si="2"/>
        <v>0.61611118807029497</v>
      </c>
      <c r="L37" s="2">
        <f>IF(Data!X37=0,"",Data!X37)</f>
        <v>-3.5024554150307002E-2</v>
      </c>
      <c r="M37" s="2">
        <f>IF(Data!Y37=0,"",Data!Y37)</f>
        <v>-3.9916173948916701E-2</v>
      </c>
      <c r="N37" s="2">
        <f>IF(Data!Z37=0,"",Data!Z37)</f>
        <v>-1.3399861920329499E-2</v>
      </c>
      <c r="O37" s="2">
        <f>IF(Data!AA37=0,"",Data!AA37)</f>
        <v>-7.3527568166332699E-2</v>
      </c>
      <c r="P37" s="2" t="str">
        <f>IF(Data!AB37=0,"",Data!AB37)</f>
        <v/>
      </c>
      <c r="Q37" s="2" t="str">
        <f>IF(Data!AC37=0,"",Data!AC37)</f>
        <v/>
      </c>
      <c r="R37" s="2" t="str">
        <f>IF(Data!AD37=0,"",Data!AD37)</f>
        <v/>
      </c>
      <c r="S37" s="2" t="str">
        <f>IF(Data!AE37=0,"",Data!AE37)</f>
        <v/>
      </c>
      <c r="T37" s="2" t="str">
        <f>IF(Data!AF37=0,"",Data!AF37)</f>
        <v/>
      </c>
      <c r="U37" s="2" t="str">
        <f>IF(Data!AG37=0,"",Data!AG37)</f>
        <v/>
      </c>
      <c r="V37" s="2" t="str">
        <f>IF(Data!AH37=0,"",Data!AH37)</f>
        <v/>
      </c>
      <c r="W37" s="2" t="str">
        <f>IF(Data!AI37=0,"",Data!AI37)</f>
        <v/>
      </c>
    </row>
    <row r="38" spans="1:23">
      <c r="A38" s="1">
        <f>Data!A38</f>
        <v>43045</v>
      </c>
      <c r="B38" t="str">
        <f>Data!B38</f>
        <v>132011.SH</v>
      </c>
      <c r="C38" t="str">
        <f>Data!C38</f>
        <v>17浙报EB</v>
      </c>
      <c r="D38" t="str">
        <f>Data!E38</f>
        <v>600633.SH</v>
      </c>
      <c r="E38" t="str">
        <f>Data!F38</f>
        <v>浙数文化</v>
      </c>
      <c r="F38" s="6">
        <f>Data!D38</f>
        <v>90.2</v>
      </c>
      <c r="G38" s="6">
        <f>Data!N38</f>
        <v>94.297406994901905</v>
      </c>
      <c r="H38" s="2">
        <f t="shared" si="1"/>
        <v>-4.3451958282621939E-2</v>
      </c>
      <c r="I38" s="2">
        <f>IF(Data!V38=0,"",Data!V38)</f>
        <v>-4.8712848209831398E-2</v>
      </c>
      <c r="J38" s="2">
        <f>IF(Data!W38=0,"",Data!W38)</f>
        <v>1.6750516100331701E-2</v>
      </c>
      <c r="K38" s="2">
        <f t="shared" si="2"/>
        <v>0.62326731746270525</v>
      </c>
      <c r="L38" s="2">
        <f>IF(Data!X38=0,"",Data!X38)</f>
        <v>-4.2034752007374603E-2</v>
      </c>
      <c r="M38" s="2">
        <f>IF(Data!Y38=0,"",Data!Y38)</f>
        <v>-5.5266978674596803E-2</v>
      </c>
      <c r="N38" s="2">
        <f>IF(Data!Z38=0,"",Data!Z38)</f>
        <v>-5.1036375474635902E-2</v>
      </c>
      <c r="O38" s="2">
        <f>IF(Data!AA38=0,"",Data!AA38)</f>
        <v>-3.65763113323695E-2</v>
      </c>
      <c r="P38" s="2" t="str">
        <f>IF(Data!AB38=0,"",Data!AB38)</f>
        <v/>
      </c>
      <c r="Q38" s="2" t="str">
        <f>IF(Data!AC38=0,"",Data!AC38)</f>
        <v/>
      </c>
      <c r="R38" s="2" t="str">
        <f>IF(Data!AD38=0,"",Data!AD38)</f>
        <v/>
      </c>
      <c r="S38" s="2" t="str">
        <f>IF(Data!AE38=0,"",Data!AE38)</f>
        <v/>
      </c>
      <c r="T38" s="2" t="str">
        <f>IF(Data!AF38=0,"",Data!AF38)</f>
        <v/>
      </c>
      <c r="U38" s="2" t="str">
        <f>IF(Data!AG38=0,"",Data!AG38)</f>
        <v/>
      </c>
      <c r="V38" s="2" t="str">
        <f>IF(Data!AH38=0,"",Data!AH38)</f>
        <v/>
      </c>
      <c r="W38" s="2" t="str">
        <f>IF(Data!AI38=0,"",Data!AI38)</f>
        <v/>
      </c>
    </row>
    <row r="39" spans="1:23">
      <c r="A39" s="1">
        <f>Data!A39</f>
        <v>43045</v>
      </c>
      <c r="B39" t="str">
        <f>Data!B39</f>
        <v>132012.SH</v>
      </c>
      <c r="C39" t="str">
        <f>Data!C39</f>
        <v>17巨化EB</v>
      </c>
      <c r="D39" t="str">
        <f>Data!E39</f>
        <v>600160.SH</v>
      </c>
      <c r="E39" t="str">
        <f>Data!F39</f>
        <v>巨化股份</v>
      </c>
      <c r="F39" s="6">
        <f>Data!D39</f>
        <v>99.89</v>
      </c>
      <c r="G39" s="6">
        <f>Data!N39</f>
        <v>107.801702348912</v>
      </c>
      <c r="H39" s="2">
        <f t="shared" si="1"/>
        <v>-7.3391256135315164E-2</v>
      </c>
      <c r="I39" s="2">
        <f>IF(Data!V39=0,"",Data!V39)</f>
        <v>-9.2617263697219204E-2</v>
      </c>
      <c r="J39" s="2">
        <f>IF(Data!W39=0,"",Data!W39)</f>
        <v>1.73195412642905E-2</v>
      </c>
      <c r="K39" s="2">
        <f t="shared" si="2"/>
        <v>0.86651686677561246</v>
      </c>
      <c r="L39" s="2">
        <f>IF(Data!X39=0,"",Data!X39)</f>
        <v>-6.8049245184848894E-2</v>
      </c>
      <c r="M39" s="2">
        <f>IF(Data!Y39=0,"",Data!Y39)</f>
        <v>-8.4159212225898894E-2</v>
      </c>
      <c r="N39" s="2">
        <f>IF(Data!Z39=0,"",Data!Z39)</f>
        <v>-0.104720211150315</v>
      </c>
      <c r="O39" s="2" t="str">
        <f>IF(Data!AA39=0,"",Data!AA39)</f>
        <v/>
      </c>
      <c r="P39" s="2" t="str">
        <f>IF(Data!AB39=0,"",Data!AB39)</f>
        <v/>
      </c>
      <c r="Q39" s="2" t="str">
        <f>IF(Data!AC39=0,"",Data!AC39)</f>
        <v/>
      </c>
      <c r="R39" s="2" t="str">
        <f>IF(Data!AD39=0,"",Data!AD39)</f>
        <v/>
      </c>
      <c r="S39" s="2" t="str">
        <f>IF(Data!AE39=0,"",Data!AE39)</f>
        <v/>
      </c>
      <c r="T39" s="2" t="str">
        <f>IF(Data!AF39=0,"",Data!AF39)</f>
        <v/>
      </c>
      <c r="U39" s="2" t="str">
        <f>IF(Data!AG39=0,"",Data!AG39)</f>
        <v/>
      </c>
      <c r="V39" s="2" t="str">
        <f>IF(Data!AH39=0,"",Data!AH39)</f>
        <v/>
      </c>
      <c r="W39" s="2" t="str">
        <f>IF(Data!AI39=0,"",Data!AI39)</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9"/>
  <sheetViews>
    <sheetView workbookViewId="0">
      <selection activeCell="A2" sqref="A2:O2"/>
    </sheetView>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115</v>
      </c>
      <c r="B1" t="s">
        <v>109</v>
      </c>
      <c r="C1" t="s">
        <v>109</v>
      </c>
      <c r="D1" t="s">
        <v>111</v>
      </c>
      <c r="E1" t="s">
        <v>112</v>
      </c>
      <c r="F1" t="s">
        <v>136</v>
      </c>
      <c r="G1" t="s">
        <v>120</v>
      </c>
      <c r="H1" s="5" t="str">
        <f>Data!P1</f>
        <v>Delta</v>
      </c>
      <c r="I1" s="4" t="str">
        <f>Data!Q1</f>
        <v>对冲比例</v>
      </c>
      <c r="J1" s="2" t="s">
        <v>138</v>
      </c>
      <c r="K1" t="str">
        <f>Data!R1</f>
        <v>Theta</v>
      </c>
      <c r="L1" t="str">
        <f>Data!S1</f>
        <v>期权流逝</v>
      </c>
      <c r="M1" t="str">
        <f>Data!T1</f>
        <v>溢价流逝</v>
      </c>
      <c r="N1" t="s">
        <v>127</v>
      </c>
      <c r="O1" t="s">
        <v>128</v>
      </c>
    </row>
    <row r="2" spans="1:15">
      <c r="A2" s="1">
        <f>Data!A2</f>
        <v>43045</v>
      </c>
      <c r="B2" t="str">
        <f>Data!B2</f>
        <v>110030.SH</v>
      </c>
      <c r="C2" t="str">
        <f>Data!C2</f>
        <v>格力转债</v>
      </c>
      <c r="D2" t="str">
        <f>Data!E2</f>
        <v>600185.SH</v>
      </c>
      <c r="E2" t="str">
        <f>Data!F2</f>
        <v>格力地产</v>
      </c>
      <c r="F2" s="6">
        <f>Data!L2</f>
        <v>98.203400000000002</v>
      </c>
      <c r="G2" s="6">
        <f>Data!M2</f>
        <v>6.6156507703140397</v>
      </c>
      <c r="H2" s="5">
        <f>Data!P2</f>
        <v>0.38125508171608802</v>
      </c>
      <c r="I2" s="3">
        <f>Data!Q2</f>
        <v>5.26595416734928</v>
      </c>
      <c r="J2" t="str">
        <f>ROUND(10*Data!D2,0)&amp;":"&amp;ROUND(Data!G2*I2*10,0)</f>
        <v>1079:307</v>
      </c>
      <c r="K2">
        <f>Data!R2</f>
        <v>-0.22248189203678201</v>
      </c>
      <c r="L2" s="6">
        <f>Data!S2</f>
        <v>-1.47186250043406</v>
      </c>
      <c r="M2" s="6">
        <f>Data!T2</f>
        <v>-4.5706041577368204</v>
      </c>
      <c r="N2" s="2">
        <f>Data!J2</f>
        <v>0.25793366497712</v>
      </c>
      <c r="O2" s="2">
        <f>Data!K2</f>
        <v>0.34517874305180402</v>
      </c>
    </row>
    <row r="3" spans="1:15">
      <c r="A3" s="1">
        <f>Data!A3</f>
        <v>43045</v>
      </c>
      <c r="B3" t="str">
        <f>Data!B3</f>
        <v>110031.SH</v>
      </c>
      <c r="C3" t="str">
        <f>Data!C3</f>
        <v>航信转债</v>
      </c>
      <c r="D3" t="str">
        <f>Data!E3</f>
        <v>600271.SH</v>
      </c>
      <c r="E3" t="str">
        <f>Data!F3</f>
        <v>航天信息</v>
      </c>
      <c r="F3" s="6">
        <f>Data!L3</f>
        <v>93.693600000000004</v>
      </c>
      <c r="G3" s="6">
        <f>Data!M3</f>
        <v>0.47232020979231298</v>
      </c>
      <c r="H3" s="5">
        <f>Data!P3</f>
        <v>6.5240495258272801E-2</v>
      </c>
      <c r="I3" s="3">
        <f>Data!Q3</f>
        <v>0.15243106368755299</v>
      </c>
      <c r="J3" t="str">
        <f>ROUND(10*Data!D3,0)&amp;":"&amp;ROUND(Data!G3*I3*10,0)</f>
        <v>1042:30</v>
      </c>
      <c r="K3">
        <f>Data!R3</f>
        <v>-0.162377342812731</v>
      </c>
      <c r="L3" s="6">
        <f>Data!S3</f>
        <v>-7.6694100622827693E-2</v>
      </c>
      <c r="M3" s="6">
        <f>Data!T3</f>
        <v>-2.9115377094972099</v>
      </c>
      <c r="N3" s="2">
        <f>Data!J3</f>
        <v>0.22304772379632301</v>
      </c>
      <c r="O3" s="2">
        <f>Data!K3</f>
        <v>0.60157378540724404</v>
      </c>
    </row>
    <row r="4" spans="1:15">
      <c r="A4" s="1">
        <f>Data!A4</f>
        <v>43045</v>
      </c>
      <c r="B4" t="str">
        <f>Data!B4</f>
        <v>110032.SH</v>
      </c>
      <c r="C4" t="str">
        <f>Data!C4</f>
        <v>三一转债</v>
      </c>
      <c r="D4" t="str">
        <f>Data!E4</f>
        <v>600031.SH</v>
      </c>
      <c r="E4" t="str">
        <f>Data!F4</f>
        <v>三一重工</v>
      </c>
      <c r="F4" s="6">
        <f>Data!L4</f>
        <v>90.832099999999997</v>
      </c>
      <c r="G4" s="6">
        <f>Data!M4</f>
        <v>28.978818565318502</v>
      </c>
      <c r="H4" s="5">
        <f>Data!P4</f>
        <v>0.68549221328216703</v>
      </c>
      <c r="I4" s="3">
        <f>Data!Q4</f>
        <v>9.2260055623441009</v>
      </c>
      <c r="J4" t="str">
        <f>ROUND(10*Data!D4,0)&amp;":"&amp;ROUND(Data!G4*I4*10,0)</f>
        <v>1176:720</v>
      </c>
      <c r="K4">
        <f>Data!R4</f>
        <v>-0.24416132927141501</v>
      </c>
      <c r="L4" s="6">
        <f>Data!S4</f>
        <v>-7.0755068616233299</v>
      </c>
      <c r="M4" s="6">
        <f>Data!T4</f>
        <v>-6.4237276119402997</v>
      </c>
      <c r="N4" s="2">
        <f>Data!J4</f>
        <v>0.28914388087720799</v>
      </c>
      <c r="O4" s="2">
        <f>Data!K4</f>
        <v>0.26468863853201702</v>
      </c>
    </row>
    <row r="5" spans="1:15">
      <c r="A5" s="1">
        <f>Data!A5</f>
        <v>43045</v>
      </c>
      <c r="B5" t="str">
        <f>Data!B5</f>
        <v>110033.SH</v>
      </c>
      <c r="C5" t="str">
        <f>Data!C5</f>
        <v>国贸转债</v>
      </c>
      <c r="D5" t="str">
        <f>Data!E5</f>
        <v>600755.SH</v>
      </c>
      <c r="E5" t="str">
        <f>Data!F5</f>
        <v>厦门国贸</v>
      </c>
      <c r="F5" s="6">
        <f>Data!L5</f>
        <v>92.339699999999993</v>
      </c>
      <c r="G5" s="6">
        <f>Data!M5</f>
        <v>51.228085307735199</v>
      </c>
      <c r="H5" s="5">
        <f>Data!P5</f>
        <v>0.76355880869547899</v>
      </c>
      <c r="I5" s="3">
        <f>Data!Q5</f>
        <v>8.6669558308226904</v>
      </c>
      <c r="J5" t="str">
        <f>ROUND(10*Data!D5,0)&amp;":"&amp;ROUND(Data!G5*I5*10,0)</f>
        <v>1257:912</v>
      </c>
      <c r="K5">
        <f>Data!R5</f>
        <v>-0.40585158828442702</v>
      </c>
      <c r="L5" s="6">
        <f>Data!S5</f>
        <v>-20.790999786914501</v>
      </c>
      <c r="M5" s="6">
        <f>Data!T5</f>
        <v>-8.0224181838122401</v>
      </c>
      <c r="N5" s="2">
        <f>Data!J5</f>
        <v>0.44418277457674799</v>
      </c>
      <c r="O5" s="2">
        <f>Data!K5</f>
        <v>0.213822050051585</v>
      </c>
    </row>
    <row r="6" spans="1:15">
      <c r="A6" s="1">
        <f>Data!A6</f>
        <v>43045</v>
      </c>
      <c r="B6" t="str">
        <f>Data!B6</f>
        <v>110034.SH</v>
      </c>
      <c r="C6" t="str">
        <f>Data!C6</f>
        <v>九州转债</v>
      </c>
      <c r="D6" t="str">
        <f>Data!E6</f>
        <v>600998.SH</v>
      </c>
      <c r="E6" t="str">
        <f>Data!F6</f>
        <v>九州通</v>
      </c>
      <c r="F6" s="6">
        <f>Data!L6</f>
        <v>91.224500000000006</v>
      </c>
      <c r="G6" s="6">
        <f>Data!M6</f>
        <v>26.1316514989491</v>
      </c>
      <c r="H6" s="5">
        <f>Data!P6</f>
        <v>0.70082535133219204</v>
      </c>
      <c r="I6" s="3">
        <f>Data!Q6</f>
        <v>3.7577766827463401</v>
      </c>
      <c r="J6" t="str">
        <f>ROUND(10*Data!D6,0)&amp;":"&amp;ROUND(Data!G6*I6*10,0)</f>
        <v>1205:755</v>
      </c>
      <c r="K6">
        <f>Data!R6</f>
        <v>-0.52353829523182005</v>
      </c>
      <c r="L6" s="6">
        <f>Data!S6</f>
        <v>-13.680920277351801</v>
      </c>
      <c r="M6" s="6">
        <f>Data!T6</f>
        <v>-6.9940410764872496</v>
      </c>
      <c r="N6" s="2">
        <f>Data!J6</f>
        <v>0.22638573226317299</v>
      </c>
      <c r="O6" s="2">
        <f>Data!K6</f>
        <v>0.27194025391774501</v>
      </c>
    </row>
    <row r="7" spans="1:15">
      <c r="A7" s="1">
        <f>Data!A7</f>
        <v>43045</v>
      </c>
      <c r="B7" t="str">
        <f>Data!B7</f>
        <v>113008.SH</v>
      </c>
      <c r="C7" t="str">
        <f>Data!C7</f>
        <v>电气转债</v>
      </c>
      <c r="D7" t="str">
        <f>Data!E7</f>
        <v>601727.SH</v>
      </c>
      <c r="E7" t="str">
        <f>Data!F7</f>
        <v>上海电气</v>
      </c>
      <c r="F7" s="6">
        <f>Data!L7</f>
        <v>95.021199999999993</v>
      </c>
      <c r="G7" s="6">
        <f>Data!M7</f>
        <v>10.0602630205327</v>
      </c>
      <c r="H7" s="5">
        <f>Data!P7</f>
        <v>0.44973287602365303</v>
      </c>
      <c r="I7" s="3">
        <f>Data!Q7</f>
        <v>4.2995494839737303</v>
      </c>
      <c r="J7" t="str">
        <f>ROUND(10*Data!D7,0)&amp;":"&amp;ROUND(Data!G7*I7*10,0)</f>
        <v>1046:358</v>
      </c>
      <c r="K7">
        <f>Data!R7</f>
        <v>-0.28731691009096499</v>
      </c>
      <c r="L7" s="6">
        <f>Data!S7</f>
        <v>-2.8904836857618599</v>
      </c>
      <c r="M7" s="6">
        <f>Data!T7</f>
        <v>-2.9650180383314599</v>
      </c>
      <c r="N7" s="2">
        <f>Data!J7</f>
        <v>0.269624609959429</v>
      </c>
      <c r="O7" s="2">
        <f>Data!K7</f>
        <v>0.27440951449779799</v>
      </c>
    </row>
    <row r="8" spans="1:15">
      <c r="A8" s="1">
        <f>Data!A8</f>
        <v>43045</v>
      </c>
      <c r="B8" t="str">
        <f>Data!B8</f>
        <v>113009.SH</v>
      </c>
      <c r="C8" t="str">
        <f>Data!C8</f>
        <v>广汽转债</v>
      </c>
      <c r="D8" t="str">
        <f>Data!E8</f>
        <v>601238.SH</v>
      </c>
      <c r="E8" t="str">
        <f>Data!F8</f>
        <v>广汽集团</v>
      </c>
      <c r="F8" s="6">
        <f>Data!L8</f>
        <v>90.530199999999994</v>
      </c>
      <c r="G8" s="6">
        <f>Data!M8</f>
        <v>42.047284276848004</v>
      </c>
      <c r="H8" s="5">
        <f>Data!P8</f>
        <v>0.82366917991828603</v>
      </c>
      <c r="I8" s="3">
        <f>Data!Q8</f>
        <v>3.8435332707339498</v>
      </c>
      <c r="J8" t="str">
        <f>ROUND(10*Data!D8,0)&amp;":"&amp;ROUND(Data!G8*I8*10,0)</f>
        <v>1298:1062</v>
      </c>
      <c r="K8">
        <f>Data!R8</f>
        <v>-0.59005572968487796</v>
      </c>
      <c r="L8" s="6">
        <f>Data!S8</f>
        <v>-24.8102410052431</v>
      </c>
      <c r="M8" s="6">
        <f>Data!T8</f>
        <v>-9.3167398047722294</v>
      </c>
      <c r="N8" s="2">
        <f>Data!J8</f>
        <v>0.219951937670505</v>
      </c>
      <c r="O8" s="2">
        <f>Data!K8</f>
        <v>0.183396298916992</v>
      </c>
    </row>
    <row r="9" spans="1:15">
      <c r="A9" s="1">
        <f>Data!A9</f>
        <v>43045</v>
      </c>
      <c r="B9" t="str">
        <f>Data!B9</f>
        <v>113010.SH</v>
      </c>
      <c r="C9" t="str">
        <f>Data!C9</f>
        <v>江南转债</v>
      </c>
      <c r="D9" t="str">
        <f>Data!E9</f>
        <v>601199.SH</v>
      </c>
      <c r="E9" t="str">
        <f>Data!F9</f>
        <v>江南水务</v>
      </c>
      <c r="F9" s="6">
        <f>Data!L9</f>
        <v>91.706299999999999</v>
      </c>
      <c r="G9" s="6">
        <f>Data!M9</f>
        <v>1.62446307204687</v>
      </c>
      <c r="H9" s="5">
        <f>Data!P9</f>
        <v>0.16771286198621899</v>
      </c>
      <c r="I9" s="3">
        <f>Data!Q9</f>
        <v>1.8033641073786899</v>
      </c>
      <c r="J9" t="str">
        <f>ROUND(10*Data!D9,0)&amp;":"&amp;ROUND(Data!G9*I9*10,0)</f>
        <v>1041:110</v>
      </c>
      <c r="K9">
        <f>Data!R9</f>
        <v>-6.8906565892912802E-2</v>
      </c>
      <c r="L9" s="6">
        <f>Data!S9</f>
        <v>-0.111936171714601</v>
      </c>
      <c r="M9" s="6">
        <f>Data!T9</f>
        <v>-2.84429403141361</v>
      </c>
      <c r="N9" s="2">
        <f>Data!J9</f>
        <v>0.15268595621439601</v>
      </c>
      <c r="O9" s="2">
        <f>Data!K9</f>
        <v>0.37982072389002403</v>
      </c>
    </row>
    <row r="10" spans="1:15">
      <c r="A10" s="1">
        <f>Data!A10</f>
        <v>43045</v>
      </c>
      <c r="B10" t="str">
        <f>Data!B10</f>
        <v>113011.SH</v>
      </c>
      <c r="C10" t="str">
        <f>Data!C10</f>
        <v>光大转债</v>
      </c>
      <c r="D10" t="str">
        <f>Data!E10</f>
        <v>601818.SH</v>
      </c>
      <c r="E10" t="str">
        <f>Data!F10</f>
        <v>光大银行</v>
      </c>
      <c r="F10" s="6">
        <f>Data!L10</f>
        <v>85.162000000000006</v>
      </c>
      <c r="G10" s="6">
        <f>Data!M10</f>
        <v>12.4227154337778</v>
      </c>
      <c r="H10" s="5">
        <f>Data!P10</f>
        <v>0.58404104399038803</v>
      </c>
      <c r="I10" s="3">
        <f>Data!Q10</f>
        <v>13.709883661746201</v>
      </c>
      <c r="J10" t="str">
        <f>ROUND(10*Data!D10,0)&amp;":"&amp;ROUND(Data!G10*I10*10,0)</f>
        <v>1082:548</v>
      </c>
      <c r="K10">
        <f>Data!R10</f>
        <v>-7.2752016800678804E-2</v>
      </c>
      <c r="L10" s="6">
        <f>Data!S10</f>
        <v>-0.90377760194825496</v>
      </c>
      <c r="M10" s="6">
        <f>Data!T10</f>
        <v>-4.3018363729333604</v>
      </c>
      <c r="N10" s="2">
        <f>Data!J10</f>
        <v>0.13544448605694301</v>
      </c>
      <c r="O10" s="2">
        <f>Data!K10</f>
        <v>0.26300668170077601</v>
      </c>
    </row>
    <row r="11" spans="1:15">
      <c r="A11" s="1">
        <f>Data!A11</f>
        <v>43045</v>
      </c>
      <c r="B11" t="str">
        <f>Data!B11</f>
        <v>113012.SH</v>
      </c>
      <c r="C11" t="str">
        <f>Data!C11</f>
        <v>骆驼转债</v>
      </c>
      <c r="D11" t="str">
        <f>Data!E11</f>
        <v>601311.SH</v>
      </c>
      <c r="E11" t="str">
        <f>Data!F11</f>
        <v>骆驼股份</v>
      </c>
      <c r="F11" s="6">
        <f>Data!L11</f>
        <v>84.768299999999996</v>
      </c>
      <c r="G11" s="6">
        <f>Data!M11</f>
        <v>16.568008109641699</v>
      </c>
      <c r="H11" s="5">
        <f>Data!P11</f>
        <v>0.54931159468645196</v>
      </c>
      <c r="I11" s="3">
        <f>Data!Q11</f>
        <v>3.2853564275505498</v>
      </c>
      <c r="J11" t="str">
        <f>ROUND(10*Data!D11,0)&amp;":"&amp;ROUND(Data!G11*I11*10,0)</f>
        <v>1059:451</v>
      </c>
      <c r="K11">
        <f>Data!R11</f>
        <v>-0.38552999955857398</v>
      </c>
      <c r="L11" s="6">
        <f>Data!S11</f>
        <v>-6.3874641591966199</v>
      </c>
      <c r="M11" s="6">
        <f>Data!T11</f>
        <v>-3.9340962126358701</v>
      </c>
      <c r="N11" s="2">
        <f>Data!J11</f>
        <v>0.26760470726013202</v>
      </c>
      <c r="O11" s="2">
        <f>Data!K11</f>
        <v>0.33132122658240898</v>
      </c>
    </row>
    <row r="12" spans="1:15">
      <c r="A12" s="1">
        <f>Data!A12</f>
        <v>43045</v>
      </c>
      <c r="B12" t="str">
        <f>Data!B12</f>
        <v>113013.SH</v>
      </c>
      <c r="C12" t="str">
        <f>Data!C12</f>
        <v>国君转债</v>
      </c>
      <c r="D12" t="str">
        <f>Data!E12</f>
        <v>601211.SH</v>
      </c>
      <c r="E12" t="str">
        <f>Data!F12</f>
        <v>国泰君安</v>
      </c>
      <c r="F12" s="6">
        <f>Data!L12</f>
        <v>83.922399999999996</v>
      </c>
      <c r="G12" s="6">
        <f>Data!M12</f>
        <v>22.324024179897901</v>
      </c>
      <c r="H12" s="5">
        <f>Data!P12</f>
        <v>0.65450713264514904</v>
      </c>
      <c r="I12" s="3">
        <f>Data!Q12</f>
        <v>3.24013432002549</v>
      </c>
      <c r="J12" t="str">
        <f>ROUND(10*Data!D12,0)&amp;":"&amp;ROUND(Data!G12*I12*10,0)</f>
        <v>1159:648</v>
      </c>
      <c r="K12">
        <f>Data!R12</f>
        <v>-0.44922247456224801</v>
      </c>
      <c r="L12" s="6">
        <f>Data!S12</f>
        <v>-10.0284533842812</v>
      </c>
      <c r="M12" s="6">
        <f>Data!T12</f>
        <v>-5.6534143548387101</v>
      </c>
      <c r="N12" s="2">
        <f>Data!J12</f>
        <v>0.20705564455376299</v>
      </c>
      <c r="O12" s="2">
        <f>Data!K12</f>
        <v>0.320824374778514</v>
      </c>
    </row>
    <row r="13" spans="1:15">
      <c r="A13" s="1">
        <f>Data!A13</f>
        <v>43045</v>
      </c>
      <c r="B13" t="str">
        <f>Data!B13</f>
        <v>113014.SH</v>
      </c>
      <c r="C13" t="str">
        <f>Data!C13</f>
        <v>林洋转债</v>
      </c>
      <c r="D13" t="str">
        <f>Data!E13</f>
        <v>601222.SH</v>
      </c>
      <c r="E13" t="str">
        <f>Data!F13</f>
        <v>林洋能源</v>
      </c>
      <c r="F13" s="6">
        <f>Data!L13</f>
        <v>83.561800000000005</v>
      </c>
      <c r="G13" s="6">
        <f>Data!M13</f>
        <v>29.829014227534699</v>
      </c>
      <c r="H13" s="5">
        <f>Data!P13</f>
        <v>0.67993103144025602</v>
      </c>
      <c r="I13" s="3">
        <f>Data!Q13</f>
        <v>7.7264889936392702</v>
      </c>
      <c r="J13" t="str">
        <f>ROUND(10*Data!D13,0)&amp;":"&amp;ROUND(Data!G13*I13*10,0)</f>
        <v>1000:678</v>
      </c>
      <c r="K13">
        <f>Data!R13</f>
        <v>-0.22931783779560999</v>
      </c>
      <c r="L13" s="6">
        <f>Data!S13</f>
        <v>-6.8403250462327501</v>
      </c>
      <c r="M13" s="6">
        <f>Data!T13</f>
        <v>-2.7511812203700901</v>
      </c>
      <c r="N13" s="2">
        <f>Data!J13</f>
        <v>0.27930675751686102</v>
      </c>
      <c r="O13" s="2">
        <f>Data!K13</f>
        <v>0.12851864649382899</v>
      </c>
    </row>
    <row r="14" spans="1:15">
      <c r="A14" s="1">
        <f>Data!A14</f>
        <v>43045</v>
      </c>
      <c r="B14" t="str">
        <f>Data!B14</f>
        <v>113015.SH</v>
      </c>
      <c r="C14" t="str">
        <f>Data!C14</f>
        <v>隆基转债</v>
      </c>
      <c r="D14" t="str">
        <f>Data!E14</f>
        <v>601012.SH</v>
      </c>
      <c r="E14" t="str">
        <f>Data!F14</f>
        <v>隆基股份</v>
      </c>
      <c r="F14" s="6">
        <f>Data!L14</f>
        <v>83.094999999999999</v>
      </c>
      <c r="G14" s="6">
        <f>Data!M14</f>
        <v>46.301334479156701</v>
      </c>
      <c r="H14" s="5">
        <f>Data!P14</f>
        <v>0.74409776602368805</v>
      </c>
      <c r="I14" s="3">
        <f>Data!Q14</f>
        <v>2.3001476538599301</v>
      </c>
      <c r="J14" t="str">
        <f>ROUND(10*Data!D14,0)&amp;":"&amp;ROUND(Data!G14*I14*10,0)</f>
        <v>1000:785</v>
      </c>
      <c r="K14">
        <f>Data!R14</f>
        <v>-1.1057639690088601</v>
      </c>
      <c r="L14" s="6">
        <f>Data!S14</f>
        <v>-51.198347384079199</v>
      </c>
      <c r="M14" s="6">
        <f>Data!T14</f>
        <v>-2.8224013268262902</v>
      </c>
      <c r="N14" s="2">
        <f>Data!J14</f>
        <v>0.423580480928888</v>
      </c>
      <c r="O14" s="2">
        <f>Data!K14</f>
        <v>8.3635408518235393E-2</v>
      </c>
    </row>
    <row r="15" spans="1:15">
      <c r="A15" s="1">
        <f>Data!A15</f>
        <v>43045</v>
      </c>
      <c r="B15" t="str">
        <f>Data!B15</f>
        <v>113016.SH</v>
      </c>
      <c r="C15" t="str">
        <f>Data!C15</f>
        <v>小康转债</v>
      </c>
      <c r="D15" t="str">
        <f>Data!E15</f>
        <v>601127.SH</v>
      </c>
      <c r="E15" t="str">
        <f>Data!F15</f>
        <v>小康转债</v>
      </c>
      <c r="F15" s="6">
        <f>Data!L15</f>
        <v>83.450800000000001</v>
      </c>
      <c r="G15" s="6">
        <f>Data!M15</f>
        <v>43.2356680277096</v>
      </c>
      <c r="H15" s="5">
        <f>Data!P15</f>
        <v>0.73269091934577402</v>
      </c>
      <c r="I15" s="3">
        <f>Data!Q15</f>
        <v>3.1856126928077102</v>
      </c>
      <c r="J15" t="str">
        <f>ROUND(10*Data!D15,0)&amp;":"&amp;ROUND(Data!G15*I15*10,0)</f>
        <v>1000:762</v>
      </c>
      <c r="K15">
        <f>Data!R15</f>
        <v>-0.754920076988425</v>
      </c>
      <c r="L15" s="6">
        <f>Data!S15</f>
        <v>-32.639473836124502</v>
      </c>
      <c r="M15" s="6">
        <f>Data!T15</f>
        <v>-2.7584865276297799</v>
      </c>
      <c r="N15" s="2">
        <f>Data!J15</f>
        <v>0.39913866972294698</v>
      </c>
      <c r="O15" s="2">
        <f>Data!K15</f>
        <v>9.3325028120548298E-2</v>
      </c>
    </row>
    <row r="16" spans="1:15">
      <c r="A16" s="1">
        <f>Data!A16</f>
        <v>43045</v>
      </c>
      <c r="B16" t="str">
        <f>Data!B16</f>
        <v>120001.SZ</v>
      </c>
      <c r="C16" t="str">
        <f>Data!C16</f>
        <v>16以岭EB</v>
      </c>
      <c r="D16" t="str">
        <f>Data!E16</f>
        <v>002603.SZ</v>
      </c>
      <c r="E16" t="str">
        <f>Data!F16</f>
        <v>以岭药业</v>
      </c>
      <c r="F16" s="6">
        <f>Data!L16</f>
        <v>94.339500000000001</v>
      </c>
      <c r="G16" s="6">
        <f>Data!M16</f>
        <v>11.157585336557201</v>
      </c>
      <c r="H16" s="5">
        <f>Data!P16</f>
        <v>0.55131637369495301</v>
      </c>
      <c r="I16" s="3">
        <f>Data!Q16</f>
        <v>3.0972829982862602</v>
      </c>
      <c r="J16" t="str">
        <f>ROUND(10*Data!D16,0)&amp;":"&amp;ROUND(Data!G16*I16*10,0)</f>
        <v>1075:520</v>
      </c>
      <c r="K16">
        <f>Data!R16</f>
        <v>-0.40364311866811697</v>
      </c>
      <c r="L16" s="6">
        <f>Data!S16</f>
        <v>-4.50368254205359</v>
      </c>
      <c r="M16" s="6">
        <f>Data!T16</f>
        <v>-3.8173505168301101</v>
      </c>
      <c r="N16" s="2">
        <f>Data!J16</f>
        <v>0.16478189065069901</v>
      </c>
      <c r="O16" s="2">
        <f>Data!K16</f>
        <v>0.201155534277456</v>
      </c>
    </row>
    <row r="17" spans="1:15">
      <c r="A17" s="1">
        <f>Data!A17</f>
        <v>43045</v>
      </c>
      <c r="B17" t="str">
        <f>Data!B17</f>
        <v>123001.SZ</v>
      </c>
      <c r="C17" t="str">
        <f>Data!C17</f>
        <v>蓝标转债</v>
      </c>
      <c r="D17" t="str">
        <f>Data!E17</f>
        <v>300058.SZ</v>
      </c>
      <c r="E17" t="str">
        <f>Data!F17</f>
        <v>蓝色光标</v>
      </c>
      <c r="F17" s="6">
        <f>Data!L17</f>
        <v>93.067899999999995</v>
      </c>
      <c r="G17" s="6">
        <f>Data!M17</f>
        <v>10.3570876103439</v>
      </c>
      <c r="H17" s="5">
        <f>Data!P17</f>
        <v>0.44091153544948702</v>
      </c>
      <c r="I17" s="3">
        <f>Data!Q17</f>
        <v>4.5129123382751999</v>
      </c>
      <c r="J17" t="str">
        <f>ROUND(10*Data!D17,0)&amp;":"&amp;ROUND(Data!G17*I17*10,0)</f>
        <v>1014:315</v>
      </c>
      <c r="K17">
        <f>Data!R17</f>
        <v>-0.23419022687890201</v>
      </c>
      <c r="L17" s="6">
        <f>Data!S17</f>
        <v>-2.4255286972711101</v>
      </c>
      <c r="M17" s="6">
        <f>Data!T17</f>
        <v>-2.02002586015539</v>
      </c>
      <c r="N17" s="2">
        <f>Data!J17</f>
        <v>0.29932174400501299</v>
      </c>
      <c r="O17" s="2">
        <f>Data!K17</f>
        <v>0.27505440768355799</v>
      </c>
    </row>
    <row r="18" spans="1:15">
      <c r="A18" s="1">
        <f>Data!A18</f>
        <v>43045</v>
      </c>
      <c r="B18" t="str">
        <f>Data!B18</f>
        <v>127003.SZ</v>
      </c>
      <c r="C18" t="str">
        <f>Data!C18</f>
        <v>海印转债</v>
      </c>
      <c r="D18" t="str">
        <f>Data!E18</f>
        <v>000861.SZ</v>
      </c>
      <c r="E18" t="str">
        <f>Data!F18</f>
        <v>海印股份</v>
      </c>
      <c r="F18" s="6">
        <f>Data!L18</f>
        <v>92.472099999999998</v>
      </c>
      <c r="G18" s="6">
        <f>Data!M18</f>
        <v>3.6816113797236798</v>
      </c>
      <c r="H18" s="5">
        <f>Data!P18</f>
        <v>0.26941167665951998</v>
      </c>
      <c r="I18" s="3">
        <f>Data!Q18</f>
        <v>5.1316509839908502</v>
      </c>
      <c r="J18" t="str">
        <f>ROUND(10*Data!D18,0)&amp;":"&amp;ROUND(Data!G18*I18*10,0)</f>
        <v>995:181</v>
      </c>
      <c r="K18">
        <f>Data!R18</f>
        <v>-6.2508485874467196E-2</v>
      </c>
      <c r="L18" s="6">
        <f>Data!S18</f>
        <v>-0.23013195292473501</v>
      </c>
      <c r="M18" s="6">
        <f>Data!T18</f>
        <v>-1.52362238597889</v>
      </c>
      <c r="N18" s="2">
        <f>Data!J18</f>
        <v>0.18786088146586599</v>
      </c>
      <c r="O18" s="2">
        <f>Data!K18</f>
        <v>0.25864878229048199</v>
      </c>
    </row>
    <row r="19" spans="1:15">
      <c r="A19" s="1">
        <f>Data!A19</f>
        <v>43045</v>
      </c>
      <c r="B19" t="str">
        <f>Data!B19</f>
        <v>127004.SZ</v>
      </c>
      <c r="C19" t="str">
        <f>Data!C19</f>
        <v>模塑转债</v>
      </c>
      <c r="D19" t="str">
        <f>Data!E19</f>
        <v>000700.SZ</v>
      </c>
      <c r="E19" t="str">
        <f>Data!F19</f>
        <v>模塑科技</v>
      </c>
      <c r="F19" s="6">
        <f>Data!L19</f>
        <v>88.595200000000006</v>
      </c>
      <c r="G19" s="6">
        <f>Data!M19</f>
        <v>17.164834973042399</v>
      </c>
      <c r="H19" s="5">
        <f>Data!P19</f>
        <v>0.55019692025385003</v>
      </c>
      <c r="I19" s="3">
        <f>Data!Q19</f>
        <v>6.8774615031731203</v>
      </c>
      <c r="J19" t="str">
        <f>ROUND(10*Data!D19,0)&amp;":"&amp;ROUND(Data!G19*I19*10,0)</f>
        <v>1028:435</v>
      </c>
      <c r="K19">
        <f>Data!R19</f>
        <v>-0.18669058339731401</v>
      </c>
      <c r="L19" s="6">
        <f>Data!S19</f>
        <v>-3.2045130550358998</v>
      </c>
      <c r="M19" s="6">
        <f>Data!T19</f>
        <v>-2.5585434568710999</v>
      </c>
      <c r="N19" s="2">
        <f>Data!J19</f>
        <v>0.292094172781658</v>
      </c>
      <c r="O19" s="2">
        <f>Data!K19</f>
        <v>0.25409750710417101</v>
      </c>
    </row>
    <row r="20" spans="1:15">
      <c r="A20" s="1">
        <f>Data!A20</f>
        <v>43045</v>
      </c>
      <c r="B20" t="str">
        <f>Data!B20</f>
        <v>128010.SZ</v>
      </c>
      <c r="C20" t="str">
        <f>Data!C20</f>
        <v>顺昌转债</v>
      </c>
      <c r="D20" t="str">
        <f>Data!E20</f>
        <v>002245.SZ</v>
      </c>
      <c r="E20" t="str">
        <f>Data!F20</f>
        <v>澳洋顺昌</v>
      </c>
      <c r="F20" s="6">
        <f>Data!L20</f>
        <v>92.535399999999996</v>
      </c>
      <c r="G20" s="6">
        <f>Data!M20</f>
        <v>28.465659571280799</v>
      </c>
      <c r="H20" s="5">
        <f>Data!P20</f>
        <v>0.67544319924310903</v>
      </c>
      <c r="I20" s="3">
        <f>Data!Q20</f>
        <v>7.2472446270719901</v>
      </c>
      <c r="J20" t="str">
        <f>ROUND(10*Data!D20,0)&amp;":"&amp;ROUND(Data!G20*I20*10,0)</f>
        <v>1164:694</v>
      </c>
      <c r="K20">
        <f>Data!R20</f>
        <v>-0.30907464223418102</v>
      </c>
      <c r="L20" s="6">
        <f>Data!S20</f>
        <v>-8.7980135479536106</v>
      </c>
      <c r="M20" s="6">
        <f>Data!T20</f>
        <v>-5.6791308026030398</v>
      </c>
      <c r="N20" s="2">
        <f>Data!J20</f>
        <v>0.29986227183516001</v>
      </c>
      <c r="O20" s="2">
        <f>Data!K20</f>
        <v>0.247115064763617</v>
      </c>
    </row>
    <row r="21" spans="1:15">
      <c r="A21" s="1">
        <f>Data!A21</f>
        <v>43045</v>
      </c>
      <c r="B21" t="str">
        <f>Data!B21</f>
        <v>128012.SZ</v>
      </c>
      <c r="C21" t="str">
        <f>Data!C21</f>
        <v>辉丰转债</v>
      </c>
      <c r="D21" t="str">
        <f>Data!E21</f>
        <v>002496.SZ</v>
      </c>
      <c r="E21" t="str">
        <f>Data!F21</f>
        <v>辉丰股份</v>
      </c>
      <c r="F21" s="6">
        <f>Data!L21</f>
        <v>86.8416</v>
      </c>
      <c r="G21" s="6">
        <f>Data!M21</f>
        <v>12.2690591605476</v>
      </c>
      <c r="H21" s="5">
        <f>Data!P21</f>
        <v>0.47664762959662599</v>
      </c>
      <c r="I21" s="3">
        <f>Data!Q21</f>
        <v>6.1582381084835296</v>
      </c>
      <c r="J21" t="str">
        <f>ROUND(10*Data!D21,0)&amp;":"&amp;ROUND(Data!G21*I21*10,0)</f>
        <v>1032:352</v>
      </c>
      <c r="K21">
        <f>Data!R21</f>
        <v>-0.187868436824945</v>
      </c>
      <c r="L21" s="6">
        <f>Data!S21</f>
        <v>-2.30496896580485</v>
      </c>
      <c r="M21" s="6">
        <f>Data!T21</f>
        <v>-3.67652368259176</v>
      </c>
      <c r="N21" s="2">
        <f>Data!J21</f>
        <v>0.29870841546636101</v>
      </c>
      <c r="O21" s="2">
        <f>Data!K21</f>
        <v>0.37095662393521001</v>
      </c>
    </row>
    <row r="22" spans="1:15">
      <c r="A22" s="1">
        <f>Data!A22</f>
        <v>43045</v>
      </c>
      <c r="B22" t="str">
        <f>Data!B22</f>
        <v>128013.SZ</v>
      </c>
      <c r="C22" t="str">
        <f>Data!C22</f>
        <v>洪涛转债</v>
      </c>
      <c r="D22" t="str">
        <f>Data!E22</f>
        <v>002325.SZ</v>
      </c>
      <c r="E22" t="str">
        <f>Data!F22</f>
        <v>洪涛股份</v>
      </c>
      <c r="F22" s="6">
        <f>Data!L22</f>
        <v>90.145300000000006</v>
      </c>
      <c r="G22" s="6">
        <f>Data!M22</f>
        <v>6.7745306964758596</v>
      </c>
      <c r="H22" s="5">
        <f>Data!P22</f>
        <v>0.35601771421302297</v>
      </c>
      <c r="I22" s="3">
        <f>Data!Q22</f>
        <v>3.5495285564608401</v>
      </c>
      <c r="J22" t="str">
        <f>ROUND(10*Data!D22,0)&amp;":"&amp;ROUND(Data!G22*I22*10,0)</f>
        <v>996:202</v>
      </c>
      <c r="K22">
        <f>Data!R22</f>
        <v>-0.17575035996954699</v>
      </c>
      <c r="L22" s="6">
        <f>Data!S22</f>
        <v>-1.19062620853038</v>
      </c>
      <c r="M22" s="6">
        <f>Data!T22</f>
        <v>-2.0081419597989898</v>
      </c>
      <c r="N22" s="2">
        <f>Data!J22</f>
        <v>0.31959641054902599</v>
      </c>
      <c r="O22" s="2">
        <f>Data!K22</f>
        <v>0.38015471149004698</v>
      </c>
    </row>
    <row r="23" spans="1:15">
      <c r="A23" s="1">
        <f>Data!A23</f>
        <v>43045</v>
      </c>
      <c r="B23" t="str">
        <f>Data!B23</f>
        <v>128014.SZ</v>
      </c>
      <c r="C23" t="str">
        <f>Data!C23</f>
        <v>永东转债</v>
      </c>
      <c r="D23" t="str">
        <f>Data!E23</f>
        <v>002753.SZ</v>
      </c>
      <c r="E23" t="str">
        <f>Data!F23</f>
        <v>永东股份</v>
      </c>
      <c r="F23" s="6">
        <f>Data!L23</f>
        <v>87.592799999999997</v>
      </c>
      <c r="G23" s="6">
        <f>Data!M23</f>
        <v>57.857938567582998</v>
      </c>
      <c r="H23" s="5">
        <f>Data!P23</f>
        <v>0.78242174608008597</v>
      </c>
      <c r="I23" s="3">
        <f>Data!Q23</f>
        <v>3.8241532066475399</v>
      </c>
      <c r="J23" t="str">
        <f>ROUND(10*Data!D23,0)&amp;":"&amp;ROUND(Data!G23*I23*10,0)</f>
        <v>1172:863</v>
      </c>
      <c r="K23">
        <f>Data!R23</f>
        <v>-0.86802457789956899</v>
      </c>
      <c r="L23" s="6">
        <f>Data!S23</f>
        <v>-50.222112703265502</v>
      </c>
      <c r="M23" s="6">
        <f>Data!T23</f>
        <v>-5.4378324664429503</v>
      </c>
      <c r="N23" s="2">
        <f>Data!J23</f>
        <v>0.54857610710805904</v>
      </c>
      <c r="O23" s="2">
        <f>Data!K23</f>
        <v>0.209151400765763</v>
      </c>
    </row>
    <row r="24" spans="1:15">
      <c r="A24" s="1">
        <f>Data!A24</f>
        <v>43045</v>
      </c>
      <c r="B24" t="str">
        <f>Data!B24</f>
        <v>128015.SZ</v>
      </c>
      <c r="C24" t="str">
        <f>Data!C24</f>
        <v>久其转债</v>
      </c>
      <c r="D24" t="str">
        <f>Data!E24</f>
        <v>002279.SZ</v>
      </c>
      <c r="E24" t="str">
        <f>Data!F24</f>
        <v>久其软件</v>
      </c>
      <c r="F24" s="6">
        <f>Data!L24</f>
        <v>86.212100000000007</v>
      </c>
      <c r="G24" s="6">
        <f>Data!M24</f>
        <v>25.430220463955202</v>
      </c>
      <c r="H24" s="5">
        <f>Data!P24</f>
        <v>0.64063454464503899</v>
      </c>
      <c r="I24" s="3">
        <f>Data!Q24</f>
        <v>4.9661592608142504</v>
      </c>
      <c r="J24" t="str">
        <f>ROUND(10*Data!D24,0)&amp;":"&amp;ROUND(Data!G24*I24*10,0)</f>
        <v>1102:595</v>
      </c>
      <c r="K24">
        <f>Data!R24</f>
        <v>-0.34270804882258898</v>
      </c>
      <c r="L24" s="6">
        <f>Data!S24</f>
        <v>-8.7151412363303695</v>
      </c>
      <c r="M24" s="6">
        <f>Data!T24</f>
        <v>-4.2868999345977699</v>
      </c>
      <c r="N24" s="2">
        <f>Data!J24</f>
        <v>0.291742093294378</v>
      </c>
      <c r="O24" s="2">
        <f>Data!K24</f>
        <v>0.27508441503956599</v>
      </c>
    </row>
    <row r="25" spans="1:15">
      <c r="A25" s="1">
        <f>Data!A25</f>
        <v>43045</v>
      </c>
      <c r="B25" t="str">
        <f>Data!B25</f>
        <v>128016.SZ</v>
      </c>
      <c r="C25" t="str">
        <f>Data!C25</f>
        <v>雨虹转债</v>
      </c>
      <c r="D25" t="str">
        <f>Data!E25</f>
        <v>002271.SZ</v>
      </c>
      <c r="E25" t="str">
        <f>Data!F25</f>
        <v>东方雨虹</v>
      </c>
      <c r="F25" s="6">
        <f>Data!L25</f>
        <v>83.5017</v>
      </c>
      <c r="G25" s="6">
        <f>Data!M25</f>
        <v>32.776266933568202</v>
      </c>
      <c r="H25" s="5">
        <f>Data!P25</f>
        <v>0.68596631389565399</v>
      </c>
      <c r="I25" s="3">
        <f>Data!Q25</f>
        <v>1.78265674089307</v>
      </c>
      <c r="J25" t="str">
        <f>ROUND(10*Data!D25,0)&amp;":"&amp;ROUND(Data!G25*I25*10,0)</f>
        <v>1162:672</v>
      </c>
      <c r="K25">
        <f>Data!R25</f>
        <v>-1.1089873281271101</v>
      </c>
      <c r="L25" s="6">
        <f>Data!S25</f>
        <v>-36.3484646926387</v>
      </c>
      <c r="M25" s="6">
        <f>Data!T25</f>
        <v>-5.5647345956852403</v>
      </c>
      <c r="N25" s="2">
        <f>Data!J25</f>
        <v>0.33054873436913901</v>
      </c>
      <c r="O25" s="2">
        <f>Data!K25</f>
        <v>0.33044503119410001</v>
      </c>
    </row>
    <row r="26" spans="1:15">
      <c r="A26" s="1">
        <f>Data!A26</f>
        <v>43045</v>
      </c>
      <c r="B26" t="str">
        <f>Data!B26</f>
        <v>128017.SZ</v>
      </c>
      <c r="C26" t="str">
        <f>Data!C26</f>
        <v>金禾转债</v>
      </c>
      <c r="D26" t="str">
        <f>Data!E26</f>
        <v>002597.SZ</v>
      </c>
      <c r="E26" t="str">
        <f>Data!F26</f>
        <v>金禾实业</v>
      </c>
      <c r="F26" s="6">
        <f>Data!L26</f>
        <v>83.105999999999995</v>
      </c>
      <c r="G26" s="6">
        <f>Data!M26</f>
        <v>29.354516741929999</v>
      </c>
      <c r="H26" s="5">
        <f>Data!P26</f>
        <v>0.67617074168431601</v>
      </c>
      <c r="I26" s="3">
        <f>Data!Q26</f>
        <v>2.8268007595498199</v>
      </c>
      <c r="J26" t="str">
        <f>ROUND(10*Data!D26,0)&amp;":"&amp;ROUND(Data!G26*I26*10,0)</f>
        <v>1000:669</v>
      </c>
      <c r="K26">
        <f>Data!R26</f>
        <v>-0.61993743057636896</v>
      </c>
      <c r="L26" s="6">
        <f>Data!S26</f>
        <v>-18.197963684803099</v>
      </c>
      <c r="M26" s="6">
        <f>Data!T26</f>
        <v>-2.8217217729630799</v>
      </c>
      <c r="N26" s="2">
        <f>Data!J26</f>
        <v>0.27925807424274302</v>
      </c>
      <c r="O26" s="2">
        <f>Data!K26</f>
        <v>0.13842748428527701</v>
      </c>
    </row>
    <row r="27" spans="1:15">
      <c r="A27" s="1">
        <f>Data!A27</f>
        <v>43045</v>
      </c>
      <c r="B27" t="str">
        <f>Data!B27</f>
        <v>128018.SZ</v>
      </c>
      <c r="C27" t="str">
        <f>Data!C27</f>
        <v>时达转债</v>
      </c>
      <c r="D27" t="str">
        <f>Data!E27</f>
        <v>002527.SZ</v>
      </c>
      <c r="E27" t="str">
        <f>Data!F27</f>
        <v>新时达</v>
      </c>
      <c r="F27" s="6">
        <f>Data!L27</f>
        <v>80.462299999999999</v>
      </c>
      <c r="G27" s="6">
        <f>Data!M27</f>
        <v>29.291424710572301</v>
      </c>
      <c r="H27" s="5">
        <f>Data!P27</f>
        <v>0.67475785688752798</v>
      </c>
      <c r="I27" s="3">
        <f>Data!Q27</f>
        <v>5.6702340914918299</v>
      </c>
      <c r="J27" t="str">
        <f>ROUND(10*Data!D27,0)&amp;":"&amp;ROUND(Data!G27*I27*10,0)</f>
        <v>1000:665</v>
      </c>
      <c r="K27">
        <f>Data!R27</f>
        <v>-0.30875239030127799</v>
      </c>
      <c r="L27" s="6">
        <f>Data!S27</f>
        <v>-9.0437973947190997</v>
      </c>
      <c r="M27" s="6">
        <f>Data!T27</f>
        <v>-3.2566456842746199</v>
      </c>
      <c r="N27" s="2">
        <f>Data!J27</f>
        <v>0.28143158188952999</v>
      </c>
      <c r="O27" s="2">
        <f>Data!K27</f>
        <v>0.17084214759184799</v>
      </c>
    </row>
    <row r="28" spans="1:15">
      <c r="A28" s="1">
        <f>Data!A28</f>
        <v>43045</v>
      </c>
      <c r="B28" t="str">
        <f>Data!B28</f>
        <v>132001.SH</v>
      </c>
      <c r="C28" t="str">
        <f>Data!C28</f>
        <v>14宝钢EB</v>
      </c>
      <c r="D28" t="str">
        <f>Data!E28</f>
        <v>601336.SH</v>
      </c>
      <c r="E28" t="str">
        <f>Data!F28</f>
        <v>新华保险</v>
      </c>
      <c r="F28" s="6">
        <f>Data!L28</f>
        <v>102.6116</v>
      </c>
      <c r="G28" s="6">
        <f>Data!M28</f>
        <v>45.608867658673802</v>
      </c>
      <c r="H28" s="5">
        <f>Data!P28</f>
        <v>0.99979448298057805</v>
      </c>
      <c r="I28" s="3">
        <f>Data!Q28</f>
        <v>2.3630217040429602</v>
      </c>
      <c r="J28" t="str">
        <f>ROUND(10*Data!D28,0)&amp;":"&amp;ROUND(Data!G28*I28*10,0)</f>
        <v>1438:1454</v>
      </c>
      <c r="K28">
        <f>Data!R28</f>
        <v>-0.66250731568655596</v>
      </c>
      <c r="L28" s="6">
        <f>Data!S28</f>
        <v>-30.2162084840514</v>
      </c>
      <c r="M28" s="6">
        <f>Data!T28</f>
        <v>-460.66426530612301</v>
      </c>
      <c r="N28" s="2">
        <f>Data!J28</f>
        <v>0.36144612112548802</v>
      </c>
      <c r="O28" s="2">
        <f>Data!K28</f>
        <v>0.37965862274169898</v>
      </c>
    </row>
    <row r="29" spans="1:15">
      <c r="A29" s="1">
        <f>Data!A29</f>
        <v>43045</v>
      </c>
      <c r="B29" t="str">
        <f>Data!B29</f>
        <v>132002.SH</v>
      </c>
      <c r="C29" t="str">
        <f>Data!C29</f>
        <v>15天集EB</v>
      </c>
      <c r="D29" t="str">
        <f>Data!E29</f>
        <v>600535.SH</v>
      </c>
      <c r="E29" t="str">
        <f>Data!F29</f>
        <v>天士力</v>
      </c>
      <c r="F29" s="6">
        <f>Data!L29</f>
        <v>91.166600000000003</v>
      </c>
      <c r="G29" s="6">
        <f>Data!M29</f>
        <v>0.99836101500416796</v>
      </c>
      <c r="H29" s="5">
        <f>Data!P29</f>
        <v>0.124261774764674</v>
      </c>
      <c r="I29" s="3">
        <f>Data!Q29</f>
        <v>0.22181680607760501</v>
      </c>
      <c r="J29" t="str">
        <f>ROUND(10*Data!D29,0)&amp;":"&amp;ROUND(Data!G29*I29*10,0)</f>
        <v>1034:85</v>
      </c>
      <c r="K29">
        <f>Data!R29</f>
        <v>-0.46444140470010398</v>
      </c>
      <c r="L29" s="6">
        <f>Data!S29</f>
        <v>-0.46368019220635798</v>
      </c>
      <c r="M29" s="6">
        <f>Data!T29</f>
        <v>-4.7317460261391702</v>
      </c>
      <c r="N29" s="2">
        <f>Data!J29</f>
        <v>0.163916560689021</v>
      </c>
      <c r="O29" s="2">
        <f>Data!K29</f>
        <v>0.468696833133533</v>
      </c>
    </row>
    <row r="30" spans="1:15">
      <c r="A30" s="1">
        <f>Data!A30</f>
        <v>43045</v>
      </c>
      <c r="B30" t="str">
        <f>Data!B30</f>
        <v>132003.SH</v>
      </c>
      <c r="C30" t="str">
        <f>Data!C30</f>
        <v>15清控EB</v>
      </c>
      <c r="D30" t="str">
        <f>Data!E30</f>
        <v>600109.SH</v>
      </c>
      <c r="E30" t="str">
        <f>Data!F30</f>
        <v>国金证券</v>
      </c>
      <c r="F30" s="6">
        <f>Data!L30</f>
        <v>96.540700000000001</v>
      </c>
      <c r="G30" s="6">
        <f>Data!M30</f>
        <v>0.271589217082567</v>
      </c>
      <c r="H30" s="5">
        <f>Data!P30</f>
        <v>4.6800790268062498E-2</v>
      </c>
      <c r="I30" s="3">
        <f>Data!Q30</f>
        <v>0.27940770309291002</v>
      </c>
      <c r="J30" t="str">
        <f>ROUND(10*Data!D30,0)&amp;":"&amp;ROUND(Data!G30*I30*10,0)</f>
        <v>1004:30</v>
      </c>
      <c r="K30">
        <f>Data!R30</f>
        <v>-0.13643140770256601</v>
      </c>
      <c r="L30" s="6">
        <f>Data!S30</f>
        <v>-3.70532992034125E-2</v>
      </c>
      <c r="M30" s="6">
        <f>Data!T30</f>
        <v>-3.9425174858223002</v>
      </c>
      <c r="N30" s="2">
        <f>Data!J30</f>
        <v>0.24150753853456</v>
      </c>
      <c r="O30" s="2">
        <f>Data!K30</f>
        <v>0.488433398507571</v>
      </c>
    </row>
    <row r="31" spans="1:15">
      <c r="A31" s="1">
        <f>Data!A31</f>
        <v>43045</v>
      </c>
      <c r="B31" t="str">
        <f>Data!B31</f>
        <v>132004.SH</v>
      </c>
      <c r="C31" t="str">
        <f>Data!C31</f>
        <v>15国盛EB</v>
      </c>
      <c r="D31" t="str">
        <f>Data!E31</f>
        <v>600170.SH</v>
      </c>
      <c r="E31" t="str">
        <f>Data!F31</f>
        <v>上海建工</v>
      </c>
      <c r="F31" s="6">
        <f>Data!L31</f>
        <v>88.475200000000001</v>
      </c>
      <c r="G31" s="6">
        <f>Data!M31</f>
        <v>0.38221828199431002</v>
      </c>
      <c r="H31" s="5">
        <f>Data!P31</f>
        <v>5.9129637262565003E-2</v>
      </c>
      <c r="I31" s="3">
        <f>Data!Q31</f>
        <v>0.87469877607344704</v>
      </c>
      <c r="J31" t="str">
        <f>ROUND(10*Data!D31,0)&amp;":"&amp;ROUND(Data!G31*I31*10,0)</f>
        <v>924:34</v>
      </c>
      <c r="K31">
        <f>Data!R31</f>
        <v>-1.9720867186246799E-2</v>
      </c>
      <c r="L31" s="6">
        <f>Data!S31</f>
        <v>-7.5376759753652198E-3</v>
      </c>
      <c r="M31" s="6">
        <f>Data!T31</f>
        <v>-0.98459917733089497</v>
      </c>
      <c r="N31" s="2">
        <f>Data!J31</f>
        <v>0.14720802661638599</v>
      </c>
      <c r="O31" s="2">
        <f>Data!K31</f>
        <v>0.27829001662170599</v>
      </c>
    </row>
    <row r="32" spans="1:15">
      <c r="A32" s="1">
        <f>Data!A32</f>
        <v>43045</v>
      </c>
      <c r="B32" t="str">
        <f>Data!B32</f>
        <v>132005.SH</v>
      </c>
      <c r="C32" t="str">
        <f>Data!C32</f>
        <v>15国资EB</v>
      </c>
      <c r="D32" t="str">
        <f>Data!E32</f>
        <v>601601.SH</v>
      </c>
      <c r="E32" t="str">
        <f>Data!F32</f>
        <v>中国太保</v>
      </c>
      <c r="F32" s="6">
        <f>Data!L32</f>
        <v>99.041899999999998</v>
      </c>
      <c r="G32" s="6">
        <f>Data!M32</f>
        <v>30.3026716282865</v>
      </c>
      <c r="H32" s="5">
        <f>Data!P32</f>
        <v>0.71894901855902404</v>
      </c>
      <c r="I32" s="3">
        <f>Data!Q32</f>
        <v>1.9131160685444999</v>
      </c>
      <c r="J32" t="str">
        <f>ROUND(10*Data!D32,0)&amp;":"&amp;ROUND(Data!G32*I32*10,0)</f>
        <v>1290:810</v>
      </c>
      <c r="K32">
        <f>Data!R32</f>
        <v>-1.4481943700194799</v>
      </c>
      <c r="L32" s="6">
        <f>Data!S32</f>
        <v>-43.884158448633499</v>
      </c>
      <c r="M32" s="6">
        <f>Data!T32</f>
        <v>-9.7053607988165709</v>
      </c>
      <c r="N32" s="2">
        <f>Data!J32</f>
        <v>0.28624793309885299</v>
      </c>
      <c r="O32" s="2">
        <f>Data!K32</f>
        <v>0.30419394870647798</v>
      </c>
    </row>
    <row r="33" spans="1:15">
      <c r="A33" s="1">
        <f>Data!A33</f>
        <v>43045</v>
      </c>
      <c r="B33" t="str">
        <f>Data!B33</f>
        <v>132006.SH</v>
      </c>
      <c r="C33" t="str">
        <f>Data!C33</f>
        <v>16皖新EB</v>
      </c>
      <c r="D33" t="str">
        <f>Data!E33</f>
        <v>601801.SH</v>
      </c>
      <c r="E33" t="str">
        <f>Data!F33</f>
        <v>皖新传媒</v>
      </c>
      <c r="F33" s="6">
        <f>Data!L33</f>
        <v>96.853800000000007</v>
      </c>
      <c r="G33" s="6">
        <f>Data!M33</f>
        <v>7.8431578603198702</v>
      </c>
      <c r="H33" s="5">
        <f>Data!P33</f>
        <v>0.39646290734533401</v>
      </c>
      <c r="I33" s="3">
        <f>Data!Q33</f>
        <v>2.4488135104714899</v>
      </c>
      <c r="J33" t="str">
        <f>ROUND(10*Data!D33,0)&amp;":"&amp;ROUND(Data!G33*I33*10,0)</f>
        <v>1006:294</v>
      </c>
      <c r="K33">
        <f>Data!R33</f>
        <v>-0.36094210646803399</v>
      </c>
      <c r="L33" s="6">
        <f>Data!S33</f>
        <v>-2.8309259194651699</v>
      </c>
      <c r="M33" s="6">
        <f>Data!T33</f>
        <v>-1.0219816167212299</v>
      </c>
      <c r="N33" s="2">
        <f>Data!J33</f>
        <v>0.25362240062598201</v>
      </c>
      <c r="O33" s="2">
        <f>Data!K33</f>
        <v>0.181564546979923</v>
      </c>
    </row>
    <row r="34" spans="1:15">
      <c r="A34" s="1">
        <f>Data!A34</f>
        <v>43045</v>
      </c>
      <c r="B34" t="str">
        <f>Data!B34</f>
        <v>132007.SH</v>
      </c>
      <c r="C34" t="str">
        <f>Data!C34</f>
        <v>16凤凰EB</v>
      </c>
      <c r="D34" t="str">
        <f>Data!E34</f>
        <v>601928.SH</v>
      </c>
      <c r="E34" t="str">
        <f>Data!F34</f>
        <v>凤凰传媒</v>
      </c>
      <c r="F34" s="6">
        <f>Data!L34</f>
        <v>90.183700000000002</v>
      </c>
      <c r="G34" s="6">
        <f>Data!M34</f>
        <v>0.16563280632045299</v>
      </c>
      <c r="H34" s="5">
        <f>Data!P34</f>
        <v>3.1808307904136197E-2</v>
      </c>
      <c r="I34" s="3">
        <f>Data!Q34</f>
        <v>0.201957510502452</v>
      </c>
      <c r="J34" t="str">
        <f>ROUND(10*Data!D34,0)&amp;":"&amp;ROUND(Data!G34*I34*10,0)</f>
        <v>920:18</v>
      </c>
      <c r="K34">
        <f>Data!R34</f>
        <v>-2.4413874077653198E-2</v>
      </c>
      <c r="L34" s="6">
        <f>Data!S34</f>
        <v>-4.04373847663586E-3</v>
      </c>
      <c r="M34" s="6">
        <f>Data!T34</f>
        <v>-0.44600974547122002</v>
      </c>
      <c r="N34" s="2">
        <f>Data!J34</f>
        <v>0.12909432917531899</v>
      </c>
      <c r="O34" s="2">
        <f>Data!K34</f>
        <v>0.21637483928284601</v>
      </c>
    </row>
    <row r="35" spans="1:15">
      <c r="A35" s="1">
        <f>Data!A35</f>
        <v>43045</v>
      </c>
      <c r="B35" t="str">
        <f>Data!B35</f>
        <v>132008.SH</v>
      </c>
      <c r="C35" t="str">
        <f>Data!C35</f>
        <v>17山高EB</v>
      </c>
      <c r="D35" t="str">
        <f>Data!E35</f>
        <v>600350.SH</v>
      </c>
      <c r="E35" t="str">
        <f>Data!F35</f>
        <v>山东高速</v>
      </c>
      <c r="F35" s="6">
        <f>Data!L35</f>
        <v>92.918499999999995</v>
      </c>
      <c r="G35" s="6">
        <f>Data!M35</f>
        <v>1.1722401844785699</v>
      </c>
      <c r="H35" s="5">
        <f>Data!P35</f>
        <v>0.13130261358527201</v>
      </c>
      <c r="I35" s="3">
        <f>Data!Q35</f>
        <v>1.33982258760481</v>
      </c>
      <c r="J35" t="str">
        <f>ROUND(10*Data!D35,0)&amp;":"&amp;ROUND(Data!G35*I35*10,0)</f>
        <v>945:79</v>
      </c>
      <c r="K35">
        <f>Data!R35</f>
        <v>-5.7763861407618397E-2</v>
      </c>
      <c r="L35" s="6">
        <f>Data!S35</f>
        <v>-6.7713119552660794E-2</v>
      </c>
      <c r="M35" s="6">
        <f>Data!T35</f>
        <v>-0.35442949242734501</v>
      </c>
      <c r="N35" s="2">
        <f>Data!J35</f>
        <v>0.15989911395210199</v>
      </c>
      <c r="O35" s="2">
        <f>Data!K35</f>
        <v>0.201313175680611</v>
      </c>
    </row>
    <row r="36" spans="1:15">
      <c r="A36" s="1">
        <f>Data!A36</f>
        <v>43045</v>
      </c>
      <c r="B36" t="str">
        <f>Data!B36</f>
        <v>132009.SH</v>
      </c>
      <c r="C36" t="str">
        <f>Data!C36</f>
        <v>17中油EB</v>
      </c>
      <c r="D36" t="str">
        <f>Data!E36</f>
        <v>601857.SH</v>
      </c>
      <c r="E36" t="str">
        <f>Data!F36</f>
        <v>中国石油</v>
      </c>
      <c r="F36" s="6">
        <f>Data!L36</f>
        <v>88.022499999999994</v>
      </c>
      <c r="G36" s="6">
        <f>Data!M36</f>
        <v>10.063455112322099</v>
      </c>
      <c r="H36" s="5">
        <f>Data!P36</f>
        <v>0.56358118332316798</v>
      </c>
      <c r="I36" s="3">
        <f>Data!Q36</f>
        <v>6.3181747009323797</v>
      </c>
      <c r="J36" t="str">
        <f>ROUND(10*Data!D36,0)&amp;":"&amp;ROUND(Data!G36*I36*10,0)</f>
        <v>1025:529</v>
      </c>
      <c r="K36">
        <f>Data!R36</f>
        <v>-0.14918722600842499</v>
      </c>
      <c r="L36" s="6">
        <f>Data!S36</f>
        <v>-1.5013389522676299</v>
      </c>
      <c r="M36" s="6">
        <f>Data!T36</f>
        <v>-3.09050185329692</v>
      </c>
      <c r="N36" s="2">
        <f>Data!J36</f>
        <v>0.120367937766344</v>
      </c>
      <c r="O36" s="2">
        <f>Data!K36</f>
        <v>0.17922133236572901</v>
      </c>
    </row>
    <row r="37" spans="1:15">
      <c r="A37" s="1">
        <f>Data!A37</f>
        <v>43045</v>
      </c>
      <c r="B37" t="str">
        <f>Data!B37</f>
        <v>132010.SH</v>
      </c>
      <c r="C37" t="str">
        <f>Data!C37</f>
        <v>17桐昆EB</v>
      </c>
      <c r="D37" t="str">
        <f>Data!E37</f>
        <v>601233.SH</v>
      </c>
      <c r="E37" t="str">
        <f>Data!F37</f>
        <v>桐昆股份</v>
      </c>
      <c r="F37" s="6">
        <f>Data!L37</f>
        <v>92.248500000000007</v>
      </c>
      <c r="G37" s="6">
        <f>Data!M37</f>
        <v>23.103359510266301</v>
      </c>
      <c r="H37" s="5">
        <f>Data!P37</f>
        <v>0.60662014451347901</v>
      </c>
      <c r="I37" s="3">
        <f>Data!Q37</f>
        <v>3.5433419656161198</v>
      </c>
      <c r="J37" t="str">
        <f>ROUND(10*Data!D37,0)&amp;":"&amp;ROUND(Data!G37*I37*10,0)</f>
        <v>1119:549</v>
      </c>
      <c r="K37">
        <f>Data!R37</f>
        <v>-0.85030336460118106</v>
      </c>
      <c r="L37" s="6">
        <f>Data!S37</f>
        <v>-19.6448643251702</v>
      </c>
      <c r="M37" s="6">
        <f>Data!T37</f>
        <v>-7.1678867955985304</v>
      </c>
      <c r="N37" s="2">
        <f>Data!J37</f>
        <v>0.42673407271004798</v>
      </c>
      <c r="O37" s="2">
        <f>Data!K37</f>
        <v>0.37114797032566199</v>
      </c>
    </row>
    <row r="38" spans="1:15">
      <c r="A38" s="1">
        <f>Data!A38</f>
        <v>43045</v>
      </c>
      <c r="B38" t="str">
        <f>Data!B38</f>
        <v>132011.SH</v>
      </c>
      <c r="C38" t="str">
        <f>Data!C38</f>
        <v>17浙报EB</v>
      </c>
      <c r="D38" t="str">
        <f>Data!E38</f>
        <v>600633.SH</v>
      </c>
      <c r="E38" t="str">
        <f>Data!F38</f>
        <v>浙数文化</v>
      </c>
      <c r="F38" s="6">
        <f>Data!L38</f>
        <v>86.015000000000001</v>
      </c>
      <c r="G38" s="6">
        <f>Data!M38</f>
        <v>8.2824069949019297</v>
      </c>
      <c r="H38" s="5">
        <f>Data!P38</f>
        <v>0.39450302223901501</v>
      </c>
      <c r="I38" s="3">
        <f>Data!Q38</f>
        <v>1.57801208895606</v>
      </c>
      <c r="J38" t="str">
        <f>ROUND(10*Data!D38,0)&amp;":"&amp;ROUND(Data!G38*I38*10,0)</f>
        <v>902:250</v>
      </c>
      <c r="K38">
        <f>Data!R38</f>
        <v>-0.47722723569051301</v>
      </c>
      <c r="L38" s="6">
        <f>Data!S38</f>
        <v>-3.9525901950408202</v>
      </c>
      <c r="M38" s="6">
        <f>Data!T38</f>
        <v>-0.87604186580003895</v>
      </c>
      <c r="N38" s="2">
        <f>Data!J38</f>
        <v>0.29745119663146002</v>
      </c>
      <c r="O38" s="2">
        <f>Data!K38</f>
        <v>0.22120341366606799</v>
      </c>
    </row>
    <row r="39" spans="1:15">
      <c r="A39" s="1">
        <f>Data!A39</f>
        <v>43045</v>
      </c>
      <c r="B39" t="str">
        <f>Data!B39</f>
        <v>132012.SH</v>
      </c>
      <c r="C39" t="str">
        <f>Data!C39</f>
        <v>17巨化EB</v>
      </c>
      <c r="D39" t="str">
        <f>Data!E39</f>
        <v>600160.SH</v>
      </c>
      <c r="E39" t="str">
        <f>Data!F39</f>
        <v>巨化股份</v>
      </c>
      <c r="F39" s="6">
        <f>Data!L39</f>
        <v>91.856499999999997</v>
      </c>
      <c r="G39" s="6">
        <f>Data!M39</f>
        <v>15.945202348912099</v>
      </c>
      <c r="H39" s="5">
        <f>Data!P39</f>
        <v>0.53226230897123605</v>
      </c>
      <c r="I39" s="3">
        <f>Data!Q39</f>
        <v>3.9456064415955199</v>
      </c>
      <c r="J39" t="str">
        <f>ROUND(10*Data!D39,0)&amp;":"&amp;ROUND(Data!G39*I39*10,0)</f>
        <v>999:444</v>
      </c>
      <c r="K39">
        <f>Data!R39</f>
        <v>-0.54402032207649398</v>
      </c>
      <c r="L39" s="6">
        <f>Data!S39</f>
        <v>-8.6745141174300304</v>
      </c>
      <c r="M39" s="6">
        <f>Data!T39</f>
        <v>-2.8422237479806101</v>
      </c>
      <c r="N39" s="2">
        <f>Data!J39</f>
        <v>0.365650815975951</v>
      </c>
      <c r="O39" s="2">
        <f>Data!K39</f>
        <v>0.226755761397848</v>
      </c>
    </row>
  </sheetData>
  <phoneticPr fontId="1" type="noConversion"/>
  <conditionalFormatting sqref="H2:H39">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L24"/>
  <sheetViews>
    <sheetView workbookViewId="0">
      <selection activeCell="H33" sqref="H33"/>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 min="8" max="9" width="13.25" customWidth="1"/>
    <col min="11" max="12" width="14.75" customWidth="1"/>
  </cols>
  <sheetData>
    <row r="1" spans="2:12" ht="35.25" customHeight="1" thickBot="1"/>
    <row r="2" spans="2:12">
      <c r="B2" s="112" t="s">
        <v>185</v>
      </c>
      <c r="C2" s="113"/>
      <c r="E2" s="112" t="s">
        <v>185</v>
      </c>
      <c r="F2" s="113"/>
      <c r="H2" s="112" t="s">
        <v>207</v>
      </c>
      <c r="I2" s="113"/>
      <c r="K2" s="112" t="s">
        <v>213</v>
      </c>
      <c r="L2" s="113"/>
    </row>
    <row r="3" spans="2:12">
      <c r="B3" s="18" t="s">
        <v>168</v>
      </c>
      <c r="C3" s="14" t="s">
        <v>169</v>
      </c>
      <c r="E3" s="18" t="s">
        <v>165</v>
      </c>
      <c r="F3" s="14">
        <v>41.5</v>
      </c>
      <c r="H3" s="18" t="s">
        <v>111</v>
      </c>
      <c r="I3" s="14" t="s">
        <v>275</v>
      </c>
      <c r="K3" s="18" t="s">
        <v>111</v>
      </c>
      <c r="L3" s="14" t="s">
        <v>274</v>
      </c>
    </row>
    <row r="4" spans="2:12">
      <c r="B4" s="18" t="s">
        <v>171</v>
      </c>
      <c r="C4" s="14" t="s">
        <v>172</v>
      </c>
      <c r="E4" s="18" t="s">
        <v>167</v>
      </c>
      <c r="F4" s="14">
        <v>38.479999999999997</v>
      </c>
      <c r="H4" s="18" t="s">
        <v>170</v>
      </c>
      <c r="I4" s="19" t="str">
        <f>[1]!S_Info_Name(I3)</f>
        <v>久立特材</v>
      </c>
      <c r="K4" s="18" t="s">
        <v>171</v>
      </c>
      <c r="L4" s="14"/>
    </row>
    <row r="5" spans="2:12" ht="14.25" thickBot="1">
      <c r="B5" s="18" t="s">
        <v>174</v>
      </c>
      <c r="C5" s="15">
        <v>1.4999999999999999E-2</v>
      </c>
      <c r="E5" s="18" t="s">
        <v>174</v>
      </c>
      <c r="F5" s="14">
        <v>1.4999999999999999E-2</v>
      </c>
      <c r="H5" s="18" t="s">
        <v>122</v>
      </c>
      <c r="I5" s="19">
        <f>RTD("wdf.rtq", ,I3, "LastPrice","RT_Price")</f>
        <v>8.27</v>
      </c>
      <c r="K5" s="18" t="s">
        <v>174</v>
      </c>
      <c r="L5" s="15">
        <v>1.4999999999999999E-2</v>
      </c>
    </row>
    <row r="6" spans="2:12">
      <c r="B6" s="112" t="s">
        <v>186</v>
      </c>
      <c r="C6" s="113"/>
      <c r="E6" s="18" t="s">
        <v>177</v>
      </c>
      <c r="F6" s="16">
        <v>0.35</v>
      </c>
      <c r="H6" s="37" t="s">
        <v>208</v>
      </c>
      <c r="I6" s="14">
        <v>1.2358</v>
      </c>
      <c r="K6" s="112" t="s">
        <v>186</v>
      </c>
      <c r="L6" s="113"/>
    </row>
    <row r="7" spans="2:12" ht="14.25" thickBot="1">
      <c r="B7" s="18" t="s">
        <v>170</v>
      </c>
      <c r="C7" s="19" t="str">
        <f>[1]!S_Info_Name(C3)</f>
        <v>东方雨虹</v>
      </c>
      <c r="E7" s="20" t="s">
        <v>176</v>
      </c>
      <c r="F7" s="17">
        <v>5.94</v>
      </c>
      <c r="H7" s="37" t="s">
        <v>209</v>
      </c>
      <c r="I7" s="36">
        <v>0.16</v>
      </c>
      <c r="K7" s="18" t="s">
        <v>170</v>
      </c>
      <c r="L7" s="19" t="str">
        <f>[1]!S_Info_Name(L3)</f>
        <v>久立特材</v>
      </c>
    </row>
    <row r="8" spans="2:12">
      <c r="B8" s="18" t="s">
        <v>166</v>
      </c>
      <c r="C8" s="19">
        <f>RTD("wdf.rtq", ,C3, "LastPrice","RT_Price")</f>
        <v>38</v>
      </c>
      <c r="E8" s="112" t="s">
        <v>188</v>
      </c>
      <c r="F8" s="113"/>
      <c r="H8" s="37" t="s">
        <v>210</v>
      </c>
      <c r="I8" s="38">
        <f>I7*I6</f>
        <v>0.19772800000000001</v>
      </c>
      <c r="K8" s="18" t="s">
        <v>166</v>
      </c>
      <c r="L8" s="19">
        <f>RTD("wdf.rtq", ,L3, "LastPrice","RT_Price")</f>
        <v>8.27</v>
      </c>
    </row>
    <row r="9" spans="2:12" ht="14.25" thickBot="1">
      <c r="B9" s="20" t="s">
        <v>177</v>
      </c>
      <c r="C9" s="21">
        <f>[1]!s_risk_stdevr100(C3,"")/100</f>
        <v>0.35096435546874999</v>
      </c>
      <c r="E9" s="18" t="s">
        <v>190</v>
      </c>
      <c r="F9" s="24">
        <f>BlackScholes(F3,F4,F5,F7,0,F6,"C",0,0)</f>
        <v>16.0364369314429</v>
      </c>
      <c r="G9" t="s">
        <v>191</v>
      </c>
      <c r="H9" s="39" t="s">
        <v>211</v>
      </c>
      <c r="I9" s="40">
        <f>I8/I5</f>
        <v>2.3909068923821043E-2</v>
      </c>
      <c r="K9" s="20" t="s">
        <v>177</v>
      </c>
      <c r="L9" s="21">
        <f>[1]!s_risk_stdevr100(L3,"")/100</f>
        <v>0.39496650695800783</v>
      </c>
    </row>
    <row r="10" spans="2:12">
      <c r="B10" s="112" t="s">
        <v>187</v>
      </c>
      <c r="C10" s="113"/>
      <c r="E10" s="18" t="s">
        <v>189</v>
      </c>
      <c r="F10" s="24">
        <f>BlackScholes(F3,F4,F5,F7,0,F6,"C",0,0)*100/F4</f>
        <v>41.674732150319386</v>
      </c>
      <c r="G10" t="s">
        <v>192</v>
      </c>
      <c r="K10" s="112" t="s">
        <v>187</v>
      </c>
      <c r="L10" s="113"/>
    </row>
    <row r="11" spans="2:12">
      <c r="B11" s="18" t="s">
        <v>109</v>
      </c>
      <c r="C11" s="19" t="str">
        <f>[1]!S_Info_Name(C4)</f>
        <v>雨虹转债</v>
      </c>
      <c r="E11" s="18" t="s">
        <v>181</v>
      </c>
      <c r="F11" s="26">
        <f>BlackScholes(F3,F4,F5,F7,0,F6,"C",0,1)</f>
        <v>0.73221861513268105</v>
      </c>
      <c r="K11" s="18" t="s">
        <v>109</v>
      </c>
      <c r="L11" s="19" t="s">
        <v>212</v>
      </c>
    </row>
    <row r="12" spans="2:12" ht="14.25" thickBot="1">
      <c r="B12" s="18" t="s">
        <v>121</v>
      </c>
      <c r="C12" s="19">
        <f>IF(RTD("wdf.rtq", ,C4, "LastPrice","RT_Price")=0,100,RTD("wdf.rtq", ,C4, "LastPrice","RT_Price"))</f>
        <v>116.215</v>
      </c>
      <c r="E12" s="20" t="s">
        <v>182</v>
      </c>
      <c r="F12" s="28">
        <f>BlackScholes(F3,F4,F5,F7,0,F6,"C",0,2)</f>
        <v>9.3015210176909113E-3</v>
      </c>
      <c r="K12" s="18" t="s">
        <v>121</v>
      </c>
      <c r="L12" s="19">
        <v>100</v>
      </c>
    </row>
    <row r="13" spans="2:12">
      <c r="B13" s="18" t="s">
        <v>178</v>
      </c>
      <c r="C13" s="22">
        <f>[1]!cb_anal_straightbondvalue(C4,"")</f>
        <v>83.512799999999999</v>
      </c>
      <c r="K13" s="18" t="s">
        <v>178</v>
      </c>
      <c r="L13" s="22">
        <v>82</v>
      </c>
    </row>
    <row r="14" spans="2:12">
      <c r="B14" s="18" t="s">
        <v>173</v>
      </c>
      <c r="C14" s="22">
        <f>[1]!cb_clause_conversion2_swapshareprice(C4,"")</f>
        <v>38.479999999999997</v>
      </c>
      <c r="K14" s="18" t="s">
        <v>173</v>
      </c>
      <c r="L14" s="22">
        <v>8.3699999999999992</v>
      </c>
    </row>
    <row r="15" spans="2:12">
      <c r="B15" s="18" t="s">
        <v>175</v>
      </c>
      <c r="C15" s="19" t="str">
        <f>[1]!cb_info_maturitydate(C4)</f>
        <v>2023-09-25</v>
      </c>
      <c r="K15" s="18" t="s">
        <v>259</v>
      </c>
      <c r="L15" s="22">
        <f>L8/L14*100</f>
        <v>98.805256869773004</v>
      </c>
    </row>
    <row r="16" spans="2:12" ht="14.25" thickBot="1">
      <c r="B16" s="20" t="s">
        <v>176</v>
      </c>
      <c r="C16" s="23">
        <f ca="1">(C15-TODAY())/365</f>
        <v>5.8849315068493153</v>
      </c>
      <c r="K16" s="20" t="s">
        <v>176</v>
      </c>
      <c r="L16" s="23">
        <v>6</v>
      </c>
    </row>
    <row r="17" spans="2:12">
      <c r="B17" s="112" t="s">
        <v>193</v>
      </c>
      <c r="C17" s="113"/>
      <c r="K17" s="112" t="s">
        <v>188</v>
      </c>
      <c r="L17" s="113"/>
    </row>
    <row r="18" spans="2:12">
      <c r="B18" s="18" t="s">
        <v>120</v>
      </c>
      <c r="C18" s="24">
        <f ca="1">BlackScholes(C8,C14,C5,C16,0,C9,"C",0,0)*100/C14</f>
        <v>35.086435682045817</v>
      </c>
      <c r="K18" s="18" t="s">
        <v>120</v>
      </c>
      <c r="L18" s="24">
        <f>BlackScholes(L8,L14,L5,L16,0,L9,"C",0,0)*100/L14</f>
        <v>39.134206554608703</v>
      </c>
    </row>
    <row r="19" spans="2:12">
      <c r="B19" s="18" t="s">
        <v>179</v>
      </c>
      <c r="C19" s="24">
        <f ca="1">C18+C13</f>
        <v>118.59923568204582</v>
      </c>
      <c r="K19" s="18" t="s">
        <v>179</v>
      </c>
      <c r="L19" s="24">
        <f>L18+L13</f>
        <v>121.13420655460871</v>
      </c>
    </row>
    <row r="20" spans="2:12">
      <c r="B20" s="18" t="s">
        <v>180</v>
      </c>
      <c r="C20" s="25">
        <f ca="1">C12/C19-1</f>
        <v>-2.010329719525128E-2</v>
      </c>
      <c r="K20" s="18" t="s">
        <v>149</v>
      </c>
      <c r="L20" s="25">
        <f>L12/L19-1</f>
        <v>-0.17446935226410354</v>
      </c>
    </row>
    <row r="21" spans="2:12">
      <c r="B21" s="18" t="s">
        <v>181</v>
      </c>
      <c r="C21" s="26">
        <f ca="1">BlackScholes(C8,C14,C5,C16,0,C9,"C",0,1)</f>
        <v>0.69659689056727958</v>
      </c>
      <c r="K21" s="18" t="s">
        <v>135</v>
      </c>
      <c r="L21" s="26">
        <f>BlackScholes(L8,L14,L5,L16,0,L9,"C",0,1)</f>
        <v>0.71373730176617622</v>
      </c>
    </row>
    <row r="22" spans="2:12">
      <c r="B22" s="18" t="s">
        <v>182</v>
      </c>
      <c r="C22" s="26">
        <f ca="1">BlackScholes(C8,C14,C5,C16,0,C9,"C",0,2)</f>
        <v>1.080142066352051E-2</v>
      </c>
      <c r="K22" s="18" t="s">
        <v>182</v>
      </c>
      <c r="L22" s="26">
        <f>BlackScholes(L8,L14,L5,L16,0,L9,"C",0,2)</f>
        <v>4.2521897472418635E-2</v>
      </c>
    </row>
    <row r="23" spans="2:12">
      <c r="B23" s="18" t="s">
        <v>183</v>
      </c>
      <c r="C23" s="26">
        <f ca="1">C21*100/C14</f>
        <v>1.8102829796446975</v>
      </c>
      <c r="K23" s="18" t="s">
        <v>137</v>
      </c>
      <c r="L23" s="26">
        <f>L21*100/L14</f>
        <v>8.5273273807189529</v>
      </c>
    </row>
    <row r="24" spans="2:12" ht="14.25" thickBot="1">
      <c r="B24" s="20" t="s">
        <v>184</v>
      </c>
      <c r="C24" s="27" t="str">
        <f ca="1">ROUND(10*C12,0)&amp;":"&amp;ROUND(C8*C23*10,0)</f>
        <v>1162:688</v>
      </c>
      <c r="K24" s="20" t="s">
        <v>138</v>
      </c>
      <c r="L24" s="27" t="str">
        <f>ROUND(10*L12,0)&amp;":"&amp;ROUND(L8*L23*10,0)</f>
        <v>1000:705</v>
      </c>
    </row>
  </sheetData>
  <mergeCells count="11">
    <mergeCell ref="K17:L17"/>
    <mergeCell ref="H2:I2"/>
    <mergeCell ref="K2:L2"/>
    <mergeCell ref="K6:L6"/>
    <mergeCell ref="K10:L10"/>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L30"/>
  <sheetViews>
    <sheetView tabSelected="1" workbookViewId="0">
      <selection activeCell="E2" sqref="E2"/>
    </sheetView>
  </sheetViews>
  <sheetFormatPr defaultRowHeight="13.5"/>
  <cols>
    <col min="1" max="1" width="11.5" style="103" customWidth="1"/>
    <col min="2" max="2" width="11.5" style="99" customWidth="1"/>
    <col min="3" max="4" width="11.5" style="98" customWidth="1"/>
    <col min="5" max="5" width="11.5" style="99" customWidth="1"/>
    <col min="6" max="6" width="11.5" style="98" customWidth="1"/>
    <col min="7" max="12" width="11.5" style="101" customWidth="1"/>
  </cols>
  <sheetData>
    <row r="1" spans="1:12" ht="30" customHeight="1">
      <c r="A1"/>
      <c r="B1"/>
      <c r="C1"/>
      <c r="D1"/>
      <c r="E1"/>
      <c r="F1"/>
      <c r="G1"/>
      <c r="H1"/>
      <c r="I1"/>
      <c r="J1"/>
      <c r="K1"/>
      <c r="L1"/>
    </row>
    <row r="2" spans="1:12" ht="30" customHeight="1">
      <c r="A2" s="103" t="s">
        <v>369</v>
      </c>
    </row>
    <row r="3" spans="1:12" ht="30" customHeight="1">
      <c r="A3" s="104" t="s">
        <v>370</v>
      </c>
      <c r="B3" s="100" t="s">
        <v>371</v>
      </c>
      <c r="C3" s="54" t="s">
        <v>372</v>
      </c>
      <c r="D3" s="54" t="s">
        <v>373</v>
      </c>
      <c r="E3" s="100" t="s">
        <v>374</v>
      </c>
      <c r="F3" s="54" t="s">
        <v>375</v>
      </c>
      <c r="G3" s="102" t="s">
        <v>167</v>
      </c>
      <c r="H3" s="102" t="s">
        <v>376</v>
      </c>
      <c r="I3" s="102" t="s">
        <v>377</v>
      </c>
      <c r="J3" s="102" t="s">
        <v>378</v>
      </c>
      <c r="K3" s="102" t="s">
        <v>379</v>
      </c>
      <c r="L3" s="102" t="s">
        <v>380</v>
      </c>
    </row>
    <row r="4" spans="1:12" ht="30" customHeight="1">
      <c r="A4" s="104">
        <v>43045</v>
      </c>
      <c r="B4" s="100">
        <v>2318</v>
      </c>
      <c r="C4" s="54" t="s">
        <v>363</v>
      </c>
      <c r="D4" s="54">
        <v>8.25</v>
      </c>
      <c r="E4" s="100">
        <v>128019</v>
      </c>
      <c r="F4" s="54" t="s">
        <v>364</v>
      </c>
      <c r="G4" s="102" t="s">
        <v>266</v>
      </c>
      <c r="H4" s="102" t="s">
        <v>266</v>
      </c>
      <c r="I4" s="102" t="s">
        <v>266</v>
      </c>
      <c r="J4" s="102" t="s">
        <v>266</v>
      </c>
      <c r="K4" s="102" t="s">
        <v>266</v>
      </c>
      <c r="L4" s="102" t="s">
        <v>266</v>
      </c>
    </row>
    <row r="5" spans="1:12" ht="30" customHeight="1"/>
    <row r="6" spans="1:12" ht="30" customHeight="1">
      <c r="A6" s="103" t="s">
        <v>381</v>
      </c>
    </row>
    <row r="7" spans="1:12" ht="30" customHeight="1">
      <c r="A7" s="104" t="s">
        <v>382</v>
      </c>
      <c r="B7" s="100" t="s">
        <v>371</v>
      </c>
      <c r="C7" s="54" t="s">
        <v>372</v>
      </c>
      <c r="D7" s="54" t="s">
        <v>373</v>
      </c>
      <c r="E7" s="100" t="s">
        <v>374</v>
      </c>
      <c r="F7" s="54" t="s">
        <v>375</v>
      </c>
      <c r="G7" s="102" t="s">
        <v>383</v>
      </c>
      <c r="H7" s="102" t="s">
        <v>379</v>
      </c>
      <c r="I7" s="102" t="s">
        <v>384</v>
      </c>
      <c r="J7" s="102" t="s">
        <v>385</v>
      </c>
      <c r="K7" s="102" t="s">
        <v>386</v>
      </c>
    </row>
    <row r="8" spans="1:12" ht="30" customHeight="1">
      <c r="A8" s="104">
        <v>43046</v>
      </c>
      <c r="B8" s="100">
        <v>2318</v>
      </c>
      <c r="C8" s="54" t="s">
        <v>363</v>
      </c>
      <c r="D8" s="54">
        <v>8.25</v>
      </c>
      <c r="E8" s="100">
        <v>128019</v>
      </c>
      <c r="F8" s="54" t="s">
        <v>364</v>
      </c>
      <c r="G8" s="102">
        <v>1.2358</v>
      </c>
      <c r="H8" s="102" t="s">
        <v>266</v>
      </c>
      <c r="I8" s="102" t="s">
        <v>266</v>
      </c>
      <c r="J8" s="102" t="s">
        <v>266</v>
      </c>
      <c r="K8" s="102" t="s">
        <v>266</v>
      </c>
    </row>
    <row r="9" spans="1:12" ht="30" customHeight="1"/>
    <row r="10" spans="1:12" ht="30" customHeight="1">
      <c r="A10" s="103" t="s">
        <v>366</v>
      </c>
    </row>
    <row r="11" spans="1:12" ht="30" customHeight="1">
      <c r="A11" s="104" t="s">
        <v>387</v>
      </c>
      <c r="B11" s="100" t="s">
        <v>371</v>
      </c>
      <c r="C11" s="54" t="s">
        <v>372</v>
      </c>
      <c r="D11" s="54" t="s">
        <v>373</v>
      </c>
      <c r="E11" s="100" t="s">
        <v>374</v>
      </c>
      <c r="F11" s="54" t="s">
        <v>375</v>
      </c>
      <c r="G11" s="102" t="s">
        <v>378</v>
      </c>
      <c r="H11" s="102" t="s">
        <v>379</v>
      </c>
      <c r="I11" s="102" t="s">
        <v>388</v>
      </c>
      <c r="J11" s="102" t="s">
        <v>389</v>
      </c>
      <c r="K11" s="102" t="s">
        <v>390</v>
      </c>
      <c r="L11" s="102" t="s">
        <v>391</v>
      </c>
    </row>
    <row r="12" spans="1:12" ht="30" customHeight="1">
      <c r="A12" s="104" t="s">
        <v>392</v>
      </c>
      <c r="B12" s="100">
        <v>601127</v>
      </c>
      <c r="C12" s="54" t="s">
        <v>365</v>
      </c>
      <c r="D12" s="54">
        <v>23.92</v>
      </c>
      <c r="E12" s="100">
        <v>113016</v>
      </c>
      <c r="F12" s="54" t="s">
        <v>303</v>
      </c>
      <c r="G12" s="102">
        <v>121.162331800533</v>
      </c>
      <c r="H12" s="102">
        <v>0.21162331800532999</v>
      </c>
      <c r="I12" s="102">
        <v>15</v>
      </c>
      <c r="J12" s="102">
        <v>1.6045499999999999</v>
      </c>
      <c r="K12" s="102">
        <v>10.696999999999999</v>
      </c>
      <c r="L12" s="102">
        <v>569.39149999999995</v>
      </c>
    </row>
    <row r="13" spans="1:12" ht="30" customHeight="1">
      <c r="A13" s="104" t="s">
        <v>392</v>
      </c>
      <c r="B13" s="100">
        <v>2527</v>
      </c>
      <c r="C13" s="54" t="s">
        <v>361</v>
      </c>
      <c r="D13" s="54">
        <v>11.72</v>
      </c>
      <c r="E13" s="100">
        <v>128018</v>
      </c>
      <c r="F13" s="54" t="s">
        <v>297</v>
      </c>
      <c r="G13" s="102">
        <v>110.77509431364599</v>
      </c>
      <c r="H13" s="102">
        <v>0.10775094313646</v>
      </c>
      <c r="I13" s="102">
        <v>8.8250569999999993</v>
      </c>
      <c r="J13" s="102">
        <v>2.3058200000000002</v>
      </c>
      <c r="K13" s="102">
        <v>26.128103195254099</v>
      </c>
      <c r="L13" s="102">
        <v>588.51179999999999</v>
      </c>
    </row>
    <row r="14" spans="1:12" ht="30" customHeight="1">
      <c r="A14" s="104" t="s">
        <v>392</v>
      </c>
      <c r="B14" s="100">
        <v>601012</v>
      </c>
      <c r="C14" s="54" t="s">
        <v>268</v>
      </c>
      <c r="D14" s="54">
        <v>34.11</v>
      </c>
      <c r="E14" s="100">
        <v>113015</v>
      </c>
      <c r="F14" s="54" t="s">
        <v>265</v>
      </c>
      <c r="G14" s="102">
        <v>121.74042151212799</v>
      </c>
      <c r="H14" s="102">
        <v>0.21740421512128</v>
      </c>
      <c r="I14" s="102">
        <v>28</v>
      </c>
      <c r="J14" s="102">
        <v>4.5001600000000002</v>
      </c>
      <c r="K14" s="102">
        <v>16.071999999999999</v>
      </c>
      <c r="L14" s="102">
        <v>514.47299999999996</v>
      </c>
    </row>
    <row r="15" spans="1:12" ht="30" customHeight="1">
      <c r="A15" s="104" t="s">
        <v>392</v>
      </c>
      <c r="B15" s="100">
        <v>2597</v>
      </c>
      <c r="C15" s="54" t="s">
        <v>272</v>
      </c>
      <c r="D15" s="54">
        <v>23.66</v>
      </c>
      <c r="E15" s="100">
        <v>128017</v>
      </c>
      <c r="F15" s="54" t="s">
        <v>270</v>
      </c>
      <c r="G15" s="102">
        <v>114.753458241777</v>
      </c>
      <c r="H15" s="102">
        <v>0.14753458241777001</v>
      </c>
      <c r="I15" s="102">
        <v>6</v>
      </c>
      <c r="J15" s="102">
        <v>0.65165200000000001</v>
      </c>
      <c r="K15" s="102">
        <v>10.8608666666667</v>
      </c>
      <c r="L15" s="102">
        <v>542.36400000000003</v>
      </c>
    </row>
    <row r="16" spans="1:12" ht="30" customHeight="1">
      <c r="A16" s="104" t="s">
        <v>392</v>
      </c>
      <c r="B16" s="100">
        <v>601222</v>
      </c>
      <c r="C16" s="54" t="s">
        <v>263</v>
      </c>
      <c r="D16" s="54">
        <v>8.77</v>
      </c>
      <c r="E16" s="100">
        <v>113014</v>
      </c>
      <c r="F16" s="54" t="s">
        <v>261</v>
      </c>
      <c r="G16" s="102">
        <v>110.53418453709</v>
      </c>
      <c r="H16" s="102">
        <v>0.10534184537089999</v>
      </c>
      <c r="I16" s="102">
        <v>30</v>
      </c>
      <c r="J16" s="102">
        <v>6.4005400000000003</v>
      </c>
      <c r="K16" s="102">
        <v>21.3351333333333</v>
      </c>
      <c r="L16" s="102">
        <v>482.60129999999998</v>
      </c>
    </row>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sheetData>
  <phoneticPr fontId="1" type="noConversion"/>
  <pageMargins left="0.7" right="0.7" top="0.75" bottom="0.75" header="0.3" footer="0.3"/>
  <pageSetup paperSize="9" scale="9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格式化IPO">
                <anchor moveWithCells="1" sizeWithCells="1">
                  <from>
                    <xdr:col>12</xdr:col>
                    <xdr:colOff>85725</xdr:colOff>
                    <xdr:row>0</xdr:row>
                    <xdr:rowOff>66675</xdr:rowOff>
                  </from>
                  <to>
                    <xdr:col>14</xdr:col>
                    <xdr:colOff>200025</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46"/>
  <sheetViews>
    <sheetView workbookViewId="0">
      <selection activeCell="I22" sqref="I22"/>
    </sheetView>
  </sheetViews>
  <sheetFormatPr defaultRowHeight="13.5"/>
  <cols>
    <col min="1" max="1" width="10.5" customWidth="1"/>
    <col min="2" max="2" width="10.5" style="80" customWidth="1"/>
    <col min="3" max="3" width="10.5" style="46" customWidth="1"/>
    <col min="4" max="4" width="10.5" customWidth="1"/>
    <col min="5" max="6" width="10.5" hidden="1" customWidth="1"/>
    <col min="7" max="7" width="10.5" style="80" customWidth="1"/>
    <col min="8" max="8" width="10.5" style="46" customWidth="1"/>
    <col min="9" max="14" width="10.5" customWidth="1"/>
  </cols>
  <sheetData>
    <row r="1" spans="1:14" ht="25.5" customHeight="1">
      <c r="A1" s="79">
        <v>43045</v>
      </c>
    </row>
    <row r="2" spans="1:14" ht="25.5" customHeight="1">
      <c r="A2" s="61" t="s">
        <v>335</v>
      </c>
    </row>
    <row r="3" spans="1:14" ht="25.5" customHeight="1">
      <c r="A3" s="30" t="s">
        <v>276</v>
      </c>
      <c r="B3" s="81" t="s">
        <v>280</v>
      </c>
      <c r="C3" s="88" t="s">
        <v>281</v>
      </c>
      <c r="D3" s="30" t="s">
        <v>285</v>
      </c>
      <c r="E3" s="30" t="s">
        <v>347</v>
      </c>
      <c r="F3" s="30" t="s">
        <v>204</v>
      </c>
      <c r="G3" s="81" t="s">
        <v>284</v>
      </c>
      <c r="H3" s="89" t="s">
        <v>283</v>
      </c>
      <c r="I3" s="30" t="s">
        <v>286</v>
      </c>
      <c r="J3" s="30" t="s">
        <v>273</v>
      </c>
      <c r="K3" s="30" t="s">
        <v>287</v>
      </c>
      <c r="L3" s="67" t="s">
        <v>301</v>
      </c>
      <c r="M3" s="72" t="s">
        <v>288</v>
      </c>
      <c r="N3" s="72" t="s">
        <v>295</v>
      </c>
    </row>
    <row r="4" spans="1:14" ht="25.5" customHeight="1">
      <c r="A4" s="55">
        <v>43045</v>
      </c>
      <c r="B4" s="82" t="s">
        <v>355</v>
      </c>
      <c r="C4" s="88" t="str">
        <f>[1]!S_Info_Name(B4)</f>
        <v>久立特材</v>
      </c>
      <c r="D4" s="30">
        <f>[1]!s_dq_preclose(B4,"",3)</f>
        <v>8.25</v>
      </c>
      <c r="E4" s="69">
        <f>[1]!s_risk_stdevr100(B4,"")</f>
        <v>39.496650695800781</v>
      </c>
      <c r="F4" s="69">
        <v>6</v>
      </c>
      <c r="G4" s="82" t="s">
        <v>356</v>
      </c>
      <c r="H4" s="75" t="s">
        <v>282</v>
      </c>
      <c r="I4" s="30">
        <v>8.3699999999999992</v>
      </c>
      <c r="J4" s="30">
        <v>82</v>
      </c>
      <c r="K4" s="30">
        <v>95.8</v>
      </c>
      <c r="L4" s="50">
        <v>116</v>
      </c>
      <c r="M4" s="66">
        <v>0.16</v>
      </c>
      <c r="N4" s="50" t="s">
        <v>296</v>
      </c>
    </row>
    <row r="5" spans="1:14" ht="25.5" customHeight="1"/>
    <row r="6" spans="1:14" ht="25.5" customHeight="1">
      <c r="A6" s="61" t="s">
        <v>334</v>
      </c>
    </row>
    <row r="7" spans="1:14" ht="25.5" customHeight="1">
      <c r="A7" s="30" t="s">
        <v>277</v>
      </c>
      <c r="B7" s="81" t="s">
        <v>280</v>
      </c>
      <c r="C7" s="89" t="s">
        <v>281</v>
      </c>
      <c r="D7" s="30" t="s">
        <v>285</v>
      </c>
      <c r="E7" s="30" t="s">
        <v>347</v>
      </c>
      <c r="F7" s="30" t="s">
        <v>204</v>
      </c>
      <c r="G7" s="81" t="s">
        <v>284</v>
      </c>
      <c r="H7" s="88" t="s">
        <v>283</v>
      </c>
      <c r="I7" s="30" t="s">
        <v>289</v>
      </c>
      <c r="J7" s="30" t="s">
        <v>290</v>
      </c>
      <c r="K7" s="30" t="s">
        <v>293</v>
      </c>
      <c r="L7" s="67" t="s">
        <v>294</v>
      </c>
      <c r="M7" s="72" t="s">
        <v>292</v>
      </c>
      <c r="N7" s="48"/>
    </row>
    <row r="8" spans="1:14" ht="25.5" customHeight="1">
      <c r="A8" s="73">
        <v>43046</v>
      </c>
      <c r="B8" s="82" t="s">
        <v>354</v>
      </c>
      <c r="C8" s="75" t="str">
        <f>[1]!S_Info_Name(B8)</f>
        <v>久立特材</v>
      </c>
      <c r="D8" s="30">
        <f>[1]!s_dq_preclose(B8,"",3)</f>
        <v>8.25</v>
      </c>
      <c r="E8" s="69">
        <f>[1]!s_risk_stdevr100(B8,"")</f>
        <v>39.496650695800781</v>
      </c>
      <c r="F8" s="69">
        <v>6</v>
      </c>
      <c r="G8" s="82" t="s">
        <v>356</v>
      </c>
      <c r="H8" s="95" t="s">
        <v>282</v>
      </c>
      <c r="I8" s="30">
        <v>1.2358</v>
      </c>
      <c r="J8" s="62">
        <v>0.16</v>
      </c>
      <c r="K8" s="63">
        <f>I8*J8</f>
        <v>0.19772800000000001</v>
      </c>
      <c r="L8" s="65">
        <f>K8/D8</f>
        <v>2.3967030303030306E-2</v>
      </c>
      <c r="M8" s="50" t="s">
        <v>291</v>
      </c>
      <c r="N8" s="48"/>
    </row>
    <row r="9" spans="1:14" ht="25.5" customHeight="1"/>
    <row r="10" spans="1:14" ht="25.5" customHeight="1">
      <c r="A10" s="61" t="s">
        <v>299</v>
      </c>
    </row>
    <row r="11" spans="1:14" s="47" customFormat="1" ht="25.5" customHeight="1">
      <c r="A11" s="64" t="s">
        <v>278</v>
      </c>
      <c r="B11" s="83" t="s">
        <v>280</v>
      </c>
      <c r="C11" s="90" t="s">
        <v>281</v>
      </c>
      <c r="D11" s="74" t="s">
        <v>352</v>
      </c>
      <c r="E11" s="30" t="s">
        <v>347</v>
      </c>
      <c r="F11" s="30" t="s">
        <v>204</v>
      </c>
      <c r="G11" s="83" t="s">
        <v>284</v>
      </c>
      <c r="H11" s="93" t="s">
        <v>283</v>
      </c>
      <c r="I11" s="64" t="s">
        <v>350</v>
      </c>
      <c r="J11" s="64" t="s">
        <v>313</v>
      </c>
      <c r="K11" s="71" t="s">
        <v>300</v>
      </c>
      <c r="L11" s="71" t="s">
        <v>306</v>
      </c>
      <c r="M11" s="71" t="s">
        <v>308</v>
      </c>
      <c r="N11" s="71" t="s">
        <v>307</v>
      </c>
    </row>
    <row r="12" spans="1:14" ht="25.5" customHeight="1">
      <c r="A12" s="73">
        <v>43045</v>
      </c>
      <c r="B12" s="82" t="s">
        <v>310</v>
      </c>
      <c r="C12" s="88" t="str">
        <f>[1]!S_Info_Name(B12)</f>
        <v>新时达</v>
      </c>
      <c r="D12" s="30">
        <f>[1]!s_dq_preclose(B12,"",3)</f>
        <v>11.72</v>
      </c>
      <c r="E12" s="69">
        <f>[1]!s_risk_stdevr100(B12,"")</f>
        <v>34.031352996826172</v>
      </c>
      <c r="F12" s="69">
        <v>6</v>
      </c>
      <c r="G12" s="81">
        <v>128018</v>
      </c>
      <c r="H12" s="75" t="str">
        <f>[1]!S_Info_Name(G12)</f>
        <v>时达转债</v>
      </c>
      <c r="I12" s="30">
        <v>113</v>
      </c>
      <c r="J12" s="30">
        <v>1.5</v>
      </c>
      <c r="K12" s="51" t="s">
        <v>302</v>
      </c>
      <c r="L12" s="50" t="s">
        <v>314</v>
      </c>
      <c r="M12" s="50">
        <v>100</v>
      </c>
      <c r="N12" s="50">
        <v>10000</v>
      </c>
    </row>
    <row r="13" spans="1:14" ht="25.5" customHeight="1">
      <c r="A13" s="73">
        <v>43045</v>
      </c>
      <c r="B13" s="82" t="s">
        <v>349</v>
      </c>
      <c r="C13" s="88" t="str">
        <f>[1]!S_Info_Name(B13)</f>
        <v>小康股份</v>
      </c>
      <c r="D13" s="30">
        <f>[1]!s_dq_preclose(B13,"",3)</f>
        <v>23.92</v>
      </c>
      <c r="E13" s="69">
        <v>30</v>
      </c>
      <c r="F13" s="69">
        <v>6</v>
      </c>
      <c r="G13" s="81">
        <v>113016</v>
      </c>
      <c r="H13" s="75" t="str">
        <f>[1]!S_Info_Name(G13)</f>
        <v>小康转债</v>
      </c>
      <c r="I13" s="30">
        <v>116</v>
      </c>
      <c r="J13" s="30">
        <v>1.5</v>
      </c>
      <c r="K13" s="51" t="s">
        <v>305</v>
      </c>
      <c r="L13" s="50" t="s">
        <v>314</v>
      </c>
      <c r="M13" s="50">
        <v>100</v>
      </c>
      <c r="N13" s="50">
        <v>10000</v>
      </c>
    </row>
    <row r="14" spans="1:14" ht="25.5" customHeight="1">
      <c r="A14" s="73">
        <v>43047</v>
      </c>
      <c r="B14" s="82" t="s">
        <v>355</v>
      </c>
      <c r="C14" s="88" t="str">
        <f>[1]!S_Info_Name(B14)</f>
        <v>久立特材</v>
      </c>
      <c r="D14" s="30">
        <f>[1]!s_dq_preclose(B14,"",3)</f>
        <v>8.25</v>
      </c>
      <c r="E14" s="69">
        <f>[1]!s_risk_stdevr100(B14,"")</f>
        <v>39.496650695800781</v>
      </c>
      <c r="F14" s="69">
        <v>6</v>
      </c>
      <c r="G14" s="82" t="s">
        <v>356</v>
      </c>
      <c r="H14" s="75" t="s">
        <v>282</v>
      </c>
      <c r="I14" s="30">
        <v>116</v>
      </c>
      <c r="J14" s="30">
        <v>1.5</v>
      </c>
      <c r="K14" s="51" t="s">
        <v>357</v>
      </c>
      <c r="L14" s="50" t="s">
        <v>314</v>
      </c>
      <c r="M14" s="50">
        <v>100</v>
      </c>
      <c r="N14" s="50">
        <v>10000</v>
      </c>
    </row>
    <row r="15" spans="1:14" ht="25.5" customHeight="1">
      <c r="A15" s="56"/>
      <c r="B15" s="84"/>
      <c r="C15" s="91"/>
      <c r="D15" s="57"/>
      <c r="E15" s="57"/>
      <c r="F15" s="57"/>
      <c r="G15" s="85"/>
      <c r="H15" s="94"/>
      <c r="I15" s="57"/>
      <c r="J15" s="57"/>
      <c r="K15" s="59"/>
      <c r="L15" s="58"/>
      <c r="M15" s="58"/>
      <c r="N15" s="58"/>
    </row>
    <row r="16" spans="1:14" ht="25.5" customHeight="1">
      <c r="A16" s="61" t="s">
        <v>336</v>
      </c>
    </row>
    <row r="17" spans="1:14" ht="25.5" customHeight="1">
      <c r="A17" s="30" t="s">
        <v>279</v>
      </c>
      <c r="B17" s="81" t="s">
        <v>280</v>
      </c>
      <c r="C17" s="88" t="s">
        <v>281</v>
      </c>
      <c r="D17" s="30" t="s">
        <v>285</v>
      </c>
      <c r="E17" s="30" t="s">
        <v>347</v>
      </c>
      <c r="F17" s="30" t="s">
        <v>204</v>
      </c>
      <c r="G17" s="81" t="s">
        <v>284</v>
      </c>
      <c r="H17" s="88" t="s">
        <v>283</v>
      </c>
      <c r="I17" s="54" t="s">
        <v>351</v>
      </c>
      <c r="J17" s="30" t="s">
        <v>338</v>
      </c>
      <c r="K17" s="68" t="s">
        <v>339</v>
      </c>
    </row>
    <row r="18" spans="1:14" ht="25.5" customHeight="1">
      <c r="A18" s="55">
        <v>43045</v>
      </c>
      <c r="B18" s="81">
        <v>601012</v>
      </c>
      <c r="C18" s="88" t="s">
        <v>337</v>
      </c>
      <c r="D18" s="30">
        <f>[1]!s_dq_preclose(B18,"",3)</f>
        <v>34.11</v>
      </c>
      <c r="E18" s="69">
        <f>[1]!s_risk_stdevr100(B18,"")</f>
        <v>35.952396392822266</v>
      </c>
      <c r="F18" s="69">
        <v>6</v>
      </c>
      <c r="G18" s="81">
        <v>113015</v>
      </c>
      <c r="H18" s="88" t="str">
        <f>[1]!S_Info_Name(G18)</f>
        <v>隆基转债</v>
      </c>
      <c r="I18" s="30">
        <v>0.45</v>
      </c>
      <c r="J18" s="62">
        <v>0.16</v>
      </c>
      <c r="K18" s="30">
        <v>514</v>
      </c>
    </row>
    <row r="19" spans="1:14" ht="25.5" customHeight="1"/>
    <row r="20" spans="1:14" ht="25.5" customHeight="1">
      <c r="A20" s="61" t="s">
        <v>340</v>
      </c>
    </row>
    <row r="21" spans="1:14" ht="25.5" customHeight="1">
      <c r="A21" s="30" t="s">
        <v>341</v>
      </c>
      <c r="B21" s="81" t="s">
        <v>280</v>
      </c>
      <c r="C21" s="88" t="s">
        <v>281</v>
      </c>
      <c r="D21" s="30" t="s">
        <v>285</v>
      </c>
      <c r="E21" s="30" t="s">
        <v>347</v>
      </c>
      <c r="F21" s="30" t="s">
        <v>204</v>
      </c>
      <c r="G21" s="81" t="s">
        <v>284</v>
      </c>
      <c r="H21" s="88" t="s">
        <v>283</v>
      </c>
      <c r="I21" s="30" t="s">
        <v>286</v>
      </c>
      <c r="J21" s="30" t="s">
        <v>273</v>
      </c>
      <c r="K21" s="30" t="s">
        <v>287</v>
      </c>
      <c r="L21" s="67" t="s">
        <v>301</v>
      </c>
      <c r="M21" s="72" t="s">
        <v>288</v>
      </c>
      <c r="N21" s="78" t="s">
        <v>353</v>
      </c>
    </row>
    <row r="22" spans="1:14" ht="25.5" customHeight="1">
      <c r="A22" s="30" t="s">
        <v>342</v>
      </c>
      <c r="B22" s="82" t="s">
        <v>343</v>
      </c>
      <c r="C22" s="88" t="str">
        <f>[1]!S_Info_Name(B22)</f>
        <v>金禾实业</v>
      </c>
      <c r="D22" s="30">
        <f>[1]!s_dq_preclose(B22,"",3)</f>
        <v>23.66</v>
      </c>
      <c r="E22" s="69">
        <f>[1]!s_risk_stdevr100(B22,"")</f>
        <v>39.118064880371094</v>
      </c>
      <c r="F22" s="69">
        <v>6</v>
      </c>
      <c r="G22" s="82" t="s">
        <v>345</v>
      </c>
      <c r="H22" s="88" t="str">
        <f>[1]!S_Info_Name(G22)</f>
        <v>金禾转债</v>
      </c>
      <c r="I22" s="30">
        <f>[1]!cb_clause_conversion2_swapshareprice(G22,"")</f>
        <v>23.92</v>
      </c>
      <c r="J22" s="70">
        <f>[1]!cb_anal_straightbondvalue(G22,"")</f>
        <v>83.117099999999994</v>
      </c>
      <c r="K22" s="70">
        <f>D22/I22*100</f>
        <v>98.91304347826086</v>
      </c>
      <c r="L22" s="76">
        <f>BlackScholes(D22,I22,0.015,F22,0,E22/100,"C",0,0)*100/I22+J22</f>
        <v>122.01605155007647</v>
      </c>
      <c r="M22" s="77">
        <f>L22/100-1</f>
        <v>0.22016051550076465</v>
      </c>
      <c r="N22" s="76">
        <v>6</v>
      </c>
    </row>
    <row r="23" spans="1:14" ht="25.5" customHeight="1">
      <c r="A23" s="30" t="s">
        <v>342</v>
      </c>
      <c r="B23" s="82" t="s">
        <v>344</v>
      </c>
      <c r="C23" s="88" t="str">
        <f>[1]!S_Info_Name(B23)</f>
        <v>林洋能源</v>
      </c>
      <c r="D23" s="30">
        <f>[1]!s_dq_preclose(B23,"",3)</f>
        <v>8.77</v>
      </c>
      <c r="E23" s="69">
        <f>[1]!s_risk_stdevr100(B23,"")</f>
        <v>38.942115783691406</v>
      </c>
      <c r="F23" s="69">
        <v>6</v>
      </c>
      <c r="G23" s="82" t="s">
        <v>346</v>
      </c>
      <c r="H23" s="88" t="str">
        <f>[1]!S_Info_Name(G23)</f>
        <v>林洋转债</v>
      </c>
      <c r="I23" s="30">
        <f>[1]!cb_clause_conversion2_swapshareprice(G23,"")</f>
        <v>8.8000000000000007</v>
      </c>
      <c r="J23" s="70">
        <f>[1]!cb_anal_straightbondvalue(G23,"")</f>
        <v>83.572900000000004</v>
      </c>
      <c r="K23" s="70">
        <f>D23/I23*100</f>
        <v>99.659090909090892</v>
      </c>
      <c r="L23" s="76">
        <f>BlackScholes(D23,I23,0.015,F23,0,E23/100,"C",0,0)*100/I23+J23</f>
        <v>122.85886264734654</v>
      </c>
      <c r="M23" s="77">
        <f>L23/100-1</f>
        <v>0.22858862647346534</v>
      </c>
      <c r="N23" s="76">
        <v>30</v>
      </c>
    </row>
    <row r="29" spans="1:14" ht="30.75" customHeight="1">
      <c r="A29" s="60" t="s">
        <v>299</v>
      </c>
    </row>
    <row r="30" spans="1:14" ht="30.75" customHeight="1">
      <c r="A30" s="45" t="s">
        <v>278</v>
      </c>
      <c r="B30" s="86" t="s">
        <v>280</v>
      </c>
      <c r="C30" s="92" t="s">
        <v>281</v>
      </c>
      <c r="D30" s="45" t="s">
        <v>312</v>
      </c>
      <c r="E30" s="50" t="s">
        <v>347</v>
      </c>
      <c r="F30" s="50"/>
      <c r="G30" s="86" t="s">
        <v>284</v>
      </c>
      <c r="H30" s="92" t="s">
        <v>283</v>
      </c>
      <c r="I30" s="45" t="s">
        <v>311</v>
      </c>
      <c r="J30" s="45" t="s">
        <v>313</v>
      </c>
      <c r="K30" s="45" t="s">
        <v>300</v>
      </c>
      <c r="L30" s="45" t="s">
        <v>306</v>
      </c>
      <c r="M30" s="45" t="s">
        <v>308</v>
      </c>
      <c r="N30" s="45" t="s">
        <v>307</v>
      </c>
    </row>
    <row r="31" spans="1:14" ht="30.75" customHeight="1">
      <c r="A31" s="49">
        <v>43045</v>
      </c>
      <c r="B31" s="82" t="s">
        <v>310</v>
      </c>
      <c r="C31" s="88" t="str">
        <f>[1]!S_Info_Name(B31)</f>
        <v>新时达</v>
      </c>
      <c r="D31" s="30">
        <f>[1]!s_dq_preclose(B31,"",3)</f>
        <v>11.72</v>
      </c>
      <c r="E31" s="69">
        <f>[1]!s_risk_stdevr100(B31,"")</f>
        <v>34.031352996826172</v>
      </c>
      <c r="F31" s="69"/>
      <c r="G31" s="81">
        <v>128018</v>
      </c>
      <c r="H31" s="75" t="s">
        <v>298</v>
      </c>
      <c r="I31" s="30">
        <v>113</v>
      </c>
      <c r="J31" s="30">
        <v>1.5</v>
      </c>
      <c r="K31" s="51" t="s">
        <v>302</v>
      </c>
      <c r="L31" s="50" t="s">
        <v>314</v>
      </c>
      <c r="M31" s="50">
        <v>100</v>
      </c>
      <c r="N31" s="50">
        <v>10000</v>
      </c>
    </row>
    <row r="32" spans="1:14" ht="30.75" customHeight="1">
      <c r="A32" s="49">
        <v>43045</v>
      </c>
      <c r="B32" s="82" t="s">
        <v>309</v>
      </c>
      <c r="C32" s="88" t="str">
        <f>[1]!S_Info_Name(B32)</f>
        <v>小康股份</v>
      </c>
      <c r="D32" s="30">
        <f>[1]!s_dq_preclose(B32,"",3)</f>
        <v>23.92</v>
      </c>
      <c r="E32" s="69">
        <f>[1]!s_risk_stdevr100(B32,"")</f>
        <v>0</v>
      </c>
      <c r="F32" s="69"/>
      <c r="G32" s="81">
        <v>113016</v>
      </c>
      <c r="H32" s="75" t="s">
        <v>304</v>
      </c>
      <c r="I32" s="30">
        <v>116</v>
      </c>
      <c r="J32" s="30">
        <v>1.5</v>
      </c>
      <c r="K32" s="51" t="s">
        <v>305</v>
      </c>
      <c r="L32" s="50" t="s">
        <v>314</v>
      </c>
      <c r="M32" s="50">
        <v>100</v>
      </c>
      <c r="N32" s="50">
        <v>10000</v>
      </c>
    </row>
    <row r="35" spans="1:10" ht="28.5" customHeight="1">
      <c r="A35" s="60" t="s">
        <v>315</v>
      </c>
    </row>
    <row r="36" spans="1:10" ht="28.5" customHeight="1">
      <c r="A36" s="52" t="s">
        <v>333</v>
      </c>
    </row>
    <row r="37" spans="1:10" ht="28.5" customHeight="1">
      <c r="A37" s="52" t="s">
        <v>320</v>
      </c>
    </row>
    <row r="38" spans="1:10" ht="28.5" customHeight="1">
      <c r="A38" s="114" t="s">
        <v>316</v>
      </c>
      <c r="B38" s="114"/>
      <c r="C38" s="114"/>
      <c r="D38" s="53" t="s">
        <v>317</v>
      </c>
      <c r="E38" s="30"/>
      <c r="G38" s="87" t="s">
        <v>319</v>
      </c>
      <c r="H38" s="88" t="s">
        <v>318</v>
      </c>
      <c r="I38" s="114" t="s">
        <v>332</v>
      </c>
      <c r="J38" s="114"/>
    </row>
    <row r="39" spans="1:10" ht="28.5" customHeight="1">
      <c r="A39" s="114" t="s">
        <v>321</v>
      </c>
      <c r="B39" s="114"/>
      <c r="C39" s="114"/>
      <c r="D39" s="114" t="s">
        <v>327</v>
      </c>
      <c r="E39" s="30"/>
      <c r="G39" s="81">
        <v>200</v>
      </c>
      <c r="H39" s="88">
        <v>43045</v>
      </c>
      <c r="I39" s="114"/>
      <c r="J39" s="114"/>
    </row>
    <row r="40" spans="1:10" ht="28.5" customHeight="1">
      <c r="A40" s="114" t="s">
        <v>322</v>
      </c>
      <c r="B40" s="114"/>
      <c r="C40" s="114"/>
      <c r="D40" s="114"/>
      <c r="E40" s="30"/>
      <c r="G40" s="81">
        <v>200</v>
      </c>
      <c r="H40" s="88">
        <v>43045</v>
      </c>
      <c r="I40" s="114"/>
      <c r="J40" s="114"/>
    </row>
    <row r="41" spans="1:10" ht="28.5" customHeight="1">
      <c r="A41" s="114" t="s">
        <v>323</v>
      </c>
      <c r="B41" s="114"/>
      <c r="C41" s="114"/>
      <c r="D41" s="114"/>
      <c r="E41" s="30"/>
      <c r="G41" s="81">
        <v>200</v>
      </c>
      <c r="H41" s="88">
        <v>43045</v>
      </c>
      <c r="I41" s="114"/>
      <c r="J41" s="114"/>
    </row>
    <row r="42" spans="1:10" ht="28.5" customHeight="1">
      <c r="A42" s="114" t="s">
        <v>324</v>
      </c>
      <c r="B42" s="114"/>
      <c r="C42" s="114"/>
      <c r="D42" s="114"/>
      <c r="E42" s="30"/>
      <c r="G42" s="81">
        <v>200</v>
      </c>
      <c r="H42" s="88">
        <v>43045</v>
      </c>
      <c r="I42" s="114"/>
      <c r="J42" s="114"/>
    </row>
    <row r="43" spans="1:10" ht="28.5" customHeight="1">
      <c r="A43" s="114" t="s">
        <v>325</v>
      </c>
      <c r="B43" s="114"/>
      <c r="C43" s="114"/>
      <c r="D43" s="114"/>
      <c r="E43" s="30"/>
      <c r="G43" s="81">
        <v>200</v>
      </c>
      <c r="H43" s="88">
        <v>43045</v>
      </c>
      <c r="I43" s="114"/>
      <c r="J43" s="114"/>
    </row>
    <row r="44" spans="1:10" ht="28.5" customHeight="1">
      <c r="A44" s="114" t="s">
        <v>326</v>
      </c>
      <c r="B44" s="114"/>
      <c r="C44" s="114"/>
      <c r="D44" s="114"/>
      <c r="E44" s="30"/>
      <c r="G44" s="81">
        <v>0</v>
      </c>
      <c r="H44" s="88">
        <v>43045</v>
      </c>
      <c r="I44" s="114"/>
      <c r="J44" s="114"/>
    </row>
    <row r="45" spans="1:10" ht="28.5" customHeight="1">
      <c r="A45" s="114" t="s">
        <v>328</v>
      </c>
      <c r="B45" s="114"/>
      <c r="C45" s="114"/>
      <c r="D45" s="30" t="s">
        <v>329</v>
      </c>
      <c r="E45" s="30"/>
      <c r="G45" s="81">
        <v>0</v>
      </c>
      <c r="H45" s="88">
        <v>43045</v>
      </c>
      <c r="I45" s="114"/>
      <c r="J45" s="114"/>
    </row>
    <row r="46" spans="1:10" ht="28.5" customHeight="1">
      <c r="A46" s="114" t="s">
        <v>330</v>
      </c>
      <c r="B46" s="114"/>
      <c r="C46" s="114"/>
      <c r="D46" s="30" t="s">
        <v>331</v>
      </c>
      <c r="E46" s="30"/>
      <c r="G46" s="81">
        <v>200</v>
      </c>
      <c r="H46" s="88">
        <v>43045</v>
      </c>
      <c r="I46" s="114"/>
      <c r="J46" s="114"/>
    </row>
  </sheetData>
  <mergeCells count="14">
    <mergeCell ref="A45:C45"/>
    <mergeCell ref="A46:C46"/>
    <mergeCell ref="I38:J38"/>
    <mergeCell ref="I45:J45"/>
    <mergeCell ref="I46:J46"/>
    <mergeCell ref="I39:J44"/>
    <mergeCell ref="A38:C38"/>
    <mergeCell ref="D39:D44"/>
    <mergeCell ref="A39:C39"/>
    <mergeCell ref="A40:C40"/>
    <mergeCell ref="A41:C41"/>
    <mergeCell ref="A42:C42"/>
    <mergeCell ref="A43:C43"/>
    <mergeCell ref="A44:C44"/>
  </mergeCells>
  <phoneticPr fontId="1" type="noConversion"/>
  <pageMargins left="0.7" right="0.7" top="0.75" bottom="0.75" header="0.3" footer="0.3"/>
  <pageSetup paperSize="9" scale="4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39"/>
  <sheetViews>
    <sheetView workbookViewId="0">
      <selection activeCell="H37" sqref="H37"/>
    </sheetView>
  </sheetViews>
  <sheetFormatPr defaultRowHeight="13.5"/>
  <sheetData>
    <row r="1" spans="1:37">
      <c r="A1" t="s">
        <v>362</v>
      </c>
      <c r="B1" t="s">
        <v>0</v>
      </c>
      <c r="C1" t="s">
        <v>1</v>
      </c>
      <c r="D1" t="s">
        <v>214</v>
      </c>
      <c r="E1" t="s">
        <v>222</v>
      </c>
      <c r="F1" t="s">
        <v>2</v>
      </c>
      <c r="G1" t="s">
        <v>215</v>
      </c>
      <c r="H1" t="s">
        <v>216</v>
      </c>
      <c r="I1" t="s">
        <v>3</v>
      </c>
      <c r="J1" t="s">
        <v>4</v>
      </c>
      <c r="K1" t="s">
        <v>106</v>
      </c>
      <c r="L1" t="s">
        <v>217</v>
      </c>
      <c r="M1" t="s">
        <v>218</v>
      </c>
      <c r="N1" t="s">
        <v>5</v>
      </c>
      <c r="O1" t="s">
        <v>107</v>
      </c>
      <c r="P1" t="s">
        <v>6</v>
      </c>
      <c r="Q1" t="s">
        <v>219</v>
      </c>
      <c r="R1" t="s">
        <v>7</v>
      </c>
      <c r="S1" t="s">
        <v>8</v>
      </c>
      <c r="T1" t="s">
        <v>9</v>
      </c>
      <c r="U1" t="s">
        <v>108</v>
      </c>
      <c r="V1" t="s">
        <v>256</v>
      </c>
      <c r="W1" t="s">
        <v>257</v>
      </c>
      <c r="X1" s="41">
        <v>43040</v>
      </c>
      <c r="Y1" s="41">
        <v>43009</v>
      </c>
      <c r="Z1" s="41">
        <v>42979</v>
      </c>
      <c r="AA1" s="41">
        <v>42948</v>
      </c>
      <c r="AB1" s="41">
        <v>42917</v>
      </c>
      <c r="AC1" s="41">
        <v>42887</v>
      </c>
      <c r="AD1" s="41">
        <v>42856</v>
      </c>
      <c r="AE1" s="41">
        <v>42826</v>
      </c>
      <c r="AF1" s="41">
        <v>42795</v>
      </c>
      <c r="AG1" s="41">
        <v>42767</v>
      </c>
      <c r="AH1" s="41">
        <v>42736</v>
      </c>
      <c r="AI1" s="41">
        <v>42705</v>
      </c>
      <c r="AJ1" s="41">
        <v>42675</v>
      </c>
      <c r="AK1" s="41">
        <v>42644</v>
      </c>
    </row>
    <row r="2" spans="1:37">
      <c r="A2" s="1">
        <v>43045</v>
      </c>
      <c r="B2" t="s">
        <v>27</v>
      </c>
      <c r="C2" t="s">
        <v>59</v>
      </c>
      <c r="D2">
        <v>107.9415</v>
      </c>
      <c r="E2" t="s">
        <v>223</v>
      </c>
      <c r="F2" t="s">
        <v>91</v>
      </c>
      <c r="G2">
        <v>5.83</v>
      </c>
      <c r="H2">
        <v>7.24</v>
      </c>
      <c r="I2">
        <v>2.1305936073059399</v>
      </c>
      <c r="J2">
        <v>0.25793366497712</v>
      </c>
      <c r="K2">
        <v>0.34517874305180402</v>
      </c>
      <c r="L2">
        <v>98.203400000000002</v>
      </c>
      <c r="M2">
        <v>6.6156507703140397</v>
      </c>
      <c r="N2">
        <v>104.81905077031401</v>
      </c>
      <c r="O2">
        <v>6.5630535378283197</v>
      </c>
      <c r="P2">
        <v>0.38125508171608802</v>
      </c>
      <c r="Q2">
        <v>5.26595416734928</v>
      </c>
      <c r="R2">
        <v>-0.22248189203678201</v>
      </c>
      <c r="S2">
        <v>-1.47186250043406</v>
      </c>
      <c r="T2">
        <v>-4.5706041577368204</v>
      </c>
      <c r="U2">
        <v>2.9788947779426901E-2</v>
      </c>
      <c r="V2">
        <v>3.0354022656349899E-2</v>
      </c>
      <c r="W2">
        <v>5.3962622421590799E-2</v>
      </c>
      <c r="X2">
        <v>2.7634862309762399E-2</v>
      </c>
      <c r="Y2">
        <v>1.9892937408283899E-2</v>
      </c>
      <c r="Z2">
        <v>-1.0961264297404899E-2</v>
      </c>
      <c r="AA2">
        <v>-4.3781538592947197E-3</v>
      </c>
      <c r="AB2">
        <v>-2.0273839675158601E-2</v>
      </c>
      <c r="AC2">
        <v>-3.04512573384308E-2</v>
      </c>
      <c r="AD2">
        <v>-3.1669850990477602E-2</v>
      </c>
      <c r="AE2">
        <v>-1.1619019567989199E-3</v>
      </c>
      <c r="AF2">
        <v>9.6884113971332494E-2</v>
      </c>
      <c r="AG2">
        <v>0.10323886787727</v>
      </c>
      <c r="AH2">
        <v>8.8044548570667597E-2</v>
      </c>
      <c r="AI2">
        <v>7.6227689187124997E-2</v>
      </c>
      <c r="AJ2">
        <v>8.2258177777203095E-2</v>
      </c>
      <c r="AK2">
        <v>6.2534726953888994E-2</v>
      </c>
    </row>
    <row r="3" spans="1:37">
      <c r="A3" s="1">
        <v>43045</v>
      </c>
      <c r="B3" t="s">
        <v>41</v>
      </c>
      <c r="C3" t="s">
        <v>73</v>
      </c>
      <c r="D3">
        <v>104.1645</v>
      </c>
      <c r="E3" t="s">
        <v>224</v>
      </c>
      <c r="F3" t="s">
        <v>105</v>
      </c>
      <c r="G3">
        <v>19.559999999999999</v>
      </c>
      <c r="H3">
        <v>42.8</v>
      </c>
      <c r="I3">
        <v>3.5963470319634698</v>
      </c>
      <c r="J3">
        <v>0.22304772379632301</v>
      </c>
      <c r="K3">
        <v>0.60157378540724404</v>
      </c>
      <c r="L3">
        <v>93.693600000000004</v>
      </c>
      <c r="M3">
        <v>0.47232020979231298</v>
      </c>
      <c r="N3">
        <v>94.165920209792304</v>
      </c>
      <c r="O3">
        <v>0.46826209211008102</v>
      </c>
      <c r="P3">
        <v>6.5240495258272801E-2</v>
      </c>
      <c r="Q3">
        <v>0.15243106368755299</v>
      </c>
      <c r="R3">
        <v>-0.162377342812731</v>
      </c>
      <c r="S3">
        <v>-7.6694100622827693E-2</v>
      </c>
      <c r="T3">
        <v>-2.9115377094972099</v>
      </c>
      <c r="U3">
        <v>0.106180450081429</v>
      </c>
      <c r="V3">
        <v>0.117758883092854</v>
      </c>
      <c r="W3">
        <v>2.6119259533629299E-2</v>
      </c>
      <c r="X3">
        <v>0.107918771248855</v>
      </c>
      <c r="Y3">
        <v>9.9957779334053296E-2</v>
      </c>
      <c r="Z3">
        <v>0.112726465494715</v>
      </c>
      <c r="AA3">
        <v>0.10834551636317601</v>
      </c>
      <c r="AB3">
        <v>9.44226492937046E-2</v>
      </c>
      <c r="AC3">
        <v>8.9286288283602105E-2</v>
      </c>
      <c r="AD3">
        <v>8.5764960998125597E-2</v>
      </c>
      <c r="AE3">
        <v>0.10549494888123601</v>
      </c>
      <c r="AF3">
        <v>0.12625145832527901</v>
      </c>
      <c r="AG3">
        <v>0.143171296663132</v>
      </c>
      <c r="AH3">
        <v>0.13685014250619301</v>
      </c>
      <c r="AI3">
        <v>0.15621020818508699</v>
      </c>
      <c r="AJ3">
        <v>0.153657889540876</v>
      </c>
      <c r="AK3">
        <v>0.12691091406492599</v>
      </c>
    </row>
    <row r="4" spans="1:37">
      <c r="A4" s="1">
        <v>43045</v>
      </c>
      <c r="B4" t="s">
        <v>20</v>
      </c>
      <c r="C4" t="s">
        <v>52</v>
      </c>
      <c r="D4">
        <v>117.5595</v>
      </c>
      <c r="E4" t="s">
        <v>225</v>
      </c>
      <c r="F4" t="s">
        <v>84</v>
      </c>
      <c r="G4">
        <v>7.8</v>
      </c>
      <c r="H4">
        <v>7.43</v>
      </c>
      <c r="I4">
        <v>4.16073059360731</v>
      </c>
      <c r="J4">
        <v>0.28914388087720799</v>
      </c>
      <c r="K4">
        <v>0.26468863853201702</v>
      </c>
      <c r="L4">
        <v>90.832099999999997</v>
      </c>
      <c r="M4">
        <v>28.978818565318502</v>
      </c>
      <c r="N4">
        <v>119.810918565319</v>
      </c>
      <c r="O4">
        <v>29.0451631524327</v>
      </c>
      <c r="P4">
        <v>0.68549221328216703</v>
      </c>
      <c r="Q4">
        <v>9.2260055623441009</v>
      </c>
      <c r="R4">
        <v>-0.24416132927141501</v>
      </c>
      <c r="S4">
        <v>-7.0755068616233299</v>
      </c>
      <c r="T4">
        <v>-6.4237276119402997</v>
      </c>
      <c r="U4">
        <v>-1.87914306331863E-2</v>
      </c>
      <c r="V4">
        <v>2.5807679952865601E-3</v>
      </c>
      <c r="W4">
        <v>3.3077015300924502E-2</v>
      </c>
      <c r="X4">
        <v>-2.1029382877273999E-2</v>
      </c>
      <c r="Y4">
        <v>-1.9375318945349201E-2</v>
      </c>
      <c r="Z4">
        <v>5.5321884031630901E-3</v>
      </c>
      <c r="AA4">
        <v>2.2706218648471501E-3</v>
      </c>
      <c r="AB4">
        <v>3.1907251948297601E-3</v>
      </c>
      <c r="AC4">
        <v>-9.6585676365306006E-3</v>
      </c>
      <c r="AD4">
        <v>-2.7918072858033102E-2</v>
      </c>
      <c r="AE4">
        <v>-3.2897547946851402E-2</v>
      </c>
      <c r="AF4">
        <v>-2.6464498115153098E-2</v>
      </c>
      <c r="AG4">
        <v>-9.9356990701386094E-3</v>
      </c>
      <c r="AH4">
        <v>1.73315978442776E-2</v>
      </c>
      <c r="AI4">
        <v>4.0998052924822601E-2</v>
      </c>
      <c r="AJ4">
        <v>7.6284566117401198E-2</v>
      </c>
      <c r="AK4">
        <v>8.1629931945096795E-2</v>
      </c>
    </row>
    <row r="5" spans="1:37">
      <c r="A5" s="1">
        <v>43045</v>
      </c>
      <c r="B5" t="s">
        <v>17</v>
      </c>
      <c r="C5" t="s">
        <v>49</v>
      </c>
      <c r="D5">
        <v>125.74079999999999</v>
      </c>
      <c r="E5" t="s">
        <v>226</v>
      </c>
      <c r="F5" t="s">
        <v>81</v>
      </c>
      <c r="G5">
        <v>10.52</v>
      </c>
      <c r="H5">
        <v>8.81</v>
      </c>
      <c r="I5">
        <v>4.1634703196347003</v>
      </c>
      <c r="J5">
        <v>0.44418277457674799</v>
      </c>
      <c r="K5">
        <v>0.213822050051585</v>
      </c>
      <c r="L5">
        <v>92.339699999999993</v>
      </c>
      <c r="M5">
        <v>51.228085307735199</v>
      </c>
      <c r="N5">
        <v>143.56778530773499</v>
      </c>
      <c r="O5">
        <v>51.335780393686903</v>
      </c>
      <c r="P5">
        <v>0.76355880869547899</v>
      </c>
      <c r="Q5">
        <v>8.6669558308226904</v>
      </c>
      <c r="R5">
        <v>-0.40585158828442702</v>
      </c>
      <c r="S5">
        <v>-20.790999786914501</v>
      </c>
      <c r="T5">
        <v>-8.0224181838122401</v>
      </c>
      <c r="U5">
        <v>-0.12417120783414901</v>
      </c>
      <c r="V5">
        <v>-2.80040368148371E-2</v>
      </c>
      <c r="W5">
        <v>5.6953976392797201E-2</v>
      </c>
      <c r="X5">
        <v>-0.12538192382572599</v>
      </c>
      <c r="Y5">
        <v>-0.128159204750458</v>
      </c>
      <c r="Z5">
        <v>-0.11651375448586999</v>
      </c>
      <c r="AA5">
        <v>-0.107690119450808</v>
      </c>
      <c r="AB5">
        <v>-1.65915885937701E-2</v>
      </c>
      <c r="AC5">
        <v>2.08330946309668E-2</v>
      </c>
      <c r="AD5">
        <v>1.31325610552289E-3</v>
      </c>
      <c r="AE5">
        <v>7.2666148954844099E-3</v>
      </c>
      <c r="AF5">
        <v>1.66367923819098E-2</v>
      </c>
      <c r="AG5">
        <v>4.1707004143099304E-3</v>
      </c>
      <c r="AH5">
        <v>-1.5513835383906499E-3</v>
      </c>
      <c r="AI5">
        <v>-1.1840539833418E-2</v>
      </c>
      <c r="AJ5">
        <v>8.0683571034384106E-3</v>
      </c>
      <c r="AK5">
        <v>-1.0888256208930599E-2</v>
      </c>
    </row>
    <row r="6" spans="1:37">
      <c r="A6" s="1">
        <v>43045</v>
      </c>
      <c r="B6" t="s">
        <v>18</v>
      </c>
      <c r="C6" t="s">
        <v>50</v>
      </c>
      <c r="D6">
        <v>120.5356</v>
      </c>
      <c r="E6" t="s">
        <v>227</v>
      </c>
      <c r="F6" t="s">
        <v>82</v>
      </c>
      <c r="G6">
        <v>20.079999999999998</v>
      </c>
      <c r="H6">
        <v>18.649999999999999</v>
      </c>
      <c r="I6">
        <v>4.1908675799086801</v>
      </c>
      <c r="J6">
        <v>0.22638573226317299</v>
      </c>
      <c r="K6">
        <v>0.27194025391774501</v>
      </c>
      <c r="L6">
        <v>91.224500000000006</v>
      </c>
      <c r="M6">
        <v>26.1316514989491</v>
      </c>
      <c r="N6">
        <v>117.356151498949</v>
      </c>
      <c r="O6">
        <v>26.2136301698872</v>
      </c>
      <c r="P6">
        <v>0.70082535133219204</v>
      </c>
      <c r="Q6">
        <v>3.7577766827463401</v>
      </c>
      <c r="R6">
        <v>-0.52353829523182005</v>
      </c>
      <c r="S6">
        <v>-13.680920277351801</v>
      </c>
      <c r="T6">
        <v>-6.9940410764872496</v>
      </c>
      <c r="U6">
        <v>2.7092303730490201E-2</v>
      </c>
      <c r="V6">
        <v>1.6913218993359999E-2</v>
      </c>
      <c r="W6">
        <v>4.5559275977844101E-2</v>
      </c>
      <c r="X6">
        <v>2.8395749253006801E-2</v>
      </c>
      <c r="Y6">
        <v>3.5226431580190502E-2</v>
      </c>
      <c r="Z6">
        <v>5.80812937159704E-2</v>
      </c>
      <c r="AA6">
        <v>7.5731588093123706E-2</v>
      </c>
      <c r="AB6">
        <v>6.2790335713550693E-2</v>
      </c>
      <c r="AC6">
        <v>5.0165184670314202E-2</v>
      </c>
      <c r="AD6">
        <v>4.3768115058021799E-2</v>
      </c>
      <c r="AE6">
        <v>1.71739874024356E-2</v>
      </c>
      <c r="AF6">
        <v>2.7929296611342298E-3</v>
      </c>
      <c r="AG6">
        <v>-2.7387714531797801E-2</v>
      </c>
      <c r="AH6">
        <v>-4.4723948900385502E-2</v>
      </c>
      <c r="AI6">
        <v>-4.51705440148783E-2</v>
      </c>
      <c r="AJ6">
        <v>-3.4360440848988899E-2</v>
      </c>
      <c r="AK6">
        <v>-6.8932240269949596E-2</v>
      </c>
    </row>
    <row r="7" spans="1:37">
      <c r="A7" s="1">
        <v>43045</v>
      </c>
      <c r="B7" t="s">
        <v>31</v>
      </c>
      <c r="C7" t="s">
        <v>63</v>
      </c>
      <c r="D7">
        <v>104.6284</v>
      </c>
      <c r="E7" t="s">
        <v>228</v>
      </c>
      <c r="F7" t="s">
        <v>95</v>
      </c>
      <c r="G7">
        <v>8.33</v>
      </c>
      <c r="H7">
        <v>10.46</v>
      </c>
      <c r="I7">
        <v>3.2401826484018299</v>
      </c>
      <c r="J7">
        <v>0.269624609959429</v>
      </c>
      <c r="K7">
        <v>0.27440951449779799</v>
      </c>
      <c r="L7">
        <v>95.021199999999993</v>
      </c>
      <c r="M7">
        <v>10.0602630205327</v>
      </c>
      <c r="N7">
        <v>105.08146302053299</v>
      </c>
      <c r="O7">
        <v>10.1127325238101</v>
      </c>
      <c r="P7">
        <v>0.44973287602365303</v>
      </c>
      <c r="Q7">
        <v>4.2995494839737303</v>
      </c>
      <c r="R7">
        <v>-0.28731691009096499</v>
      </c>
      <c r="S7">
        <v>-2.8904836857618599</v>
      </c>
      <c r="T7">
        <v>-2.9650180383314599</v>
      </c>
      <c r="U7">
        <v>-4.3115408513504398E-3</v>
      </c>
      <c r="V7">
        <v>9.2595641915853705E-2</v>
      </c>
      <c r="W7">
        <v>8.0855234134533105E-2</v>
      </c>
      <c r="X7">
        <v>-1.14436564616893E-2</v>
      </c>
      <c r="Y7">
        <v>-7.3539871712149998E-3</v>
      </c>
      <c r="Z7">
        <v>1.53783265912234E-2</v>
      </c>
      <c r="AA7">
        <v>2.9930886068292101E-2</v>
      </c>
      <c r="AB7">
        <v>2.5191565475939801E-2</v>
      </c>
      <c r="AC7">
        <v>3.2724005836468902E-2</v>
      </c>
      <c r="AD7">
        <v>7.2400649633950695E-2</v>
      </c>
      <c r="AE7">
        <v>0.212094534929579</v>
      </c>
      <c r="AF7">
        <v>0.21066356385878901</v>
      </c>
      <c r="AG7">
        <v>0.20065239390584499</v>
      </c>
      <c r="AH7">
        <v>0.15364026627198499</v>
      </c>
      <c r="AI7">
        <v>0.124734384799171</v>
      </c>
      <c r="AJ7">
        <v>8.0002023997531799E-2</v>
      </c>
      <c r="AK7">
        <v>6.6951178445408197E-2</v>
      </c>
    </row>
    <row r="8" spans="1:37">
      <c r="A8" s="1">
        <v>43045</v>
      </c>
      <c r="B8" t="s">
        <v>14</v>
      </c>
      <c r="C8" t="s">
        <v>46</v>
      </c>
      <c r="D8">
        <v>129.75409999999999</v>
      </c>
      <c r="E8" t="s">
        <v>229</v>
      </c>
      <c r="F8" t="s">
        <v>78</v>
      </c>
      <c r="G8">
        <v>27.64</v>
      </c>
      <c r="H8">
        <v>21.43</v>
      </c>
      <c r="I8">
        <v>4.2100456621004598</v>
      </c>
      <c r="J8">
        <v>0.219951937670505</v>
      </c>
      <c r="K8">
        <v>0.183396298916992</v>
      </c>
      <c r="L8">
        <v>90.530199999999994</v>
      </c>
      <c r="M8">
        <v>42.047284276848004</v>
      </c>
      <c r="N8">
        <v>132.577484276848</v>
      </c>
      <c r="O8">
        <v>41.969371450019899</v>
      </c>
      <c r="P8">
        <v>0.82366917991828603</v>
      </c>
      <c r="Q8">
        <v>3.8435332707339498</v>
      </c>
      <c r="R8">
        <v>-0.59005572968487796</v>
      </c>
      <c r="S8">
        <v>-24.8102410052431</v>
      </c>
      <c r="T8">
        <v>-9.3167398047722294</v>
      </c>
      <c r="U8">
        <v>-2.1296106893627698E-2</v>
      </c>
      <c r="V8">
        <v>-3.7212950301725799E-2</v>
      </c>
      <c r="W8">
        <v>2.5871927116519498E-2</v>
      </c>
      <c r="X8">
        <v>-1.96677404039328E-2</v>
      </c>
      <c r="Y8">
        <v>-2.2789366710340701E-2</v>
      </c>
      <c r="Z8">
        <v>-9.3772193673258893E-3</v>
      </c>
      <c r="AA8">
        <v>-5.6514070329380002E-3</v>
      </c>
      <c r="AB8">
        <v>-1.54576362306984E-2</v>
      </c>
      <c r="AC8">
        <v>-2.1974969066178199E-2</v>
      </c>
      <c r="AD8">
        <v>-3.62120063089457E-2</v>
      </c>
      <c r="AE8">
        <v>-6.2818981136097005E-2</v>
      </c>
      <c r="AF8">
        <v>-5.4337955395968203E-2</v>
      </c>
      <c r="AG8">
        <v>-4.4135859392558201E-2</v>
      </c>
      <c r="AH8">
        <v>-3.6045155367441399E-2</v>
      </c>
      <c r="AI8">
        <v>-6.3210108200032297E-2</v>
      </c>
      <c r="AJ8">
        <v>-7.7822574069364506E-2</v>
      </c>
      <c r="AK8">
        <v>-5.1451694625263902E-2</v>
      </c>
    </row>
    <row r="9" spans="1:37">
      <c r="A9" s="1">
        <v>43045</v>
      </c>
      <c r="B9" t="s">
        <v>35</v>
      </c>
      <c r="C9" t="s">
        <v>67</v>
      </c>
      <c r="D9">
        <v>104.1095</v>
      </c>
      <c r="E9" t="s">
        <v>230</v>
      </c>
      <c r="F9" t="s">
        <v>99</v>
      </c>
      <c r="G9">
        <v>6.09</v>
      </c>
      <c r="H9">
        <v>9.3000000000000007</v>
      </c>
      <c r="I9">
        <v>4.3607305936073102</v>
      </c>
      <c r="J9">
        <v>0.15268595621439601</v>
      </c>
      <c r="K9">
        <v>0.37982072389002403</v>
      </c>
      <c r="L9">
        <v>91.706299999999999</v>
      </c>
      <c r="M9">
        <v>1.62446307204687</v>
      </c>
      <c r="N9">
        <v>93.330763072046906</v>
      </c>
      <c r="O9">
        <v>1.6230838308575199</v>
      </c>
      <c r="P9">
        <v>0.16771286198621899</v>
      </c>
      <c r="Q9">
        <v>1.8033641073786899</v>
      </c>
      <c r="R9">
        <v>-6.8906565892912802E-2</v>
      </c>
      <c r="S9">
        <v>-0.111936171714601</v>
      </c>
      <c r="T9">
        <v>-2.84429403141361</v>
      </c>
      <c r="U9">
        <v>0.11548964749846199</v>
      </c>
      <c r="V9">
        <v>5.5746530480187698E-2</v>
      </c>
      <c r="W9">
        <v>4.1623833057429602E-2</v>
      </c>
      <c r="X9">
        <v>0.115896376115336</v>
      </c>
      <c r="Y9">
        <v>0.11051958627717701</v>
      </c>
      <c r="Z9">
        <v>0.116085290690794</v>
      </c>
      <c r="AA9">
        <v>0.102915100681899</v>
      </c>
      <c r="AB9">
        <v>7.9025109124654297E-2</v>
      </c>
      <c r="AC9">
        <v>7.3368823751870996E-2</v>
      </c>
      <c r="AD9">
        <v>5.8847038593567699E-2</v>
      </c>
      <c r="AE9">
        <v>4.1164465596956697E-2</v>
      </c>
      <c r="AF9">
        <v>3.4759719637743797E-2</v>
      </c>
      <c r="AG9">
        <v>2.4969577108060401E-2</v>
      </c>
      <c r="AH9">
        <v>6.2745809165828904E-3</v>
      </c>
      <c r="AI9">
        <v>3.88261494179774E-3</v>
      </c>
      <c r="AJ9">
        <v>7.8475362367692106E-3</v>
      </c>
      <c r="AK9">
        <v>-2.20985601324079E-2</v>
      </c>
    </row>
    <row r="10" spans="1:37">
      <c r="A10" s="1">
        <v>43045</v>
      </c>
      <c r="B10" t="s">
        <v>10</v>
      </c>
      <c r="C10" t="s">
        <v>42</v>
      </c>
      <c r="D10">
        <v>108.21120000000001</v>
      </c>
      <c r="E10" t="s">
        <v>231</v>
      </c>
      <c r="F10" t="s">
        <v>74</v>
      </c>
      <c r="G10">
        <v>4</v>
      </c>
      <c r="H10">
        <v>4.26</v>
      </c>
      <c r="I10">
        <v>5.3579908675799102</v>
      </c>
      <c r="J10">
        <v>0.13544448605694301</v>
      </c>
      <c r="K10">
        <v>0.26300668170077601</v>
      </c>
      <c r="L10">
        <v>85.162000000000006</v>
      </c>
      <c r="M10">
        <v>12.4227154337778</v>
      </c>
      <c r="N10">
        <v>97.584715433777802</v>
      </c>
      <c r="O10">
        <v>12.4526790587338</v>
      </c>
      <c r="P10">
        <v>0.58404104399038803</v>
      </c>
      <c r="Q10">
        <v>13.709883661746201</v>
      </c>
      <c r="R10">
        <v>-7.2752016800678804E-2</v>
      </c>
      <c r="S10">
        <v>-0.90377760194825496</v>
      </c>
      <c r="T10">
        <v>-4.3018363729333604</v>
      </c>
      <c r="U10">
        <v>0.108894969042908</v>
      </c>
      <c r="V10">
        <v>8.9090848853772803E-2</v>
      </c>
      <c r="W10">
        <v>4.0995526976325102E-2</v>
      </c>
      <c r="X10">
        <v>0.112194272247457</v>
      </c>
      <c r="Y10">
        <v>0.122554618501012</v>
      </c>
      <c r="Z10">
        <v>0.13321186119505901</v>
      </c>
      <c r="AA10">
        <v>0.13210190967027799</v>
      </c>
      <c r="AB10">
        <v>9.1102636119196598E-2</v>
      </c>
      <c r="AC10">
        <v>7.7883220168339207E-2</v>
      </c>
      <c r="AD10">
        <v>5.7443944003936202E-2</v>
      </c>
      <c r="AE10">
        <v>4.6845667659117497E-2</v>
      </c>
      <c r="AF10">
        <v>5.2505352112612498E-5</v>
      </c>
      <c r="AG10">
        <v>0</v>
      </c>
      <c r="AH10">
        <v>0</v>
      </c>
      <c r="AI10">
        <v>0</v>
      </c>
      <c r="AJ10">
        <v>0</v>
      </c>
      <c r="AK10">
        <v>0</v>
      </c>
    </row>
    <row r="11" spans="1:37">
      <c r="A11" s="1">
        <v>43045</v>
      </c>
      <c r="B11" t="s">
        <v>13</v>
      </c>
      <c r="C11" t="s">
        <v>45</v>
      </c>
      <c r="D11">
        <v>105.9226</v>
      </c>
      <c r="E11" t="s">
        <v>232</v>
      </c>
      <c r="F11" t="s">
        <v>77</v>
      </c>
      <c r="G11">
        <v>13.74</v>
      </c>
      <c r="H11">
        <v>16.72</v>
      </c>
      <c r="I11">
        <v>5.3771689497716899</v>
      </c>
      <c r="J11">
        <v>0.26760470726013202</v>
      </c>
      <c r="K11">
        <v>0.33132122658240898</v>
      </c>
      <c r="L11">
        <v>84.768299999999996</v>
      </c>
      <c r="M11">
        <v>16.568008109641699</v>
      </c>
      <c r="N11">
        <v>101.336308109642</v>
      </c>
      <c r="O11">
        <v>16.539150294028499</v>
      </c>
      <c r="P11">
        <v>0.54931159468645196</v>
      </c>
      <c r="Q11">
        <v>3.2853564275505498</v>
      </c>
      <c r="R11">
        <v>-0.38552999955857398</v>
      </c>
      <c r="S11">
        <v>-6.3874641591966199</v>
      </c>
      <c r="T11">
        <v>-3.9340962126358701</v>
      </c>
      <c r="U11">
        <v>4.5258130831016E-2</v>
      </c>
      <c r="V11">
        <v>5.6925943059193497E-2</v>
      </c>
      <c r="W11">
        <v>5.6036984989803897E-2</v>
      </c>
      <c r="X11">
        <v>5.53051255762445E-2</v>
      </c>
      <c r="Y11">
        <v>5.2038638911473901E-2</v>
      </c>
      <c r="Z11">
        <v>7.5643002553533303E-2</v>
      </c>
      <c r="AA11">
        <v>0.125759741792318</v>
      </c>
      <c r="AB11">
        <v>8.9864163856767196E-2</v>
      </c>
      <c r="AC11">
        <v>6.2618797135403095E-2</v>
      </c>
      <c r="AD11">
        <v>4.2403767648642302E-2</v>
      </c>
      <c r="AE11">
        <v>-2.9795562221697301E-2</v>
      </c>
      <c r="AF11">
        <v>-8.5104557433903993E-2</v>
      </c>
      <c r="AG11">
        <v>0</v>
      </c>
      <c r="AH11">
        <v>0</v>
      </c>
      <c r="AI11">
        <v>0</v>
      </c>
      <c r="AJ11">
        <v>0</v>
      </c>
      <c r="AK11">
        <v>0</v>
      </c>
    </row>
    <row r="12" spans="1:37">
      <c r="A12" s="1">
        <v>43045</v>
      </c>
      <c r="B12" t="s">
        <v>12</v>
      </c>
      <c r="C12" t="s">
        <v>44</v>
      </c>
      <c r="D12">
        <v>115.93259999999999</v>
      </c>
      <c r="E12" t="s">
        <v>233</v>
      </c>
      <c r="F12" t="s">
        <v>76</v>
      </c>
      <c r="G12">
        <v>19.989999999999998</v>
      </c>
      <c r="H12">
        <v>20.2</v>
      </c>
      <c r="I12">
        <v>5.6621004566210003</v>
      </c>
      <c r="J12">
        <v>0.20705564455376299</v>
      </c>
      <c r="K12">
        <v>0.320824374778514</v>
      </c>
      <c r="L12">
        <v>83.922399999999996</v>
      </c>
      <c r="M12">
        <v>22.324024179897901</v>
      </c>
      <c r="N12">
        <v>106.246424179898</v>
      </c>
      <c r="O12">
        <v>22.2799696673668</v>
      </c>
      <c r="P12">
        <v>0.65450713264514904</v>
      </c>
      <c r="Q12">
        <v>3.24013432002549</v>
      </c>
      <c r="R12">
        <v>-0.44922247456224801</v>
      </c>
      <c r="S12">
        <v>-10.0284533842812</v>
      </c>
      <c r="T12">
        <v>-5.6534143548387101</v>
      </c>
      <c r="U12">
        <v>9.1167075926257099E-2</v>
      </c>
      <c r="V12">
        <v>0.114698384125203</v>
      </c>
      <c r="W12">
        <v>6.5933796733864097E-2</v>
      </c>
      <c r="X12">
        <v>9.33085258063827E-2</v>
      </c>
      <c r="Y12">
        <v>0.11737195646956</v>
      </c>
      <c r="Z12">
        <v>0.13461067960787701</v>
      </c>
      <c r="AA12">
        <v>0.167449752817632</v>
      </c>
      <c r="AB12">
        <v>2.1090679322802099E-2</v>
      </c>
      <c r="AC12">
        <v>0</v>
      </c>
      <c r="AD12">
        <v>0</v>
      </c>
      <c r="AE12">
        <v>0</v>
      </c>
      <c r="AF12">
        <v>0</v>
      </c>
      <c r="AG12">
        <v>0</v>
      </c>
      <c r="AH12">
        <v>0</v>
      </c>
      <c r="AI12">
        <v>0</v>
      </c>
      <c r="AJ12">
        <v>0</v>
      </c>
      <c r="AK12">
        <v>0</v>
      </c>
    </row>
    <row r="13" spans="1:37">
      <c r="A13" s="1">
        <v>43045</v>
      </c>
      <c r="B13" t="s">
        <v>260</v>
      </c>
      <c r="C13" t="s">
        <v>261</v>
      </c>
      <c r="D13">
        <v>99.991</v>
      </c>
      <c r="E13" t="s">
        <v>262</v>
      </c>
      <c r="F13" t="s">
        <v>263</v>
      </c>
      <c r="G13">
        <v>8.77</v>
      </c>
      <c r="H13">
        <v>8.8000000000000007</v>
      </c>
      <c r="I13">
        <v>5.9716894977168904</v>
      </c>
      <c r="J13">
        <v>0.27930675751686102</v>
      </c>
      <c r="K13">
        <v>0.12851864649382899</v>
      </c>
      <c r="L13">
        <v>83.561800000000005</v>
      </c>
      <c r="M13">
        <v>29.829014227534699</v>
      </c>
      <c r="N13">
        <v>113.390814227535</v>
      </c>
      <c r="O13">
        <v>29.717857960204601</v>
      </c>
      <c r="P13">
        <v>0.67993103144025602</v>
      </c>
      <c r="Q13">
        <v>7.7264889936392702</v>
      </c>
      <c r="R13">
        <v>-0.22931783779560999</v>
      </c>
      <c r="S13">
        <v>-6.8403250462327501</v>
      </c>
      <c r="T13">
        <v>-2.7511812203700901</v>
      </c>
      <c r="U13">
        <v>-0.11817371908668101</v>
      </c>
      <c r="V13">
        <v>-0.117922280110116</v>
      </c>
      <c r="W13">
        <v>8.46963474246442E-3</v>
      </c>
      <c r="X13">
        <v>-0.11347763924807901</v>
      </c>
      <c r="Y13">
        <v>-0.123848467926165</v>
      </c>
      <c r="Z13">
        <v>0</v>
      </c>
      <c r="AA13">
        <v>0</v>
      </c>
      <c r="AB13">
        <v>0</v>
      </c>
      <c r="AC13">
        <v>0</v>
      </c>
      <c r="AD13">
        <v>0</v>
      </c>
      <c r="AE13">
        <v>0</v>
      </c>
      <c r="AF13">
        <v>0</v>
      </c>
      <c r="AG13">
        <v>0</v>
      </c>
      <c r="AH13">
        <v>0</v>
      </c>
      <c r="AI13">
        <v>0</v>
      </c>
      <c r="AJ13">
        <v>0</v>
      </c>
      <c r="AK13">
        <v>0</v>
      </c>
    </row>
    <row r="14" spans="1:37">
      <c r="A14" s="1">
        <v>43045</v>
      </c>
      <c r="B14" t="s">
        <v>264</v>
      </c>
      <c r="C14" t="s">
        <v>265</v>
      </c>
      <c r="D14">
        <v>99.995900000000006</v>
      </c>
      <c r="E14" t="s">
        <v>267</v>
      </c>
      <c r="F14" t="s">
        <v>268</v>
      </c>
      <c r="G14">
        <v>34.11</v>
      </c>
      <c r="H14">
        <v>32.35</v>
      </c>
      <c r="I14">
        <v>5.9881278538812799</v>
      </c>
      <c r="J14">
        <v>0.423580480928888</v>
      </c>
      <c r="K14">
        <v>8.3635408518235393E-2</v>
      </c>
      <c r="L14">
        <v>83.094999999999999</v>
      </c>
      <c r="M14">
        <v>46.301334479156701</v>
      </c>
      <c r="N14">
        <v>129.39633447915699</v>
      </c>
      <c r="O14">
        <v>46.315358187300198</v>
      </c>
      <c r="P14">
        <v>0.74409776602368805</v>
      </c>
      <c r="Q14">
        <v>2.3001476538599301</v>
      </c>
      <c r="R14">
        <v>-1.1057639690088601</v>
      </c>
      <c r="S14">
        <v>-51.198347384079199</v>
      </c>
      <c r="T14">
        <v>-2.8224013268262902</v>
      </c>
      <c r="U14">
        <v>-0.22721226685051599</v>
      </c>
      <c r="V14">
        <v>-0.204394970496178</v>
      </c>
      <c r="W14">
        <v>1.9830046723074202E-2</v>
      </c>
      <c r="X14">
        <v>-0.204394970496178</v>
      </c>
      <c r="Y14">
        <v>0</v>
      </c>
      <c r="Z14">
        <v>0</v>
      </c>
      <c r="AA14">
        <v>0</v>
      </c>
      <c r="AB14">
        <v>0</v>
      </c>
      <c r="AC14">
        <v>0</v>
      </c>
      <c r="AD14">
        <v>0</v>
      </c>
      <c r="AE14">
        <v>0</v>
      </c>
      <c r="AF14">
        <v>0</v>
      </c>
      <c r="AG14">
        <v>0</v>
      </c>
      <c r="AH14">
        <v>0</v>
      </c>
      <c r="AI14">
        <v>0</v>
      </c>
      <c r="AJ14">
        <v>0</v>
      </c>
      <c r="AK14">
        <v>0</v>
      </c>
    </row>
    <row r="15" spans="1:37">
      <c r="A15" s="1">
        <v>43045</v>
      </c>
      <c r="B15" t="s">
        <v>358</v>
      </c>
      <c r="C15" t="s">
        <v>303</v>
      </c>
      <c r="D15">
        <v>99.999200000000002</v>
      </c>
      <c r="E15" t="s">
        <v>348</v>
      </c>
      <c r="F15" t="s">
        <v>303</v>
      </c>
      <c r="G15">
        <v>23.92</v>
      </c>
      <c r="H15">
        <v>23</v>
      </c>
      <c r="I15">
        <v>5.9990867579908702</v>
      </c>
      <c r="J15">
        <v>0.39913866972294698</v>
      </c>
      <c r="K15">
        <v>9.3325028120548298E-2</v>
      </c>
      <c r="L15">
        <v>83.450800000000001</v>
      </c>
      <c r="M15">
        <v>43.2356680277096</v>
      </c>
      <c r="N15">
        <v>126.68646802771001</v>
      </c>
      <c r="O15">
        <v>43.215442413606802</v>
      </c>
      <c r="P15">
        <v>0.73269091934577402</v>
      </c>
      <c r="Q15">
        <v>3.1856126928077102</v>
      </c>
      <c r="R15">
        <v>-0.754920076988425</v>
      </c>
      <c r="S15">
        <v>-32.639473836124502</v>
      </c>
      <c r="T15">
        <v>-2.7584865276297799</v>
      </c>
      <c r="U15">
        <v>-0.21065602698681599</v>
      </c>
      <c r="V15">
        <v>-0.21073071186641401</v>
      </c>
      <c r="W15" t="s">
        <v>266</v>
      </c>
      <c r="X15">
        <v>-0.21073071186641401</v>
      </c>
      <c r="Y15">
        <v>0</v>
      </c>
      <c r="Z15">
        <v>0</v>
      </c>
      <c r="AA15">
        <v>0</v>
      </c>
      <c r="AB15">
        <v>0</v>
      </c>
      <c r="AC15">
        <v>0</v>
      </c>
      <c r="AD15">
        <v>0</v>
      </c>
      <c r="AE15">
        <v>0</v>
      </c>
      <c r="AF15">
        <v>0</v>
      </c>
      <c r="AG15">
        <v>0</v>
      </c>
      <c r="AH15">
        <v>0</v>
      </c>
      <c r="AI15">
        <v>0</v>
      </c>
      <c r="AJ15">
        <v>0</v>
      </c>
      <c r="AK15">
        <v>0</v>
      </c>
    </row>
    <row r="16" spans="1:37">
      <c r="A16" s="1">
        <v>43045</v>
      </c>
      <c r="B16" t="s">
        <v>22</v>
      </c>
      <c r="C16" t="s">
        <v>54</v>
      </c>
      <c r="D16">
        <v>107.4928</v>
      </c>
      <c r="E16" t="s">
        <v>234</v>
      </c>
      <c r="F16" t="s">
        <v>86</v>
      </c>
      <c r="G16">
        <v>16.78</v>
      </c>
      <c r="H16">
        <v>17.8</v>
      </c>
      <c r="I16">
        <v>3.4456621004566199</v>
      </c>
      <c r="J16">
        <v>0.16478189065069901</v>
      </c>
      <c r="K16">
        <v>0.201155534277456</v>
      </c>
      <c r="L16">
        <v>94.339500000000001</v>
      </c>
      <c r="M16">
        <v>11.157585336557201</v>
      </c>
      <c r="N16">
        <v>105.49708533655701</v>
      </c>
      <c r="O16">
        <v>11.1956204753218</v>
      </c>
      <c r="P16">
        <v>0.55131637369495301</v>
      </c>
      <c r="Q16">
        <v>3.0972829982862602</v>
      </c>
      <c r="R16">
        <v>-0.40364311866811697</v>
      </c>
      <c r="S16">
        <v>-4.50368254205359</v>
      </c>
      <c r="T16">
        <v>-3.8173505168301101</v>
      </c>
      <c r="U16">
        <v>1.8917249297230501E-2</v>
      </c>
      <c r="V16">
        <v>3.0193652386296499E-4</v>
      </c>
      <c r="W16">
        <v>2.0392506781258399E-2</v>
      </c>
      <c r="X16">
        <v>2.20349066919375E-2</v>
      </c>
      <c r="Y16">
        <v>1.1869153258163E-2</v>
      </c>
      <c r="Z16">
        <v>1.53263298555805E-2</v>
      </c>
      <c r="AA16">
        <v>2.6246758100307199E-2</v>
      </c>
      <c r="AB16">
        <v>4.0400623057097402E-3</v>
      </c>
      <c r="AC16">
        <v>-2.0632804912399201E-3</v>
      </c>
      <c r="AD16">
        <v>-2.4286663030540601E-2</v>
      </c>
      <c r="AE16">
        <v>-2.57235212355615E-2</v>
      </c>
      <c r="AF16">
        <v>-2.2268732479479601E-2</v>
      </c>
      <c r="AG16">
        <v>-1.5092781201492299E-3</v>
      </c>
      <c r="AH16">
        <v>6.18735979660988E-4</v>
      </c>
      <c r="AI16">
        <v>-1.4578841835068501E-2</v>
      </c>
      <c r="AJ16">
        <v>2.7757853089576699E-2</v>
      </c>
      <c r="AK16">
        <v>7.6203987308953699E-3</v>
      </c>
    </row>
    <row r="17" spans="1:37">
      <c r="A17" s="1">
        <v>43045</v>
      </c>
      <c r="B17" t="s">
        <v>30</v>
      </c>
      <c r="C17" t="s">
        <v>62</v>
      </c>
      <c r="D17">
        <v>101.37860000000001</v>
      </c>
      <c r="E17" t="s">
        <v>235</v>
      </c>
      <c r="F17" t="s">
        <v>94</v>
      </c>
      <c r="G17">
        <v>6.98</v>
      </c>
      <c r="H17">
        <v>9.77</v>
      </c>
      <c r="I17">
        <v>4.1141552511415496</v>
      </c>
      <c r="J17">
        <v>0.29932174400501299</v>
      </c>
      <c r="K17">
        <v>0.27505440768355799</v>
      </c>
      <c r="L17">
        <v>93.067899999999995</v>
      </c>
      <c r="M17">
        <v>10.3570876103439</v>
      </c>
      <c r="N17">
        <v>103.424987610344</v>
      </c>
      <c r="O17">
        <v>10.2844591191174</v>
      </c>
      <c r="P17">
        <v>0.44091153544948702</v>
      </c>
      <c r="Q17">
        <v>4.5129123382751999</v>
      </c>
      <c r="R17">
        <v>-0.23419022687890201</v>
      </c>
      <c r="S17">
        <v>-2.4255286972711101</v>
      </c>
      <c r="T17">
        <v>-2.02002586015539</v>
      </c>
      <c r="U17">
        <v>-1.9786201164980598E-2</v>
      </c>
      <c r="V17">
        <v>3.6654283977187702E-2</v>
      </c>
      <c r="W17">
        <v>3.2600704944635302E-2</v>
      </c>
      <c r="X17">
        <v>-2.3670591061301999E-2</v>
      </c>
      <c r="Y17">
        <v>-8.6159293955832099E-3</v>
      </c>
      <c r="Z17">
        <v>2.4153531631704198E-2</v>
      </c>
      <c r="AA17">
        <v>2.99830295806813E-2</v>
      </c>
      <c r="AB17">
        <v>2.2465812762101699E-2</v>
      </c>
      <c r="AC17">
        <v>-1.4616195718969899E-2</v>
      </c>
      <c r="AD17">
        <v>9.1875090120239603E-2</v>
      </c>
      <c r="AE17">
        <v>5.6981806769574303E-2</v>
      </c>
      <c r="AF17">
        <v>5.7140238301467403E-2</v>
      </c>
      <c r="AG17">
        <v>6.6933041573307803E-2</v>
      </c>
      <c r="AH17">
        <v>5.2907043100345101E-2</v>
      </c>
      <c r="AI17">
        <v>5.5642577714212597E-2</v>
      </c>
      <c r="AJ17">
        <v>2.31884329505848E-2</v>
      </c>
      <c r="AK17">
        <v>-1.1139012483373701E-2</v>
      </c>
    </row>
    <row r="18" spans="1:37">
      <c r="A18" s="1">
        <v>43045</v>
      </c>
      <c r="B18" t="s">
        <v>32</v>
      </c>
      <c r="C18" t="s">
        <v>64</v>
      </c>
      <c r="D18">
        <v>99.458500000000001</v>
      </c>
      <c r="E18" t="s">
        <v>236</v>
      </c>
      <c r="F18" t="s">
        <v>96</v>
      </c>
      <c r="G18">
        <v>3.53</v>
      </c>
      <c r="H18">
        <v>5.25</v>
      </c>
      <c r="I18">
        <v>4.5853881278538804</v>
      </c>
      <c r="J18">
        <v>0.18786088146586599</v>
      </c>
      <c r="K18">
        <v>0.25864878229048199</v>
      </c>
      <c r="L18">
        <v>92.472099999999998</v>
      </c>
      <c r="M18">
        <v>3.6816113797236798</v>
      </c>
      <c r="N18">
        <v>96.153711379723703</v>
      </c>
      <c r="O18">
        <v>3.7048251856688998</v>
      </c>
      <c r="P18">
        <v>0.26941167665951998</v>
      </c>
      <c r="Q18">
        <v>5.1316509839908502</v>
      </c>
      <c r="R18">
        <v>-6.2508485874467196E-2</v>
      </c>
      <c r="S18">
        <v>-0.23013195292473501</v>
      </c>
      <c r="T18">
        <v>-1.52362238597889</v>
      </c>
      <c r="U18">
        <v>3.4369849825403899E-2</v>
      </c>
      <c r="V18">
        <v>1.6890543932478901E-2</v>
      </c>
      <c r="W18">
        <v>3.2723605624780702E-2</v>
      </c>
      <c r="X18">
        <v>3.28239151796225E-2</v>
      </c>
      <c r="Y18">
        <v>2.9767956982256101E-2</v>
      </c>
      <c r="Z18">
        <v>3.9176876788135903E-2</v>
      </c>
      <c r="AA18">
        <v>5.7702007998549201E-2</v>
      </c>
      <c r="AB18">
        <v>4.6831294491699003E-2</v>
      </c>
      <c r="AC18">
        <v>4.1150705481538902E-2</v>
      </c>
      <c r="AD18">
        <v>3.2169941616508199E-2</v>
      </c>
      <c r="AE18">
        <v>2.6905879711187301E-2</v>
      </c>
      <c r="AF18">
        <v>1.7587899416392001E-2</v>
      </c>
      <c r="AG18">
        <v>-1.5996315409168599E-2</v>
      </c>
      <c r="AH18">
        <v>-3.8395476834651998E-2</v>
      </c>
      <c r="AI18">
        <v>-3.1686096473227898E-2</v>
      </c>
      <c r="AJ18">
        <v>-1.27137929534824E-2</v>
      </c>
      <c r="AK18">
        <v>-2.9724773666289301E-2</v>
      </c>
    </row>
    <row r="19" spans="1:37">
      <c r="A19" s="1">
        <v>43045</v>
      </c>
      <c r="B19" t="s">
        <v>25</v>
      </c>
      <c r="C19" t="s">
        <v>57</v>
      </c>
      <c r="D19">
        <v>102.8436</v>
      </c>
      <c r="E19" t="s">
        <v>237</v>
      </c>
      <c r="F19" t="s">
        <v>89</v>
      </c>
      <c r="G19">
        <v>6.33</v>
      </c>
      <c r="H19">
        <v>8</v>
      </c>
      <c r="I19">
        <v>5.5689497716894998</v>
      </c>
      <c r="J19">
        <v>0.292094172781658</v>
      </c>
      <c r="K19">
        <v>0.25409750710417101</v>
      </c>
      <c r="L19">
        <v>88.595200000000006</v>
      </c>
      <c r="M19">
        <v>17.164834973042399</v>
      </c>
      <c r="N19">
        <v>105.760034973042</v>
      </c>
      <c r="O19">
        <v>17.180928668805201</v>
      </c>
      <c r="P19">
        <v>0.55019692025385003</v>
      </c>
      <c r="Q19">
        <v>6.8774615031731203</v>
      </c>
      <c r="R19">
        <v>-0.18669058339731401</v>
      </c>
      <c r="S19">
        <v>-3.2045130550358998</v>
      </c>
      <c r="T19">
        <v>-2.5585434568710999</v>
      </c>
      <c r="U19">
        <v>-2.75759645293778E-2</v>
      </c>
      <c r="V19">
        <v>-2.0454718427935701E-2</v>
      </c>
      <c r="W19">
        <v>3.0183270608682301E-2</v>
      </c>
      <c r="X19">
        <v>-2.1935150907121701E-2</v>
      </c>
      <c r="Y19">
        <v>-2.3692799601462498E-2</v>
      </c>
      <c r="Z19">
        <v>-1.68484114182901E-3</v>
      </c>
      <c r="AA19">
        <v>1.9306418684968301E-3</v>
      </c>
      <c r="AB19">
        <v>-2.1765643666843301E-2</v>
      </c>
      <c r="AC19">
        <v>-5.9527678901384898E-2</v>
      </c>
      <c r="AD19">
        <v>0</v>
      </c>
      <c r="AE19">
        <v>0</v>
      </c>
      <c r="AF19">
        <v>0</v>
      </c>
      <c r="AG19">
        <v>0</v>
      </c>
      <c r="AH19">
        <v>0</v>
      </c>
      <c r="AI19">
        <v>0</v>
      </c>
      <c r="AJ19">
        <v>0</v>
      </c>
      <c r="AK19">
        <v>0</v>
      </c>
    </row>
    <row r="20" spans="1:37">
      <c r="A20" s="1">
        <v>43045</v>
      </c>
      <c r="B20" t="s">
        <v>21</v>
      </c>
      <c r="C20" t="s">
        <v>53</v>
      </c>
      <c r="D20">
        <v>116.4448</v>
      </c>
      <c r="E20" t="s">
        <v>238</v>
      </c>
      <c r="F20" t="s">
        <v>85</v>
      </c>
      <c r="G20">
        <v>9.58</v>
      </c>
      <c r="H20">
        <v>9.32</v>
      </c>
      <c r="I20">
        <v>4.2100456621004598</v>
      </c>
      <c r="J20">
        <v>0.29986227183516001</v>
      </c>
      <c r="K20">
        <v>0.247115064763617</v>
      </c>
      <c r="L20">
        <v>92.535399999999996</v>
      </c>
      <c r="M20">
        <v>28.465659571280799</v>
      </c>
      <c r="N20">
        <v>121.001059571281</v>
      </c>
      <c r="O20">
        <v>28.4673842196155</v>
      </c>
      <c r="P20">
        <v>0.67544319924310903</v>
      </c>
      <c r="Q20">
        <v>7.2472446270719901</v>
      </c>
      <c r="R20">
        <v>-0.30907464223418102</v>
      </c>
      <c r="S20">
        <v>-8.7980135479536106</v>
      </c>
      <c r="T20">
        <v>-5.6791308026030398</v>
      </c>
      <c r="U20">
        <v>-3.7654708044905803E-2</v>
      </c>
      <c r="V20">
        <v>-3.6111533920296097E-2</v>
      </c>
      <c r="W20">
        <v>4.64899465518318E-2</v>
      </c>
      <c r="X20">
        <v>-3.34872298772418E-2</v>
      </c>
      <c r="Y20">
        <v>-1.44588813108228E-2</v>
      </c>
      <c r="Z20">
        <v>2.7297682225439001E-2</v>
      </c>
      <c r="AA20">
        <v>3.8025629298861399E-2</v>
      </c>
      <c r="AB20">
        <v>1.7212709545627598E-2</v>
      </c>
      <c r="AC20">
        <v>-2.52776455856141E-2</v>
      </c>
      <c r="AD20">
        <v>-5.97233186964857E-2</v>
      </c>
      <c r="AE20">
        <v>-4.7420979308423199E-2</v>
      </c>
      <c r="AF20">
        <v>-6.2254210567518897E-2</v>
      </c>
      <c r="AG20">
        <v>-8.3732160654017396E-2</v>
      </c>
      <c r="AH20">
        <v>-8.7710615594807403E-2</v>
      </c>
      <c r="AI20">
        <v>-7.5821141936973493E-2</v>
      </c>
      <c r="AJ20">
        <v>-7.0969816779562794E-2</v>
      </c>
      <c r="AK20">
        <v>-0.106071167686863</v>
      </c>
    </row>
    <row r="21" spans="1:37">
      <c r="A21" s="1">
        <v>43045</v>
      </c>
      <c r="B21" t="s">
        <v>33</v>
      </c>
      <c r="C21" t="s">
        <v>65</v>
      </c>
      <c r="D21">
        <v>103.21639999999999</v>
      </c>
      <c r="E21" t="s">
        <v>239</v>
      </c>
      <c r="F21" t="s">
        <v>97</v>
      </c>
      <c r="G21">
        <v>5.72</v>
      </c>
      <c r="H21">
        <v>7.74</v>
      </c>
      <c r="I21">
        <v>4.4538812785388098</v>
      </c>
      <c r="J21">
        <v>0.29870841546636101</v>
      </c>
      <c r="K21">
        <v>0.37095662393521001</v>
      </c>
      <c r="L21">
        <v>86.8416</v>
      </c>
      <c r="M21">
        <v>12.2690591605476</v>
      </c>
      <c r="N21">
        <v>99.110659160547598</v>
      </c>
      <c r="O21">
        <v>12.3211956679837</v>
      </c>
      <c r="P21">
        <v>0.47664762959662599</v>
      </c>
      <c r="Q21">
        <v>6.1582381084835296</v>
      </c>
      <c r="R21">
        <v>-0.187868436824945</v>
      </c>
      <c r="S21">
        <v>-2.30496896580485</v>
      </c>
      <c r="T21">
        <v>-3.67652368259176</v>
      </c>
      <c r="U21">
        <v>4.1425825175893403E-2</v>
      </c>
      <c r="V21">
        <v>0.122347377688878</v>
      </c>
      <c r="W21">
        <v>3.5141887360370702E-2</v>
      </c>
      <c r="X21">
        <v>4.4551518235825302E-2</v>
      </c>
      <c r="Y21">
        <v>5.3561427430072098E-2</v>
      </c>
      <c r="Z21">
        <v>8.5713484720737296E-2</v>
      </c>
      <c r="AA21">
        <v>0.116212435993234</v>
      </c>
      <c r="AB21">
        <v>0.120140452950862</v>
      </c>
      <c r="AC21">
        <v>0.119151463706789</v>
      </c>
      <c r="AD21">
        <v>0.13623968719948201</v>
      </c>
      <c r="AE21">
        <v>0.144883171380006</v>
      </c>
      <c r="AF21">
        <v>0.14788555319538299</v>
      </c>
      <c r="AG21">
        <v>0.16277648491216001</v>
      </c>
      <c r="AH21">
        <v>0.15535458341803099</v>
      </c>
      <c r="AI21">
        <v>0.15533712767343</v>
      </c>
      <c r="AJ21">
        <v>8.9559171620116701E-2</v>
      </c>
      <c r="AK21">
        <v>3.2806795742607697E-2</v>
      </c>
    </row>
    <row r="22" spans="1:37">
      <c r="A22" s="1">
        <v>43045</v>
      </c>
      <c r="B22" t="s">
        <v>39</v>
      </c>
      <c r="C22" t="s">
        <v>71</v>
      </c>
      <c r="D22">
        <v>99.634</v>
      </c>
      <c r="E22" t="s">
        <v>240</v>
      </c>
      <c r="F22" t="s">
        <v>103</v>
      </c>
      <c r="G22">
        <v>5.68</v>
      </c>
      <c r="H22">
        <v>10.029999999999999</v>
      </c>
      <c r="I22">
        <v>4.7251141552511404</v>
      </c>
      <c r="J22">
        <v>0.31959641054902599</v>
      </c>
      <c r="K22">
        <v>0.38015471149004698</v>
      </c>
      <c r="L22">
        <v>90.145300000000006</v>
      </c>
      <c r="M22">
        <v>6.7745306964758596</v>
      </c>
      <c r="N22">
        <v>96.919830696475898</v>
      </c>
      <c r="O22">
        <v>6.73554265676988</v>
      </c>
      <c r="P22">
        <v>0.35601771421302297</v>
      </c>
      <c r="Q22">
        <v>3.5495285564608401</v>
      </c>
      <c r="R22">
        <v>-0.17575035996954699</v>
      </c>
      <c r="S22">
        <v>-1.19062620853038</v>
      </c>
      <c r="T22">
        <v>-2.0081419597989898</v>
      </c>
      <c r="U22">
        <v>2.8004272025857299E-2</v>
      </c>
      <c r="V22">
        <v>1.73636161825995E-2</v>
      </c>
      <c r="W22">
        <v>2.2349336482049901E-2</v>
      </c>
      <c r="X22">
        <v>2.4174914814948999E-2</v>
      </c>
      <c r="Y22">
        <v>1.26988148981348E-2</v>
      </c>
      <c r="Z22">
        <v>1.5322908375113501E-2</v>
      </c>
      <c r="AA22">
        <v>2.2677069869237301E-2</v>
      </c>
      <c r="AB22">
        <v>-1.6937047449512001E-2</v>
      </c>
      <c r="AC22">
        <v>-2.75044267611056E-3</v>
      </c>
      <c r="AD22">
        <v>4.4321161283302199E-2</v>
      </c>
      <c r="AE22">
        <v>3.9541032566693203E-2</v>
      </c>
      <c r="AF22">
        <v>3.6501568123261503E-2</v>
      </c>
      <c r="AG22">
        <v>3.3244016015866601E-2</v>
      </c>
      <c r="AH22">
        <v>2.1971008305501201E-2</v>
      </c>
      <c r="AI22">
        <v>1.2522160908552999E-2</v>
      </c>
      <c r="AJ22">
        <v>-3.0420146452566801E-3</v>
      </c>
      <c r="AK22">
        <v>-3.8972948712537502E-2</v>
      </c>
    </row>
    <row r="23" spans="1:37">
      <c r="A23" s="1">
        <v>43045</v>
      </c>
      <c r="B23" t="s">
        <v>16</v>
      </c>
      <c r="C23" t="s">
        <v>48</v>
      </c>
      <c r="D23">
        <v>117.1905</v>
      </c>
      <c r="E23" t="s">
        <v>241</v>
      </c>
      <c r="F23" t="s">
        <v>80</v>
      </c>
      <c r="G23">
        <v>22.57</v>
      </c>
      <c r="H23">
        <v>20.46</v>
      </c>
      <c r="I23">
        <v>5.4429223744292203</v>
      </c>
      <c r="J23">
        <v>0.54857610710805904</v>
      </c>
      <c r="K23">
        <v>0.209151400765763</v>
      </c>
      <c r="L23">
        <v>87.592799999999997</v>
      </c>
      <c r="M23">
        <v>57.857938567582998</v>
      </c>
      <c r="N23">
        <v>145.45073856758299</v>
      </c>
      <c r="O23">
        <v>57.947842381448602</v>
      </c>
      <c r="P23">
        <v>0.78242174608008597</v>
      </c>
      <c r="Q23">
        <v>3.8241532066475399</v>
      </c>
      <c r="R23">
        <v>-0.86802457789956899</v>
      </c>
      <c r="S23">
        <v>-50.222112703265502</v>
      </c>
      <c r="T23">
        <v>-5.4378324664429503</v>
      </c>
      <c r="U23">
        <v>-0.19429422528818599</v>
      </c>
      <c r="V23">
        <v>-0.165546038441993</v>
      </c>
      <c r="W23">
        <v>4.0745647908608101E-2</v>
      </c>
      <c r="X23">
        <v>-0.19111987556940599</v>
      </c>
      <c r="Y23">
        <v>-0.194953289446369</v>
      </c>
      <c r="Z23">
        <v>-0.217584645373011</v>
      </c>
      <c r="AA23">
        <v>-0.199796259520125</v>
      </c>
      <c r="AB23">
        <v>-0.14596644945496201</v>
      </c>
      <c r="AC23">
        <v>-0.11430717727165</v>
      </c>
      <c r="AD23">
        <v>-0.13441461188762099</v>
      </c>
      <c r="AE23">
        <v>-0.133373078405014</v>
      </c>
      <c r="AF23">
        <v>0</v>
      </c>
      <c r="AG23">
        <v>0</v>
      </c>
      <c r="AH23">
        <v>0</v>
      </c>
      <c r="AI23">
        <v>0</v>
      </c>
      <c r="AJ23">
        <v>0</v>
      </c>
      <c r="AK23">
        <v>0</v>
      </c>
    </row>
    <row r="24" spans="1:37">
      <c r="A24" s="1">
        <v>43045</v>
      </c>
      <c r="B24" t="s">
        <v>23</v>
      </c>
      <c r="C24" t="s">
        <v>55</v>
      </c>
      <c r="D24">
        <v>110.1561</v>
      </c>
      <c r="E24" t="s">
        <v>242</v>
      </c>
      <c r="F24" t="s">
        <v>87</v>
      </c>
      <c r="G24">
        <v>11.99</v>
      </c>
      <c r="H24">
        <v>12.9</v>
      </c>
      <c r="I24">
        <v>5.5853881278538804</v>
      </c>
      <c r="J24">
        <v>0.291742093294378</v>
      </c>
      <c r="K24">
        <v>0.27508441503956599</v>
      </c>
      <c r="L24">
        <v>86.212100000000007</v>
      </c>
      <c r="M24">
        <v>25.430220463955202</v>
      </c>
      <c r="N24">
        <v>111.642320463955</v>
      </c>
      <c r="O24">
        <v>25.5273777610767</v>
      </c>
      <c r="P24">
        <v>0.64063454464503899</v>
      </c>
      <c r="Q24">
        <v>4.9661592608142504</v>
      </c>
      <c r="R24">
        <v>-0.34270804882258898</v>
      </c>
      <c r="S24">
        <v>-8.7151412363303695</v>
      </c>
      <c r="T24">
        <v>-4.2868999345977699</v>
      </c>
      <c r="U24">
        <v>-1.33123394227109E-2</v>
      </c>
      <c r="V24">
        <v>-2.82931745558898E-2</v>
      </c>
      <c r="W24">
        <v>5.6045691371315903E-2</v>
      </c>
      <c r="X24">
        <v>-6.9271450050515703E-3</v>
      </c>
      <c r="Y24">
        <v>-1.06121487477303E-2</v>
      </c>
      <c r="Z24">
        <v>-3.4419323471994198E-3</v>
      </c>
      <c r="AA24">
        <v>9.8340597878217896E-3</v>
      </c>
      <c r="AB24">
        <v>-2.5117977223137699E-2</v>
      </c>
      <c r="AC24">
        <v>-0.13720630262752001</v>
      </c>
      <c r="AD24">
        <v>0</v>
      </c>
      <c r="AE24">
        <v>0</v>
      </c>
      <c r="AF24">
        <v>0</v>
      </c>
      <c r="AG24">
        <v>0</v>
      </c>
      <c r="AH24">
        <v>0</v>
      </c>
      <c r="AI24">
        <v>0</v>
      </c>
      <c r="AJ24">
        <v>0</v>
      </c>
      <c r="AK24">
        <v>0</v>
      </c>
    </row>
    <row r="25" spans="1:37">
      <c r="A25" s="1">
        <v>43045</v>
      </c>
      <c r="B25" t="s">
        <v>200</v>
      </c>
      <c r="C25" t="s">
        <v>202</v>
      </c>
      <c r="D25">
        <v>116.24469999999999</v>
      </c>
      <c r="E25" t="s">
        <v>243</v>
      </c>
      <c r="F25" t="s">
        <v>203</v>
      </c>
      <c r="G25">
        <v>37.67</v>
      </c>
      <c r="H25">
        <v>38.479999999999997</v>
      </c>
      <c r="I25">
        <v>5.8840182648401802</v>
      </c>
      <c r="J25">
        <v>0.33054873436913901</v>
      </c>
      <c r="K25">
        <v>0.33044503119410001</v>
      </c>
      <c r="L25">
        <v>83.5017</v>
      </c>
      <c r="M25">
        <v>32.776266933568202</v>
      </c>
      <c r="N25">
        <v>116.277966933568</v>
      </c>
      <c r="O25">
        <v>32.722938397309001</v>
      </c>
      <c r="P25">
        <v>0.68596631389565399</v>
      </c>
      <c r="Q25">
        <v>1.78265674089307</v>
      </c>
      <c r="R25">
        <v>-1.1089873281271101</v>
      </c>
      <c r="S25">
        <v>-36.3484646926387</v>
      </c>
      <c r="T25">
        <v>-5.5647345956852403</v>
      </c>
      <c r="U25">
        <v>-2.8609834214932101E-4</v>
      </c>
      <c r="V25">
        <v>-9.2536046721779605E-2</v>
      </c>
      <c r="W25">
        <v>7.8308913978966596E-2</v>
      </c>
      <c r="X25">
        <v>-1.3428881411971599E-2</v>
      </c>
      <c r="Y25">
        <v>-9.2519462668131505E-2</v>
      </c>
      <c r="Z25">
        <v>-0.15587816475202901</v>
      </c>
      <c r="AA25">
        <v>0</v>
      </c>
      <c r="AB25">
        <v>0</v>
      </c>
      <c r="AC25">
        <v>0</v>
      </c>
      <c r="AD25">
        <v>0</v>
      </c>
      <c r="AE25">
        <v>0</v>
      </c>
      <c r="AF25">
        <v>0</v>
      </c>
      <c r="AG25">
        <v>0</v>
      </c>
      <c r="AH25">
        <v>0</v>
      </c>
      <c r="AI25">
        <v>0</v>
      </c>
      <c r="AJ25">
        <v>0</v>
      </c>
      <c r="AK25">
        <v>0</v>
      </c>
    </row>
    <row r="26" spans="1:37">
      <c r="A26" s="1">
        <v>43045</v>
      </c>
      <c r="B26" t="s">
        <v>269</v>
      </c>
      <c r="C26" t="s">
        <v>270</v>
      </c>
      <c r="D26">
        <v>99.995099999999994</v>
      </c>
      <c r="E26" t="s">
        <v>271</v>
      </c>
      <c r="F26" t="s">
        <v>272</v>
      </c>
      <c r="G26">
        <v>23.66</v>
      </c>
      <c r="H26">
        <v>23.92</v>
      </c>
      <c r="I26">
        <v>5.9853881278538799</v>
      </c>
      <c r="J26">
        <v>0.27925807424274302</v>
      </c>
      <c r="K26">
        <v>0.13842748428527701</v>
      </c>
      <c r="L26">
        <v>83.105999999999995</v>
      </c>
      <c r="M26">
        <v>29.354516741929999</v>
      </c>
      <c r="N26">
        <v>112.46051674192999</v>
      </c>
      <c r="O26">
        <v>29.278542087927999</v>
      </c>
      <c r="P26">
        <v>0.67617074168431601</v>
      </c>
      <c r="Q26">
        <v>2.8268007595498199</v>
      </c>
      <c r="R26">
        <v>-0.61993743057636896</v>
      </c>
      <c r="S26">
        <v>-18.197963684803099</v>
      </c>
      <c r="T26">
        <v>-2.8217217729630799</v>
      </c>
      <c r="U26">
        <v>-0.110842605947963</v>
      </c>
      <c r="V26">
        <v>-0.103159937101595</v>
      </c>
      <c r="W26">
        <v>9.4155448723361491E-3</v>
      </c>
      <c r="X26">
        <v>-0.103159937101595</v>
      </c>
      <c r="Y26">
        <v>0</v>
      </c>
      <c r="Z26">
        <v>0</v>
      </c>
      <c r="AA26">
        <v>0</v>
      </c>
      <c r="AB26">
        <v>0</v>
      </c>
      <c r="AC26">
        <v>0</v>
      </c>
      <c r="AD26">
        <v>0</v>
      </c>
      <c r="AE26">
        <v>0</v>
      </c>
      <c r="AF26">
        <v>0</v>
      </c>
      <c r="AG26">
        <v>0</v>
      </c>
      <c r="AH26">
        <v>0</v>
      </c>
      <c r="AI26">
        <v>0</v>
      </c>
      <c r="AJ26">
        <v>0</v>
      </c>
      <c r="AK26">
        <v>0</v>
      </c>
    </row>
    <row r="27" spans="1:37">
      <c r="A27" s="1">
        <v>43045</v>
      </c>
      <c r="B27" t="s">
        <v>359</v>
      </c>
      <c r="C27" t="s">
        <v>297</v>
      </c>
      <c r="D27">
        <v>99.999200000000002</v>
      </c>
      <c r="E27" t="s">
        <v>360</v>
      </c>
      <c r="F27" t="s">
        <v>361</v>
      </c>
      <c r="G27">
        <v>11.72</v>
      </c>
      <c r="H27">
        <v>11.9</v>
      </c>
      <c r="I27">
        <v>5.9990867579908702</v>
      </c>
      <c r="J27">
        <v>0.28143158188952999</v>
      </c>
      <c r="K27">
        <v>0.17084214759184799</v>
      </c>
      <c r="L27">
        <v>80.462299999999999</v>
      </c>
      <c r="M27">
        <v>29.291424710572301</v>
      </c>
      <c r="N27">
        <v>109.753724710572</v>
      </c>
      <c r="O27">
        <v>29.233178506826199</v>
      </c>
      <c r="P27">
        <v>0.67475785688752798</v>
      </c>
      <c r="Q27">
        <v>5.6702340914918299</v>
      </c>
      <c r="R27">
        <v>-0.30875239030127799</v>
      </c>
      <c r="S27">
        <v>-9.0437973947190997</v>
      </c>
      <c r="T27">
        <v>-3.2566456842746199</v>
      </c>
      <c r="U27">
        <v>-8.8876479921711896E-2</v>
      </c>
      <c r="V27">
        <v>-8.8955141197092705E-2</v>
      </c>
      <c r="W27" t="s">
        <v>266</v>
      </c>
      <c r="X27">
        <v>-8.8955141197092705E-2</v>
      </c>
      <c r="Y27">
        <v>0</v>
      </c>
      <c r="Z27">
        <v>0</v>
      </c>
      <c r="AA27">
        <v>0</v>
      </c>
      <c r="AB27">
        <v>0</v>
      </c>
      <c r="AC27">
        <v>0</v>
      </c>
      <c r="AD27">
        <v>0</v>
      </c>
      <c r="AE27">
        <v>0</v>
      </c>
      <c r="AF27">
        <v>0</v>
      </c>
      <c r="AG27">
        <v>0</v>
      </c>
      <c r="AH27">
        <v>0</v>
      </c>
      <c r="AI27">
        <v>0</v>
      </c>
      <c r="AJ27">
        <v>0</v>
      </c>
      <c r="AK27">
        <v>0</v>
      </c>
    </row>
    <row r="28" spans="1:37">
      <c r="A28" s="1">
        <v>43045</v>
      </c>
      <c r="B28" t="s">
        <v>15</v>
      </c>
      <c r="C28" t="s">
        <v>47</v>
      </c>
      <c r="D28">
        <v>143.84</v>
      </c>
      <c r="E28" t="s">
        <v>244</v>
      </c>
      <c r="F28" t="s">
        <v>79</v>
      </c>
      <c r="G28">
        <v>61.55</v>
      </c>
      <c r="H28">
        <v>42.31</v>
      </c>
      <c r="I28">
        <v>8.9497716894977195E-2</v>
      </c>
      <c r="J28">
        <v>0.36144612112548802</v>
      </c>
      <c r="K28">
        <v>0.37965862274169898</v>
      </c>
      <c r="L28">
        <v>102.6116</v>
      </c>
      <c r="M28">
        <v>45.608867658673802</v>
      </c>
      <c r="N28">
        <v>148.22046765867401</v>
      </c>
      <c r="O28">
        <v>45.608651266182797</v>
      </c>
      <c r="P28">
        <v>0.99979448298057805</v>
      </c>
      <c r="Q28">
        <v>2.3630217040429602</v>
      </c>
      <c r="R28">
        <v>-0.66250731568655596</v>
      </c>
      <c r="S28">
        <v>-30.2162084840514</v>
      </c>
      <c r="T28">
        <v>-460.66426530612301</v>
      </c>
      <c r="U28">
        <v>-2.95537298449314E-2</v>
      </c>
      <c r="V28">
        <v>9.8227441854095102E-4</v>
      </c>
      <c r="W28">
        <v>2.5207691829912601E-2</v>
      </c>
      <c r="X28">
        <v>-3.0339970782113999E-2</v>
      </c>
      <c r="Y28">
        <v>-1.59790234807815E-2</v>
      </c>
      <c r="Z28">
        <v>1.1938138124458699E-2</v>
      </c>
      <c r="AA28">
        <v>-1.5528474914125E-2</v>
      </c>
      <c r="AB28">
        <v>-1.3010306988189901E-2</v>
      </c>
      <c r="AC28">
        <v>-3.3624817043909801E-3</v>
      </c>
      <c r="AD28">
        <v>-3.2207433322634198E-2</v>
      </c>
      <c r="AE28">
        <v>-9.2673175167441706E-3</v>
      </c>
      <c r="AF28">
        <v>-4.4182733299886399E-4</v>
      </c>
      <c r="AG28">
        <v>-1.7618416149181801E-3</v>
      </c>
      <c r="AH28">
        <v>1.2071138453502101E-2</v>
      </c>
      <c r="AI28">
        <v>2.1498089961827099E-2</v>
      </c>
      <c r="AJ28">
        <v>5.4449657176637099E-2</v>
      </c>
      <c r="AK28">
        <v>5.6921583869144803E-2</v>
      </c>
    </row>
    <row r="29" spans="1:37">
      <c r="A29" s="1">
        <v>43045</v>
      </c>
      <c r="B29" t="s">
        <v>40</v>
      </c>
      <c r="C29" t="s">
        <v>72</v>
      </c>
      <c r="D29">
        <v>103.4</v>
      </c>
      <c r="E29" t="s">
        <v>245</v>
      </c>
      <c r="F29" t="s">
        <v>104</v>
      </c>
      <c r="G29">
        <v>38.4</v>
      </c>
      <c r="H29">
        <v>56.02</v>
      </c>
      <c r="I29">
        <v>2.5853881278538799</v>
      </c>
      <c r="J29">
        <v>0.163916560689021</v>
      </c>
      <c r="K29">
        <v>0.468696833133533</v>
      </c>
      <c r="L29">
        <v>91.166600000000003</v>
      </c>
      <c r="M29">
        <v>0.99836101500416796</v>
      </c>
      <c r="N29">
        <v>92.164961015004195</v>
      </c>
      <c r="O29">
        <v>0.97207264832009299</v>
      </c>
      <c r="P29">
        <v>0.124261774764674</v>
      </c>
      <c r="Q29">
        <v>0.22181680607760501</v>
      </c>
      <c r="R29">
        <v>-0.46444140470010398</v>
      </c>
      <c r="S29">
        <v>-0.46368019220635798</v>
      </c>
      <c r="T29">
        <v>-4.7317460261391702</v>
      </c>
      <c r="U29">
        <v>0.12190141308872</v>
      </c>
      <c r="V29">
        <v>0.11327961179203599</v>
      </c>
      <c r="W29">
        <v>1.56620254944216E-2</v>
      </c>
      <c r="X29">
        <v>0.123328104382215</v>
      </c>
      <c r="Y29">
        <v>0.12421498342779801</v>
      </c>
      <c r="Z29">
        <v>0.13046997884542699</v>
      </c>
      <c r="AA29">
        <v>0.12812100896392001</v>
      </c>
      <c r="AB29">
        <v>0.122118227893319</v>
      </c>
      <c r="AC29">
        <v>0.130547009035937</v>
      </c>
      <c r="AD29">
        <v>0.11112750394532001</v>
      </c>
      <c r="AE29">
        <v>9.9573875302417E-2</v>
      </c>
      <c r="AF29">
        <v>0.105711649889926</v>
      </c>
      <c r="AG29">
        <v>0.11486062219439</v>
      </c>
      <c r="AH29">
        <v>9.51139944331853E-2</v>
      </c>
      <c r="AI29">
        <v>8.6094205804999199E-2</v>
      </c>
      <c r="AJ29">
        <v>0.108068553125045</v>
      </c>
      <c r="AK29">
        <v>9.4394488157720294E-2</v>
      </c>
    </row>
    <row r="30" spans="1:37">
      <c r="A30" s="1">
        <v>43045</v>
      </c>
      <c r="B30" t="s">
        <v>34</v>
      </c>
      <c r="C30" t="s">
        <v>66</v>
      </c>
      <c r="D30">
        <v>100.35</v>
      </c>
      <c r="E30" t="s">
        <v>246</v>
      </c>
      <c r="F30" t="s">
        <v>98</v>
      </c>
      <c r="G30">
        <v>10.78</v>
      </c>
      <c r="H30">
        <v>16.75</v>
      </c>
      <c r="I30">
        <v>0.966210045662101</v>
      </c>
      <c r="J30">
        <v>0.24150753853456</v>
      </c>
      <c r="K30">
        <v>0.488433398507571</v>
      </c>
      <c r="L30">
        <v>96.540700000000001</v>
      </c>
      <c r="M30">
        <v>0.271589217082567</v>
      </c>
      <c r="N30">
        <v>96.812289217082593</v>
      </c>
      <c r="O30">
        <v>0.269828830832406</v>
      </c>
      <c r="P30">
        <v>4.6800790268062498E-2</v>
      </c>
      <c r="Q30">
        <v>0.27940770309291002</v>
      </c>
      <c r="R30">
        <v>-0.13643140770256601</v>
      </c>
      <c r="S30">
        <v>-3.70532992034125E-2</v>
      </c>
      <c r="T30">
        <v>-3.9425174858223002</v>
      </c>
      <c r="U30">
        <v>3.6541959822732999E-2</v>
      </c>
      <c r="V30">
        <v>8.3896031598203594E-2</v>
      </c>
      <c r="W30">
        <v>3.8355732600524203E-2</v>
      </c>
      <c r="X30">
        <v>4.1484788106452598E-2</v>
      </c>
      <c r="Y30">
        <v>4.3196635085545797E-2</v>
      </c>
      <c r="Z30">
        <v>5.1715321325152698E-2</v>
      </c>
      <c r="AA30">
        <v>6.8660992077718003E-2</v>
      </c>
      <c r="AB30">
        <v>6.9288140187940106E-2</v>
      </c>
      <c r="AC30">
        <v>5.6436041741869399E-2</v>
      </c>
      <c r="AD30">
        <v>4.6086811731167798E-2</v>
      </c>
      <c r="AE30">
        <v>5.8542458138049598E-2</v>
      </c>
      <c r="AF30">
        <v>9.8242798384631097E-2</v>
      </c>
      <c r="AG30">
        <v>0.119239356984027</v>
      </c>
      <c r="AH30">
        <v>0.116776879868402</v>
      </c>
      <c r="AI30">
        <v>0.11467047972407</v>
      </c>
      <c r="AJ30">
        <v>0.16154376941286</v>
      </c>
      <c r="AK30">
        <v>0.15176693447630099</v>
      </c>
    </row>
    <row r="31" spans="1:37">
      <c r="A31" s="1">
        <v>43045</v>
      </c>
      <c r="B31" t="s">
        <v>38</v>
      </c>
      <c r="C31" t="s">
        <v>70</v>
      </c>
      <c r="D31">
        <v>92.41</v>
      </c>
      <c r="E31" t="s">
        <v>247</v>
      </c>
      <c r="F31" t="s">
        <v>102</v>
      </c>
      <c r="G31">
        <v>3.85</v>
      </c>
      <c r="H31">
        <v>6.76</v>
      </c>
      <c r="I31">
        <v>3.9963470319634702</v>
      </c>
      <c r="J31">
        <v>0.14720802661638599</v>
      </c>
      <c r="K31">
        <v>0.27829001662170599</v>
      </c>
      <c r="L31">
        <v>88.475200000000001</v>
      </c>
      <c r="M31">
        <v>0.38221828199431002</v>
      </c>
      <c r="N31">
        <v>88.857418281994299</v>
      </c>
      <c r="O31">
        <v>0.37266052791925097</v>
      </c>
      <c r="P31">
        <v>5.9129637262565003E-2</v>
      </c>
      <c r="Q31">
        <v>0.87469877607344704</v>
      </c>
      <c r="R31">
        <v>-1.9720867186246799E-2</v>
      </c>
      <c r="S31">
        <v>-7.5376759753652198E-3</v>
      </c>
      <c r="T31">
        <v>-0.98459917733089497</v>
      </c>
      <c r="U31">
        <v>3.9980699267351497E-2</v>
      </c>
      <c r="V31">
        <v>4.5228717016169803E-2</v>
      </c>
      <c r="W31">
        <v>1.28371100362882E-2</v>
      </c>
      <c r="X31">
        <v>3.07254035211172E-2</v>
      </c>
      <c r="Y31">
        <v>2.69174541772941E-2</v>
      </c>
      <c r="Z31">
        <v>3.2256573254174699E-2</v>
      </c>
      <c r="AA31">
        <v>4.3783157895306103E-2</v>
      </c>
      <c r="AB31">
        <v>3.9196145713516803E-2</v>
      </c>
      <c r="AC31">
        <v>4.3303787750726797E-2</v>
      </c>
      <c r="AD31">
        <v>3.4563078764624798E-2</v>
      </c>
      <c r="AE31">
        <v>4.1533182418079101E-2</v>
      </c>
      <c r="AF31">
        <v>6.4577923123286696E-2</v>
      </c>
      <c r="AG31">
        <v>5.7429735260821901E-2</v>
      </c>
      <c r="AH31">
        <v>4.2849695492015102E-2</v>
      </c>
      <c r="AI31">
        <v>5.4999213215392397E-2</v>
      </c>
      <c r="AJ31">
        <v>5.8542098169517998E-2</v>
      </c>
      <c r="AK31">
        <v>3.9388163841835397E-2</v>
      </c>
    </row>
    <row r="32" spans="1:37">
      <c r="A32" s="1">
        <v>43045</v>
      </c>
      <c r="B32" t="s">
        <v>26</v>
      </c>
      <c r="C32" t="s">
        <v>58</v>
      </c>
      <c r="D32">
        <v>129</v>
      </c>
      <c r="E32" t="s">
        <v>248</v>
      </c>
      <c r="F32" t="s">
        <v>90</v>
      </c>
      <c r="G32">
        <v>42.32</v>
      </c>
      <c r="H32">
        <v>37.58</v>
      </c>
      <c r="I32">
        <v>3.08675799086758</v>
      </c>
      <c r="J32">
        <v>0.28624793309885299</v>
      </c>
      <c r="K32">
        <v>0.30419394870647798</v>
      </c>
      <c r="L32">
        <v>99.041899999999998</v>
      </c>
      <c r="M32">
        <v>30.3026716282865</v>
      </c>
      <c r="N32">
        <v>129.34457162828701</v>
      </c>
      <c r="O32">
        <v>30.3113643569557</v>
      </c>
      <c r="P32">
        <v>0.71894901855902404</v>
      </c>
      <c r="Q32">
        <v>1.9131160685444999</v>
      </c>
      <c r="R32">
        <v>-1.4481943700194799</v>
      </c>
      <c r="S32">
        <v>-43.884158448633499</v>
      </c>
      <c r="T32">
        <v>-9.7053607988165709</v>
      </c>
      <c r="U32">
        <v>-2.6639821366198899E-3</v>
      </c>
      <c r="V32">
        <v>4.25245019231595E-2</v>
      </c>
      <c r="W32">
        <v>2.5296817295482998E-2</v>
      </c>
      <c r="X32">
        <v>-3.45852134494726E-3</v>
      </c>
      <c r="Y32">
        <v>3.3820394819625201E-3</v>
      </c>
      <c r="Z32">
        <v>2.49948772962196E-2</v>
      </c>
      <c r="AA32">
        <v>3.0804706322847202E-2</v>
      </c>
      <c r="AB32">
        <v>2.8029185155632901E-2</v>
      </c>
      <c r="AC32">
        <v>1.9229481004478501E-2</v>
      </c>
      <c r="AD32">
        <v>3.2526677387606499E-2</v>
      </c>
      <c r="AE32">
        <v>3.3371796852961197E-2</v>
      </c>
      <c r="AF32">
        <v>5.9452262372065398E-2</v>
      </c>
      <c r="AG32">
        <v>7.4873329029071706E-2</v>
      </c>
      <c r="AH32">
        <v>7.2318972478539204E-2</v>
      </c>
      <c r="AI32">
        <v>7.0584351222238995E-2</v>
      </c>
      <c r="AJ32">
        <v>6.6884656107091406E-2</v>
      </c>
      <c r="AK32">
        <v>4.99952419181851E-2</v>
      </c>
    </row>
    <row r="33" spans="1:37">
      <c r="A33" s="1">
        <v>43045</v>
      </c>
      <c r="B33" t="s">
        <v>29</v>
      </c>
      <c r="C33" t="s">
        <v>61</v>
      </c>
      <c r="D33">
        <v>100.56</v>
      </c>
      <c r="E33" t="s">
        <v>249</v>
      </c>
      <c r="F33" t="s">
        <v>93</v>
      </c>
      <c r="G33">
        <v>12.02</v>
      </c>
      <c r="H33">
        <v>16.190000000000001</v>
      </c>
      <c r="I33">
        <v>3.6264840182648399</v>
      </c>
      <c r="J33">
        <v>0.25362240062598201</v>
      </c>
      <c r="K33">
        <v>0.181564546979923</v>
      </c>
      <c r="L33">
        <v>96.853800000000007</v>
      </c>
      <c r="M33">
        <v>7.8431578603198702</v>
      </c>
      <c r="N33">
        <v>104.69695786032</v>
      </c>
      <c r="O33">
        <v>7.8390766116327599</v>
      </c>
      <c r="P33">
        <v>0.39646290734533401</v>
      </c>
      <c r="Q33">
        <v>2.4488135104714899</v>
      </c>
      <c r="R33">
        <v>-0.36094210646803399</v>
      </c>
      <c r="S33">
        <v>-2.8309259194651699</v>
      </c>
      <c r="T33">
        <v>-1.0219816167212299</v>
      </c>
      <c r="U33">
        <v>-3.9513639602013498E-2</v>
      </c>
      <c r="V33">
        <v>-0.13513753493833899</v>
      </c>
      <c r="W33">
        <v>6.9322449151920304E-2</v>
      </c>
      <c r="X33">
        <v>-4.0713597575470703E-2</v>
      </c>
      <c r="Y33">
        <v>-4.9830794155104198E-2</v>
      </c>
      <c r="Z33">
        <v>-4.9994840945610103E-2</v>
      </c>
      <c r="AA33">
        <v>-6.2701703233783102E-2</v>
      </c>
      <c r="AB33">
        <v>-7.6302423776262202E-2</v>
      </c>
      <c r="AC33">
        <v>-0.101708072255299</v>
      </c>
      <c r="AD33">
        <v>-0.14608184968453999</v>
      </c>
      <c r="AE33">
        <v>-0.20298003429448599</v>
      </c>
      <c r="AF33">
        <v>-0.22690368093511401</v>
      </c>
      <c r="AG33">
        <v>-0.227838402805005</v>
      </c>
      <c r="AH33">
        <v>-0.21500302060370499</v>
      </c>
      <c r="AI33">
        <v>-0.18728556112585701</v>
      </c>
      <c r="AJ33">
        <v>-0.110970816467829</v>
      </c>
      <c r="AK33">
        <v>-0.115598319576139</v>
      </c>
    </row>
    <row r="34" spans="1:37">
      <c r="A34" s="1">
        <v>43045</v>
      </c>
      <c r="B34" t="s">
        <v>37</v>
      </c>
      <c r="C34" t="s">
        <v>69</v>
      </c>
      <c r="D34">
        <v>91.96</v>
      </c>
      <c r="E34" t="s">
        <v>250</v>
      </c>
      <c r="F34" t="s">
        <v>101</v>
      </c>
      <c r="G34">
        <v>8.9</v>
      </c>
      <c r="H34">
        <v>15.75</v>
      </c>
      <c r="I34">
        <v>3.9826484018264798</v>
      </c>
      <c r="J34">
        <v>0.12909432917531899</v>
      </c>
      <c r="K34">
        <v>0.21637483928284601</v>
      </c>
      <c r="L34">
        <v>90.183700000000002</v>
      </c>
      <c r="M34">
        <v>0.16563280632045299</v>
      </c>
      <c r="N34">
        <v>90.349332806320504</v>
      </c>
      <c r="O34">
        <v>0.15631239511092501</v>
      </c>
      <c r="P34">
        <v>3.1808307904136197E-2</v>
      </c>
      <c r="Q34">
        <v>0.201957510502452</v>
      </c>
      <c r="R34">
        <v>-2.4413874077653198E-2</v>
      </c>
      <c r="S34">
        <v>-4.04373847663586E-3</v>
      </c>
      <c r="T34">
        <v>-0.44600974547122002</v>
      </c>
      <c r="U34">
        <v>1.7827106671969298E-2</v>
      </c>
      <c r="V34">
        <v>5.0690822008087097E-2</v>
      </c>
      <c r="W34">
        <v>3.9290618028239702E-2</v>
      </c>
      <c r="X34">
        <v>1.83544583256036E-2</v>
      </c>
      <c r="Y34">
        <v>1.15815068678537E-2</v>
      </c>
      <c r="Z34">
        <v>2.3999192293232299E-2</v>
      </c>
      <c r="AA34">
        <v>3.0499185754204398E-2</v>
      </c>
      <c r="AB34">
        <v>2.5972295169380499E-2</v>
      </c>
      <c r="AC34">
        <v>2.8711547107806101E-2</v>
      </c>
      <c r="AD34">
        <v>3.9896908681630899E-2</v>
      </c>
      <c r="AE34">
        <v>6.2619632130664002E-2</v>
      </c>
      <c r="AF34">
        <v>9.3074676748654106E-2</v>
      </c>
      <c r="AG34">
        <v>0.1036366402697</v>
      </c>
      <c r="AH34">
        <v>9.3507226767023194E-2</v>
      </c>
      <c r="AI34">
        <v>0.111680444231347</v>
      </c>
      <c r="AJ34">
        <v>-1.6594308589318E-3</v>
      </c>
      <c r="AK34">
        <v>-1.4995511525212399E-2</v>
      </c>
    </row>
    <row r="35" spans="1:37">
      <c r="A35" s="1">
        <v>43045</v>
      </c>
      <c r="B35" t="s">
        <v>36</v>
      </c>
      <c r="C35" t="s">
        <v>68</v>
      </c>
      <c r="D35">
        <v>94.5</v>
      </c>
      <c r="E35" t="s">
        <v>251</v>
      </c>
      <c r="F35" t="s">
        <v>100</v>
      </c>
      <c r="G35">
        <v>5.93</v>
      </c>
      <c r="H35">
        <v>9.8000000000000007</v>
      </c>
      <c r="I35">
        <v>4.4621004566210001</v>
      </c>
      <c r="J35">
        <v>0.15989911395210199</v>
      </c>
      <c r="K35">
        <v>0.201313175680611</v>
      </c>
      <c r="L35">
        <v>92.918499999999995</v>
      </c>
      <c r="M35">
        <v>1.1722401844785699</v>
      </c>
      <c r="N35">
        <v>94.090740184478605</v>
      </c>
      <c r="O35">
        <v>1.1604089673289899</v>
      </c>
      <c r="P35">
        <v>0.13130261358527201</v>
      </c>
      <c r="Q35">
        <v>1.33982258760481</v>
      </c>
      <c r="R35">
        <v>-5.7763861407618397E-2</v>
      </c>
      <c r="S35">
        <v>-6.7713119552660794E-2</v>
      </c>
      <c r="T35">
        <v>-0.35442949242734501</v>
      </c>
      <c r="U35">
        <v>4.3496290359605902E-3</v>
      </c>
      <c r="V35">
        <v>-2.7085650389427301E-3</v>
      </c>
      <c r="W35">
        <v>1.2594381548464401E-2</v>
      </c>
      <c r="X35">
        <v>8.1897567515079605E-4</v>
      </c>
      <c r="Y35">
        <v>-9.11662054614237E-4</v>
      </c>
      <c r="Z35">
        <v>6.73197767928782E-5</v>
      </c>
      <c r="AA35">
        <v>1.1673216446681E-3</v>
      </c>
      <c r="AB35">
        <v>-4.8426526878669303E-3</v>
      </c>
      <c r="AC35">
        <v>-1.17290986757545E-2</v>
      </c>
      <c r="AD35">
        <v>-5.4670397011908501E-3</v>
      </c>
      <c r="AE35">
        <v>1.8559552048812E-2</v>
      </c>
      <c r="AF35">
        <v>0</v>
      </c>
      <c r="AG35">
        <v>0</v>
      </c>
      <c r="AH35">
        <v>0</v>
      </c>
      <c r="AI35">
        <v>0</v>
      </c>
      <c r="AJ35">
        <v>0</v>
      </c>
      <c r="AK35">
        <v>0</v>
      </c>
    </row>
    <row r="36" spans="1:37">
      <c r="A36" s="1">
        <v>43045</v>
      </c>
      <c r="B36" t="s">
        <v>19</v>
      </c>
      <c r="C36" t="s">
        <v>51</v>
      </c>
      <c r="D36">
        <v>102.49</v>
      </c>
      <c r="E36" t="s">
        <v>252</v>
      </c>
      <c r="F36" t="s">
        <v>83</v>
      </c>
      <c r="G36">
        <v>8.3800000000000008</v>
      </c>
      <c r="H36">
        <v>8.92</v>
      </c>
      <c r="I36">
        <v>4.6812785388127898</v>
      </c>
      <c r="J36">
        <v>0.120367937766344</v>
      </c>
      <c r="K36">
        <v>0.17922133236572901</v>
      </c>
      <c r="L36">
        <v>88.022499999999994</v>
      </c>
      <c r="M36">
        <v>10.063455112322099</v>
      </c>
      <c r="N36">
        <v>98.085955112322097</v>
      </c>
      <c r="O36">
        <v>10.058107071617201</v>
      </c>
      <c r="P36">
        <v>0.56358118332316798</v>
      </c>
      <c r="Q36">
        <v>6.3181747009323797</v>
      </c>
      <c r="R36">
        <v>-0.14918722600842499</v>
      </c>
      <c r="S36">
        <v>-1.5013389522676299</v>
      </c>
      <c r="T36">
        <v>-3.09050185329692</v>
      </c>
      <c r="U36">
        <v>4.4899852202434899E-2</v>
      </c>
      <c r="V36">
        <v>5.2422202660257197E-2</v>
      </c>
      <c r="W36">
        <v>1.48055404123994E-2</v>
      </c>
      <c r="X36">
        <v>4.2375873615796401E-2</v>
      </c>
      <c r="Y36">
        <v>4.7287586445369102E-2</v>
      </c>
      <c r="Z36">
        <v>6.2186785304291198E-2</v>
      </c>
      <c r="AA36">
        <v>6.1142506857198201E-2</v>
      </c>
      <c r="AB36">
        <v>3.1026091873840499E-2</v>
      </c>
      <c r="AC36">
        <v>0</v>
      </c>
      <c r="AD36">
        <v>0</v>
      </c>
      <c r="AE36">
        <v>0</v>
      </c>
      <c r="AF36">
        <v>0</v>
      </c>
      <c r="AG36">
        <v>0</v>
      </c>
      <c r="AH36">
        <v>0</v>
      </c>
      <c r="AI36">
        <v>0</v>
      </c>
      <c r="AJ36">
        <v>0</v>
      </c>
      <c r="AK36">
        <v>0</v>
      </c>
    </row>
    <row r="37" spans="1:37">
      <c r="A37" s="1">
        <v>43045</v>
      </c>
      <c r="B37" t="s">
        <v>11</v>
      </c>
      <c r="C37" t="s">
        <v>43</v>
      </c>
      <c r="D37">
        <v>111.88</v>
      </c>
      <c r="E37" t="s">
        <v>253</v>
      </c>
      <c r="F37" t="s">
        <v>75</v>
      </c>
      <c r="G37">
        <v>15.5</v>
      </c>
      <c r="H37">
        <v>17.12</v>
      </c>
      <c r="I37">
        <v>2.7388127853881299</v>
      </c>
      <c r="J37">
        <v>0.42673407271004798</v>
      </c>
      <c r="K37">
        <v>0.37114797032566199</v>
      </c>
      <c r="L37">
        <v>92.248500000000007</v>
      </c>
      <c r="M37">
        <v>23.103359510266301</v>
      </c>
      <c r="N37">
        <v>115.351859510266</v>
      </c>
      <c r="O37">
        <v>23.219574541778002</v>
      </c>
      <c r="P37">
        <v>0.60662014451347901</v>
      </c>
      <c r="Q37">
        <v>3.5433419656161198</v>
      </c>
      <c r="R37">
        <v>-0.85030336460118106</v>
      </c>
      <c r="S37">
        <v>-19.6448643251702</v>
      </c>
      <c r="T37">
        <v>-7.1678867955985304</v>
      </c>
      <c r="U37">
        <v>-3.00979934350981E-2</v>
      </c>
      <c r="V37">
        <v>-4.1970622310360597E-2</v>
      </c>
      <c r="W37">
        <v>4.0207613603871602E-2</v>
      </c>
      <c r="X37">
        <v>-3.5024554150307002E-2</v>
      </c>
      <c r="Y37">
        <v>-3.9916173948916701E-2</v>
      </c>
      <c r="Z37">
        <v>-1.3399861920329499E-2</v>
      </c>
      <c r="AA37">
        <v>-7.3527568166332699E-2</v>
      </c>
      <c r="AB37">
        <v>0</v>
      </c>
      <c r="AC37">
        <v>0</v>
      </c>
      <c r="AD37">
        <v>0</v>
      </c>
      <c r="AE37">
        <v>0</v>
      </c>
      <c r="AF37">
        <v>0</v>
      </c>
      <c r="AG37">
        <v>0</v>
      </c>
      <c r="AH37">
        <v>0</v>
      </c>
      <c r="AI37">
        <v>0</v>
      </c>
      <c r="AJ37">
        <v>0</v>
      </c>
      <c r="AK37">
        <v>0</v>
      </c>
    </row>
    <row r="38" spans="1:37">
      <c r="A38" s="1">
        <v>43045</v>
      </c>
      <c r="B38" t="s">
        <v>28</v>
      </c>
      <c r="C38" t="s">
        <v>60</v>
      </c>
      <c r="D38">
        <v>90.2</v>
      </c>
      <c r="E38" t="s">
        <v>254</v>
      </c>
      <c r="F38" t="s">
        <v>92</v>
      </c>
      <c r="G38">
        <v>15.83</v>
      </c>
      <c r="H38">
        <v>25</v>
      </c>
      <c r="I38">
        <v>4.7771689497716903</v>
      </c>
      <c r="J38">
        <v>0.29745119663146002</v>
      </c>
      <c r="K38">
        <v>0.22120341366606799</v>
      </c>
      <c r="L38">
        <v>86.015000000000001</v>
      </c>
      <c r="M38">
        <v>8.2824069949019297</v>
      </c>
      <c r="N38">
        <v>94.297406994901905</v>
      </c>
      <c r="O38">
        <v>8.3406398738288594</v>
      </c>
      <c r="P38">
        <v>0.39450302223901501</v>
      </c>
      <c r="Q38">
        <v>1.57801208895606</v>
      </c>
      <c r="R38">
        <v>-0.47722723569051301</v>
      </c>
      <c r="S38">
        <v>-3.9525901950408202</v>
      </c>
      <c r="T38">
        <v>-0.87604186580003895</v>
      </c>
      <c r="U38">
        <v>-4.3451958282622299E-2</v>
      </c>
      <c r="V38">
        <v>-4.8712848209831398E-2</v>
      </c>
      <c r="W38">
        <v>1.6750516100331701E-2</v>
      </c>
      <c r="X38">
        <v>-4.2034752007374603E-2</v>
      </c>
      <c r="Y38">
        <v>-5.5266978674596803E-2</v>
      </c>
      <c r="Z38">
        <v>-5.1036375474635902E-2</v>
      </c>
      <c r="AA38">
        <v>-3.65763113323695E-2</v>
      </c>
      <c r="AB38">
        <v>0</v>
      </c>
      <c r="AC38">
        <v>0</v>
      </c>
      <c r="AD38">
        <v>0</v>
      </c>
      <c r="AE38">
        <v>0</v>
      </c>
      <c r="AF38">
        <v>0</v>
      </c>
      <c r="AG38">
        <v>0</v>
      </c>
      <c r="AH38">
        <v>0</v>
      </c>
      <c r="AI38">
        <v>0</v>
      </c>
      <c r="AJ38">
        <v>0</v>
      </c>
      <c r="AK38">
        <v>0</v>
      </c>
    </row>
    <row r="39" spans="1:37">
      <c r="A39" s="1">
        <v>43045</v>
      </c>
      <c r="B39" t="s">
        <v>24</v>
      </c>
      <c r="C39" t="s">
        <v>56</v>
      </c>
      <c r="D39">
        <v>99.89</v>
      </c>
      <c r="E39" t="s">
        <v>255</v>
      </c>
      <c r="F39" t="s">
        <v>88</v>
      </c>
      <c r="G39">
        <v>11.25</v>
      </c>
      <c r="H39">
        <v>13.49</v>
      </c>
      <c r="I39">
        <v>2.8264840182648401</v>
      </c>
      <c r="J39">
        <v>0.365650815975951</v>
      </c>
      <c r="K39">
        <v>0.226755761397848</v>
      </c>
      <c r="L39">
        <v>91.856499999999997</v>
      </c>
      <c r="M39">
        <v>15.945202348912099</v>
      </c>
      <c r="N39">
        <v>107.801702348912</v>
      </c>
      <c r="O39">
        <v>15.869184682642899</v>
      </c>
      <c r="P39">
        <v>0.53226230897123605</v>
      </c>
      <c r="Q39">
        <v>3.9456064415955199</v>
      </c>
      <c r="R39">
        <v>-0.54402032207649398</v>
      </c>
      <c r="S39">
        <v>-8.6745141174300304</v>
      </c>
      <c r="T39">
        <v>-2.8422237479806101</v>
      </c>
      <c r="U39">
        <v>-7.3391256135315802E-2</v>
      </c>
      <c r="V39">
        <v>-9.2617263697219204E-2</v>
      </c>
      <c r="W39">
        <v>1.73195412642905E-2</v>
      </c>
      <c r="X39">
        <v>-6.8049245184848894E-2</v>
      </c>
      <c r="Y39">
        <v>-8.4159212225898894E-2</v>
      </c>
      <c r="Z39">
        <v>-0.104720211150315</v>
      </c>
      <c r="AA39">
        <v>0</v>
      </c>
      <c r="AB39">
        <v>0</v>
      </c>
      <c r="AC39">
        <v>0</v>
      </c>
      <c r="AD39">
        <v>0</v>
      </c>
      <c r="AE39">
        <v>0</v>
      </c>
      <c r="AF39">
        <v>0</v>
      </c>
      <c r="AG39">
        <v>0</v>
      </c>
      <c r="AH39">
        <v>0</v>
      </c>
      <c r="AI39">
        <v>0</v>
      </c>
      <c r="AJ39">
        <v>0</v>
      </c>
      <c r="AK39">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使用说明</vt:lpstr>
      <vt:lpstr>实时溢价率</vt:lpstr>
      <vt:lpstr>历史溢价率</vt:lpstr>
      <vt:lpstr>期权价值</vt:lpstr>
      <vt:lpstr>个券试算</vt:lpstr>
      <vt:lpstr>IPO</vt:lpstr>
      <vt:lpstr>Sheet1</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cp:lastPrinted>2017-11-07T04:30:06Z</cp:lastPrinted>
  <dcterms:created xsi:type="dcterms:W3CDTF">2017-10-17T03:32:25Z</dcterms:created>
  <dcterms:modified xsi:type="dcterms:W3CDTF">2017-11-07T04:30:15Z</dcterms:modified>
</cp:coreProperties>
</file>