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workbook>
</file>

<file path=xl/calcChain.xml><?xml version="1.0" encoding="utf-8"?>
<calcChain xmlns="http://schemas.openxmlformats.org/spreadsheetml/2006/main">
  <c r="M1" i="1" l="1"/>
  <c r="N1" i="1"/>
  <c r="O1" i="1"/>
  <c r="P1" i="1"/>
  <c r="Q1" i="1"/>
  <c r="R1" i="1"/>
  <c r="S1" i="1"/>
  <c r="T1" i="1"/>
  <c r="U1" i="1"/>
  <c r="L1" i="1"/>
  <c r="P3" i="1"/>
  <c r="Q3" i="1"/>
  <c r="R3" i="1"/>
  <c r="S3" i="1"/>
  <c r="T3" i="1"/>
  <c r="U3" i="1"/>
  <c r="P4" i="1"/>
  <c r="Q4" i="1"/>
  <c r="R4" i="1"/>
  <c r="S4" i="1"/>
  <c r="T4" i="1"/>
  <c r="U4" i="1"/>
  <c r="P5" i="1"/>
  <c r="Q5" i="1"/>
  <c r="R5" i="1"/>
  <c r="S5" i="1"/>
  <c r="T5" i="1"/>
  <c r="U5" i="1"/>
  <c r="P6" i="1"/>
  <c r="Q6" i="1"/>
  <c r="R6" i="1"/>
  <c r="S6" i="1"/>
  <c r="T6" i="1"/>
  <c r="U6" i="1"/>
  <c r="P7" i="1"/>
  <c r="Q7" i="1"/>
  <c r="R7" i="1"/>
  <c r="S7" i="1"/>
  <c r="T7" i="1"/>
  <c r="U7" i="1"/>
  <c r="P8" i="1"/>
  <c r="Q8" i="1"/>
  <c r="R8" i="1"/>
  <c r="S8" i="1"/>
  <c r="T8" i="1"/>
  <c r="U8" i="1"/>
  <c r="P9" i="1"/>
  <c r="Q9" i="1"/>
  <c r="R9" i="1"/>
  <c r="S9" i="1"/>
  <c r="T9" i="1"/>
  <c r="U9" i="1"/>
  <c r="P10" i="1"/>
  <c r="Q10" i="1"/>
  <c r="R10" i="1"/>
  <c r="S10" i="1"/>
  <c r="T10" i="1"/>
  <c r="U10" i="1"/>
  <c r="P11" i="1"/>
  <c r="Q11" i="1"/>
  <c r="R11" i="1"/>
  <c r="S11" i="1"/>
  <c r="T11" i="1"/>
  <c r="U11" i="1"/>
  <c r="P12" i="1"/>
  <c r="Q12" i="1"/>
  <c r="R12" i="1"/>
  <c r="S12" i="1"/>
  <c r="T12" i="1"/>
  <c r="U12" i="1"/>
  <c r="P13" i="1"/>
  <c r="Q13" i="1"/>
  <c r="R13" i="1"/>
  <c r="S13" i="1"/>
  <c r="T13" i="1"/>
  <c r="U13" i="1"/>
  <c r="P14" i="1"/>
  <c r="Q14" i="1"/>
  <c r="R14" i="1"/>
  <c r="S14" i="1"/>
  <c r="T14" i="1"/>
  <c r="U14" i="1"/>
  <c r="P15" i="1"/>
  <c r="Q15" i="1"/>
  <c r="R15" i="1"/>
  <c r="S15" i="1"/>
  <c r="T15" i="1"/>
  <c r="U15" i="1"/>
  <c r="P16" i="1"/>
  <c r="Q16" i="1"/>
  <c r="R16" i="1"/>
  <c r="S16" i="1"/>
  <c r="T16" i="1"/>
  <c r="U16" i="1"/>
  <c r="P17" i="1"/>
  <c r="Q17" i="1"/>
  <c r="R17" i="1"/>
  <c r="S17" i="1"/>
  <c r="T17" i="1"/>
  <c r="U17" i="1"/>
  <c r="P18" i="1"/>
  <c r="Q18" i="1"/>
  <c r="R18" i="1"/>
  <c r="S18" i="1"/>
  <c r="T18" i="1"/>
  <c r="U18" i="1"/>
  <c r="P19" i="1"/>
  <c r="Q19" i="1"/>
  <c r="R19" i="1"/>
  <c r="S19" i="1"/>
  <c r="T19" i="1"/>
  <c r="U19" i="1"/>
  <c r="P20" i="1"/>
  <c r="Q20" i="1"/>
  <c r="R20" i="1"/>
  <c r="S20" i="1"/>
  <c r="T20" i="1"/>
  <c r="U20" i="1"/>
  <c r="P21" i="1"/>
  <c r="Q21" i="1"/>
  <c r="R21" i="1"/>
  <c r="S21" i="1"/>
  <c r="T21" i="1"/>
  <c r="U21" i="1"/>
  <c r="P22" i="1"/>
  <c r="Q22" i="1"/>
  <c r="R22" i="1"/>
  <c r="S22" i="1"/>
  <c r="T22" i="1"/>
  <c r="U22" i="1"/>
  <c r="P23" i="1"/>
  <c r="Q23" i="1"/>
  <c r="R23" i="1"/>
  <c r="S23" i="1"/>
  <c r="T23" i="1"/>
  <c r="U23" i="1"/>
  <c r="P24" i="1"/>
  <c r="Q24" i="1"/>
  <c r="R24" i="1"/>
  <c r="S24" i="1"/>
  <c r="T24" i="1"/>
  <c r="U24" i="1"/>
  <c r="P25" i="1"/>
  <c r="Q25" i="1"/>
  <c r="R25" i="1"/>
  <c r="S25" i="1"/>
  <c r="T25" i="1"/>
  <c r="U25" i="1"/>
  <c r="P26" i="1"/>
  <c r="Q26" i="1"/>
  <c r="R26" i="1"/>
  <c r="S26" i="1"/>
  <c r="T26" i="1"/>
  <c r="U26" i="1"/>
  <c r="P27" i="1"/>
  <c r="Q27" i="1"/>
  <c r="R27" i="1"/>
  <c r="S27" i="1"/>
  <c r="T27" i="1"/>
  <c r="U27" i="1"/>
  <c r="P28" i="1"/>
  <c r="Q28" i="1"/>
  <c r="R28" i="1"/>
  <c r="S28" i="1"/>
  <c r="T28" i="1"/>
  <c r="U28" i="1"/>
  <c r="P29" i="1"/>
  <c r="Q29" i="1"/>
  <c r="R29" i="1"/>
  <c r="S29" i="1"/>
  <c r="T29" i="1"/>
  <c r="U29" i="1"/>
  <c r="P30" i="1"/>
  <c r="Q30" i="1"/>
  <c r="R30" i="1"/>
  <c r="S30" i="1"/>
  <c r="T30" i="1"/>
  <c r="U30" i="1"/>
  <c r="P31" i="1"/>
  <c r="Q31" i="1"/>
  <c r="R31" i="1"/>
  <c r="S31" i="1"/>
  <c r="T31" i="1"/>
  <c r="U31" i="1"/>
  <c r="P32" i="1"/>
  <c r="Q32" i="1"/>
  <c r="R32" i="1"/>
  <c r="S32" i="1"/>
  <c r="T32" i="1"/>
  <c r="U32" i="1"/>
  <c r="P33" i="1"/>
  <c r="Q33" i="1"/>
  <c r="R33" i="1"/>
  <c r="S33" i="1"/>
  <c r="T33" i="1"/>
  <c r="U33" i="1"/>
  <c r="Q2" i="1"/>
  <c r="R2" i="1"/>
  <c r="S2" i="1"/>
  <c r="T2" i="1"/>
  <c r="U2" i="1"/>
  <c r="F9" i="6"/>
  <c r="F11" i="6"/>
  <c r="F10" i="6"/>
  <c r="F12" i="6"/>
  <c r="C11" i="6"/>
  <c r="C8" i="6"/>
  <c r="C12" i="6"/>
  <c r="C7" i="6"/>
  <c r="C13" i="6"/>
  <c r="C15" i="6"/>
  <c r="C9" i="6"/>
  <c r="C14" i="6"/>
  <c r="C16" i="6" l="1"/>
  <c r="B4" i="5"/>
  <c r="C18" i="6"/>
  <c r="C21" i="6"/>
  <c r="C22" i="6"/>
  <c r="C23" i="6" l="1"/>
  <c r="C24" i="6" s="1"/>
  <c r="C19" i="6"/>
  <c r="C20" i="6" s="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2" i="3"/>
  <c r="I2" i="3"/>
  <c r="J2" i="3" s="1"/>
  <c r="N3" i="4"/>
  <c r="O3" i="4"/>
  <c r="N4" i="4"/>
  <c r="O4" i="4"/>
  <c r="N5" i="4"/>
  <c r="O5" i="4"/>
  <c r="N6" i="4"/>
  <c r="O6" i="4"/>
  <c r="N7" i="4"/>
  <c r="O7" i="4"/>
  <c r="N8" i="4"/>
  <c r="O8" i="4"/>
  <c r="N9" i="4"/>
  <c r="O9" i="4"/>
  <c r="N10" i="4"/>
  <c r="O10" i="4"/>
  <c r="N11" i="4"/>
  <c r="O11" i="4"/>
  <c r="N12" i="4"/>
  <c r="O12" i="4"/>
  <c r="N13" i="4"/>
  <c r="O13" i="4"/>
  <c r="N14" i="4"/>
  <c r="O14" i="4"/>
  <c r="N15" i="4"/>
  <c r="O15" i="4"/>
  <c r="N16" i="4"/>
  <c r="O16" i="4"/>
  <c r="N17" i="4"/>
  <c r="O17" i="4"/>
  <c r="N18" i="4"/>
  <c r="O18" i="4"/>
  <c r="N19" i="4"/>
  <c r="O19" i="4"/>
  <c r="N20" i="4"/>
  <c r="O20" i="4"/>
  <c r="N21" i="4"/>
  <c r="O21" i="4"/>
  <c r="N22" i="4"/>
  <c r="O22" i="4"/>
  <c r="N23" i="4"/>
  <c r="O23" i="4"/>
  <c r="N24" i="4"/>
  <c r="O24" i="4"/>
  <c r="N25" i="4"/>
  <c r="O25" i="4"/>
  <c r="N26" i="4"/>
  <c r="O26" i="4"/>
  <c r="N27" i="4"/>
  <c r="O27" i="4"/>
  <c r="N28" i="4"/>
  <c r="O28" i="4"/>
  <c r="N29" i="4"/>
  <c r="O29" i="4"/>
  <c r="N30" i="4"/>
  <c r="O30" i="4"/>
  <c r="N31" i="4"/>
  <c r="O31" i="4"/>
  <c r="N32" i="4"/>
  <c r="O32" i="4"/>
  <c r="N33" i="4"/>
  <c r="O33" i="4"/>
  <c r="O2" i="4"/>
  <c r="N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2" i="4"/>
  <c r="N3" i="3"/>
  <c r="O3" i="3"/>
  <c r="N4" i="3"/>
  <c r="O4" i="3"/>
  <c r="N5" i="3"/>
  <c r="O5" i="3"/>
  <c r="N6" i="3"/>
  <c r="O6" i="3"/>
  <c r="N7" i="3"/>
  <c r="O7" i="3"/>
  <c r="N8" i="3"/>
  <c r="O8" i="3"/>
  <c r="N9" i="3"/>
  <c r="O9" i="3"/>
  <c r="N10" i="3"/>
  <c r="O10" i="3"/>
  <c r="N11" i="3"/>
  <c r="O11" i="3"/>
  <c r="N12" i="3"/>
  <c r="O12" i="3"/>
  <c r="N13" i="3"/>
  <c r="O13" i="3"/>
  <c r="N14" i="3"/>
  <c r="O14" i="3"/>
  <c r="N15" i="3"/>
  <c r="O15" i="3"/>
  <c r="N16" i="3"/>
  <c r="O16" i="3"/>
  <c r="N17" i="3"/>
  <c r="O17" i="3"/>
  <c r="N18" i="3"/>
  <c r="O18" i="3"/>
  <c r="N19" i="3"/>
  <c r="O19" i="3"/>
  <c r="N20" i="3"/>
  <c r="O20" i="3"/>
  <c r="N21" i="3"/>
  <c r="O21" i="3"/>
  <c r="N22" i="3"/>
  <c r="O22" i="3"/>
  <c r="N23" i="3"/>
  <c r="O23" i="3"/>
  <c r="N24" i="3"/>
  <c r="O24" i="3"/>
  <c r="N25" i="3"/>
  <c r="O25" i="3"/>
  <c r="N26" i="3"/>
  <c r="O26" i="3"/>
  <c r="N27" i="3"/>
  <c r="O27" i="3"/>
  <c r="N28" i="3"/>
  <c r="O28" i="3"/>
  <c r="N29" i="3"/>
  <c r="O29" i="3"/>
  <c r="N30" i="3"/>
  <c r="O30" i="3"/>
  <c r="N31" i="3"/>
  <c r="O31" i="3"/>
  <c r="N32" i="3"/>
  <c r="O32" i="3"/>
  <c r="N33" i="3"/>
  <c r="O33" i="3"/>
  <c r="O2" i="3"/>
  <c r="N2" i="3"/>
  <c r="I3" i="4"/>
  <c r="J3" i="4" s="1"/>
  <c r="I4" i="4"/>
  <c r="J4" i="4" s="1"/>
  <c r="I5" i="4"/>
  <c r="J5" i="4" s="1"/>
  <c r="I6" i="4"/>
  <c r="J6" i="4" s="1"/>
  <c r="I7" i="4"/>
  <c r="J7" i="4" s="1"/>
  <c r="I8" i="4"/>
  <c r="J8" i="4" s="1"/>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25" i="4"/>
  <c r="J25" i="4" s="1"/>
  <c r="I26" i="4"/>
  <c r="J26" i="4" s="1"/>
  <c r="I27" i="4"/>
  <c r="J27" i="4" s="1"/>
  <c r="I28" i="4"/>
  <c r="J28" i="4" s="1"/>
  <c r="I29" i="4"/>
  <c r="J29" i="4" s="1"/>
  <c r="I30" i="4"/>
  <c r="J30" i="4" s="1"/>
  <c r="I31" i="4"/>
  <c r="J31" i="4" s="1"/>
  <c r="I32" i="4"/>
  <c r="J32" i="4" s="1"/>
  <c r="I33" i="4"/>
  <c r="J33" i="4" s="1"/>
  <c r="I2" i="4"/>
  <c r="J2" i="4"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2" i="4"/>
  <c r="F5" i="4"/>
  <c r="E5" i="4"/>
  <c r="F4" i="4"/>
  <c r="E4" i="4"/>
  <c r="F3" i="4"/>
  <c r="E3" i="4"/>
  <c r="F2" i="4"/>
  <c r="E2" i="4"/>
  <c r="F33" i="4"/>
  <c r="E33" i="4"/>
  <c r="B33" i="4"/>
  <c r="A33" i="4"/>
  <c r="F32" i="4"/>
  <c r="E32" i="4"/>
  <c r="B32" i="4"/>
  <c r="A32" i="4"/>
  <c r="F31" i="4"/>
  <c r="E31" i="4"/>
  <c r="B31" i="4"/>
  <c r="A31" i="4"/>
  <c r="F30" i="4"/>
  <c r="E30" i="4"/>
  <c r="B30" i="4"/>
  <c r="A30" i="4"/>
  <c r="F29" i="4"/>
  <c r="E29" i="4"/>
  <c r="B29" i="4"/>
  <c r="A29" i="4"/>
  <c r="F28" i="4"/>
  <c r="E28" i="4"/>
  <c r="B28" i="4"/>
  <c r="A28" i="4"/>
  <c r="F27" i="4"/>
  <c r="E27" i="4"/>
  <c r="B27" i="4"/>
  <c r="A27" i="4"/>
  <c r="F26" i="4"/>
  <c r="E26" i="4"/>
  <c r="B26" i="4"/>
  <c r="A26" i="4"/>
  <c r="F25" i="4"/>
  <c r="E25" i="4"/>
  <c r="B25" i="4"/>
  <c r="A25" i="4"/>
  <c r="F24" i="4"/>
  <c r="E24" i="4"/>
  <c r="B24" i="4"/>
  <c r="A24" i="4"/>
  <c r="F23" i="4"/>
  <c r="E23" i="4"/>
  <c r="B23" i="4"/>
  <c r="A23" i="4"/>
  <c r="F22" i="4"/>
  <c r="E22" i="4"/>
  <c r="B22" i="4"/>
  <c r="A22" i="4"/>
  <c r="F21" i="4"/>
  <c r="E21" i="4"/>
  <c r="B21" i="4"/>
  <c r="A21" i="4"/>
  <c r="F20" i="4"/>
  <c r="E20" i="4"/>
  <c r="B20" i="4"/>
  <c r="A20" i="4"/>
  <c r="F19" i="4"/>
  <c r="E19" i="4"/>
  <c r="B19" i="4"/>
  <c r="A19" i="4"/>
  <c r="F18" i="4"/>
  <c r="E18" i="4"/>
  <c r="B18" i="4"/>
  <c r="A18" i="4"/>
  <c r="F17" i="4"/>
  <c r="E17" i="4"/>
  <c r="B17" i="4"/>
  <c r="A17" i="4"/>
  <c r="F16" i="4"/>
  <c r="E16" i="4"/>
  <c r="B16" i="4"/>
  <c r="A16" i="4"/>
  <c r="F15" i="4"/>
  <c r="E15" i="4"/>
  <c r="B15" i="4"/>
  <c r="A15" i="4"/>
  <c r="F14" i="4"/>
  <c r="E14" i="4"/>
  <c r="B14" i="4"/>
  <c r="A14" i="4"/>
  <c r="F13" i="4"/>
  <c r="E13" i="4"/>
  <c r="B13" i="4"/>
  <c r="A13" i="4"/>
  <c r="F12" i="4"/>
  <c r="E12" i="4"/>
  <c r="B12" i="4"/>
  <c r="A12" i="4"/>
  <c r="F11" i="4"/>
  <c r="E11" i="4"/>
  <c r="B11" i="4"/>
  <c r="A11" i="4"/>
  <c r="F10" i="4"/>
  <c r="E10" i="4"/>
  <c r="B10" i="4"/>
  <c r="A10" i="4"/>
  <c r="F9" i="4"/>
  <c r="E9" i="4"/>
  <c r="B9" i="4"/>
  <c r="A9" i="4"/>
  <c r="F8" i="4"/>
  <c r="E8" i="4"/>
  <c r="B8" i="4"/>
  <c r="A8" i="4"/>
  <c r="F7" i="4"/>
  <c r="E7" i="4"/>
  <c r="B7" i="4"/>
  <c r="A7" i="4"/>
  <c r="F6" i="4"/>
  <c r="E6" i="4"/>
  <c r="B6" i="4"/>
  <c r="A6" i="4"/>
  <c r="B5" i="4"/>
  <c r="A5" i="4"/>
  <c r="B4" i="4"/>
  <c r="A4" i="4"/>
  <c r="B3" i="4"/>
  <c r="A3" i="4"/>
  <c r="B2" i="4"/>
  <c r="A2" i="4"/>
  <c r="H2" i="3"/>
  <c r="K2" i="3"/>
  <c r="L2" i="3"/>
  <c r="M2" i="3"/>
  <c r="H3" i="3"/>
  <c r="I3" i="3"/>
  <c r="J3" i="3" s="1"/>
  <c r="K3" i="3"/>
  <c r="L3" i="3"/>
  <c r="M3" i="3"/>
  <c r="H4" i="3"/>
  <c r="I4" i="3"/>
  <c r="J4" i="3" s="1"/>
  <c r="K4" i="3"/>
  <c r="L4" i="3"/>
  <c r="M4" i="3"/>
  <c r="H5" i="3"/>
  <c r="I5" i="3"/>
  <c r="J5" i="3" s="1"/>
  <c r="K5" i="3"/>
  <c r="L5" i="3"/>
  <c r="M5" i="3"/>
  <c r="H6" i="3"/>
  <c r="I6" i="3"/>
  <c r="J6" i="3" s="1"/>
  <c r="K6" i="3"/>
  <c r="L6" i="3"/>
  <c r="M6" i="3"/>
  <c r="H7" i="3"/>
  <c r="I7" i="3"/>
  <c r="J7" i="3" s="1"/>
  <c r="K7" i="3"/>
  <c r="L7" i="3"/>
  <c r="M7" i="3"/>
  <c r="H8" i="3"/>
  <c r="I8" i="3"/>
  <c r="J8" i="3" s="1"/>
  <c r="K8" i="3"/>
  <c r="L8" i="3"/>
  <c r="M8" i="3"/>
  <c r="H9" i="3"/>
  <c r="I9" i="3"/>
  <c r="J9" i="3" s="1"/>
  <c r="K9" i="3"/>
  <c r="L9" i="3"/>
  <c r="M9" i="3"/>
  <c r="H10" i="3"/>
  <c r="I10" i="3"/>
  <c r="J10" i="3" s="1"/>
  <c r="K10" i="3"/>
  <c r="L10" i="3"/>
  <c r="M10" i="3"/>
  <c r="H11" i="3"/>
  <c r="I11" i="3"/>
  <c r="J11" i="3" s="1"/>
  <c r="K11" i="3"/>
  <c r="L11" i="3"/>
  <c r="M11" i="3"/>
  <c r="H12" i="3"/>
  <c r="I12" i="3"/>
  <c r="J12" i="3" s="1"/>
  <c r="K12" i="3"/>
  <c r="L12" i="3"/>
  <c r="M12" i="3"/>
  <c r="H13" i="3"/>
  <c r="I13" i="3"/>
  <c r="J13" i="3" s="1"/>
  <c r="K13" i="3"/>
  <c r="L13" i="3"/>
  <c r="M13" i="3"/>
  <c r="H14" i="3"/>
  <c r="I14" i="3"/>
  <c r="J14" i="3" s="1"/>
  <c r="K14" i="3"/>
  <c r="L14" i="3"/>
  <c r="M14" i="3"/>
  <c r="H15" i="3"/>
  <c r="I15" i="3"/>
  <c r="J15" i="3" s="1"/>
  <c r="K15" i="3"/>
  <c r="L15" i="3"/>
  <c r="M15" i="3"/>
  <c r="H16" i="3"/>
  <c r="I16" i="3"/>
  <c r="J16" i="3" s="1"/>
  <c r="K16" i="3"/>
  <c r="L16" i="3"/>
  <c r="M16" i="3"/>
  <c r="H17" i="3"/>
  <c r="I17" i="3"/>
  <c r="J17" i="3" s="1"/>
  <c r="K17" i="3"/>
  <c r="L17" i="3"/>
  <c r="M17" i="3"/>
  <c r="H18" i="3"/>
  <c r="I18" i="3"/>
  <c r="J18" i="3" s="1"/>
  <c r="K18" i="3"/>
  <c r="L18" i="3"/>
  <c r="M18" i="3"/>
  <c r="H19" i="3"/>
  <c r="I19" i="3"/>
  <c r="J19" i="3" s="1"/>
  <c r="K19" i="3"/>
  <c r="L19" i="3"/>
  <c r="M19" i="3"/>
  <c r="H20" i="3"/>
  <c r="I20" i="3"/>
  <c r="J20" i="3" s="1"/>
  <c r="K20" i="3"/>
  <c r="L20" i="3"/>
  <c r="M20" i="3"/>
  <c r="H21" i="3"/>
  <c r="I21" i="3"/>
  <c r="J21" i="3" s="1"/>
  <c r="K21" i="3"/>
  <c r="L21" i="3"/>
  <c r="M21" i="3"/>
  <c r="H22" i="3"/>
  <c r="I22" i="3"/>
  <c r="J22" i="3" s="1"/>
  <c r="K22" i="3"/>
  <c r="L22" i="3"/>
  <c r="M22" i="3"/>
  <c r="H23" i="3"/>
  <c r="I23" i="3"/>
  <c r="J23" i="3" s="1"/>
  <c r="K23" i="3"/>
  <c r="L23" i="3"/>
  <c r="M23" i="3"/>
  <c r="H24" i="3"/>
  <c r="I24" i="3"/>
  <c r="J24" i="3" s="1"/>
  <c r="K24" i="3"/>
  <c r="L24" i="3"/>
  <c r="M24" i="3"/>
  <c r="H25" i="3"/>
  <c r="I25" i="3"/>
  <c r="J25" i="3" s="1"/>
  <c r="K25" i="3"/>
  <c r="L25" i="3"/>
  <c r="M25" i="3"/>
  <c r="H26" i="3"/>
  <c r="I26" i="3"/>
  <c r="J26" i="3" s="1"/>
  <c r="K26" i="3"/>
  <c r="L26" i="3"/>
  <c r="M26" i="3"/>
  <c r="H27" i="3"/>
  <c r="I27" i="3"/>
  <c r="J27" i="3" s="1"/>
  <c r="K27" i="3"/>
  <c r="L27" i="3"/>
  <c r="M27" i="3"/>
  <c r="H28" i="3"/>
  <c r="I28" i="3"/>
  <c r="J28" i="3" s="1"/>
  <c r="K28" i="3"/>
  <c r="L28" i="3"/>
  <c r="M28" i="3"/>
  <c r="H29" i="3"/>
  <c r="I29" i="3"/>
  <c r="J29" i="3" s="1"/>
  <c r="K29" i="3"/>
  <c r="L29" i="3"/>
  <c r="M29" i="3"/>
  <c r="H30" i="3"/>
  <c r="I30" i="3"/>
  <c r="J30" i="3" s="1"/>
  <c r="K30" i="3"/>
  <c r="L30" i="3"/>
  <c r="M30" i="3"/>
  <c r="H31" i="3"/>
  <c r="I31" i="3"/>
  <c r="J31" i="3" s="1"/>
  <c r="K31" i="3"/>
  <c r="L31" i="3"/>
  <c r="M31" i="3"/>
  <c r="H32" i="3"/>
  <c r="I32" i="3"/>
  <c r="J32" i="3" s="1"/>
  <c r="K32" i="3"/>
  <c r="L32" i="3"/>
  <c r="M32" i="3"/>
  <c r="H33" i="3"/>
  <c r="I33" i="3"/>
  <c r="J33" i="3" s="1"/>
  <c r="K33" i="3"/>
  <c r="L33" i="3"/>
  <c r="M33" i="3"/>
  <c r="I1" i="3"/>
  <c r="K1" i="3"/>
  <c r="L1" i="3"/>
  <c r="M1" i="3"/>
  <c r="H1"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2"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L3" i="1"/>
  <c r="M3" i="1"/>
  <c r="N3" i="1"/>
  <c r="O3" i="1"/>
  <c r="L4" i="1"/>
  <c r="M4" i="1"/>
  <c r="N4" i="1"/>
  <c r="O4" i="1"/>
  <c r="L5" i="1"/>
  <c r="M5" i="1"/>
  <c r="N5" i="1"/>
  <c r="O5" i="1"/>
  <c r="L6" i="1"/>
  <c r="M6" i="1"/>
  <c r="N6" i="1"/>
  <c r="O6" i="1"/>
  <c r="L7" i="1"/>
  <c r="M7" i="1"/>
  <c r="N7" i="1"/>
  <c r="O7" i="1"/>
  <c r="L8" i="1"/>
  <c r="M8" i="1"/>
  <c r="N8" i="1"/>
  <c r="O8" i="1"/>
  <c r="L9" i="1"/>
  <c r="M9" i="1"/>
  <c r="N9" i="1"/>
  <c r="O9" i="1"/>
  <c r="L10" i="1"/>
  <c r="M10" i="1"/>
  <c r="N10" i="1"/>
  <c r="O10" i="1"/>
  <c r="L11" i="1"/>
  <c r="M11" i="1"/>
  <c r="N11" i="1"/>
  <c r="O11" i="1"/>
  <c r="L12" i="1"/>
  <c r="M12" i="1"/>
  <c r="N12" i="1"/>
  <c r="O12" i="1"/>
  <c r="L13" i="1"/>
  <c r="M13" i="1"/>
  <c r="N13" i="1"/>
  <c r="O13" i="1"/>
  <c r="L14" i="1"/>
  <c r="M14" i="1"/>
  <c r="N14" i="1"/>
  <c r="O14" i="1"/>
  <c r="L15" i="1"/>
  <c r="M15" i="1"/>
  <c r="N15" i="1"/>
  <c r="O15" i="1"/>
  <c r="L16" i="1"/>
  <c r="M16" i="1"/>
  <c r="N16" i="1"/>
  <c r="O16" i="1"/>
  <c r="L17" i="1"/>
  <c r="M17" i="1"/>
  <c r="N17" i="1"/>
  <c r="O17" i="1"/>
  <c r="L18" i="1"/>
  <c r="M18" i="1"/>
  <c r="N18" i="1"/>
  <c r="O18" i="1"/>
  <c r="L19" i="1"/>
  <c r="M19" i="1"/>
  <c r="N19" i="1"/>
  <c r="O19" i="1"/>
  <c r="L20" i="1"/>
  <c r="M20" i="1"/>
  <c r="N20" i="1"/>
  <c r="O20" i="1"/>
  <c r="L21" i="1"/>
  <c r="M21" i="1"/>
  <c r="N21" i="1"/>
  <c r="O21" i="1"/>
  <c r="L22" i="1"/>
  <c r="M22" i="1"/>
  <c r="N22" i="1"/>
  <c r="O22" i="1"/>
  <c r="L23" i="1"/>
  <c r="M23" i="1"/>
  <c r="N23" i="1"/>
  <c r="O23" i="1"/>
  <c r="L24" i="1"/>
  <c r="M24" i="1"/>
  <c r="N24" i="1"/>
  <c r="O24" i="1"/>
  <c r="L25" i="1"/>
  <c r="M25" i="1"/>
  <c r="N25" i="1"/>
  <c r="O25" i="1"/>
  <c r="L26" i="1"/>
  <c r="M26" i="1"/>
  <c r="N26" i="1"/>
  <c r="O26" i="1"/>
  <c r="L27" i="1"/>
  <c r="M27" i="1"/>
  <c r="N27" i="1"/>
  <c r="O27" i="1"/>
  <c r="L28" i="1"/>
  <c r="M28" i="1"/>
  <c r="N28" i="1"/>
  <c r="O28" i="1"/>
  <c r="L29" i="1"/>
  <c r="M29" i="1"/>
  <c r="N29" i="1"/>
  <c r="O29" i="1"/>
  <c r="L30" i="1"/>
  <c r="M30" i="1"/>
  <c r="N30" i="1"/>
  <c r="O30" i="1"/>
  <c r="L31" i="1"/>
  <c r="M31" i="1"/>
  <c r="N31" i="1"/>
  <c r="O31" i="1"/>
  <c r="L32" i="1"/>
  <c r="M32" i="1"/>
  <c r="N32" i="1"/>
  <c r="O32" i="1"/>
  <c r="L33" i="1"/>
  <c r="M33" i="1"/>
  <c r="N33" i="1"/>
  <c r="O33" i="1"/>
  <c r="M2" i="1"/>
  <c r="N2" i="1"/>
  <c r="O2" i="1"/>
  <c r="P2" i="1"/>
  <c r="L2" i="1"/>
  <c r="I3" i="1"/>
  <c r="J3" i="1"/>
  <c r="I4" i="1"/>
  <c r="J4" i="1"/>
  <c r="I5" i="1"/>
  <c r="J5" i="1"/>
  <c r="I6" i="1"/>
  <c r="J6" i="1"/>
  <c r="I7" i="1"/>
  <c r="J7" i="1"/>
  <c r="I8" i="1"/>
  <c r="J8" i="1"/>
  <c r="I9" i="1"/>
  <c r="J9" i="1"/>
  <c r="I10" i="1"/>
  <c r="J10" i="1"/>
  <c r="I11" i="1"/>
  <c r="J11" i="1"/>
  <c r="I12" i="1"/>
  <c r="J12" i="1"/>
  <c r="I13" i="1"/>
  <c r="J13" i="1"/>
  <c r="I14" i="1"/>
  <c r="J14" i="1"/>
  <c r="I15" i="1"/>
  <c r="J15" i="1"/>
  <c r="I16" i="1"/>
  <c r="J16" i="1"/>
  <c r="I17" i="1"/>
  <c r="J17" i="1"/>
  <c r="I18" i="1"/>
  <c r="J18" i="1"/>
  <c r="I19" i="1"/>
  <c r="J19" i="1"/>
  <c r="I20" i="1"/>
  <c r="J20" i="1"/>
  <c r="I21" i="1"/>
  <c r="J21" i="1"/>
  <c r="I22" i="1"/>
  <c r="J22" i="1"/>
  <c r="I23" i="1"/>
  <c r="J23" i="1"/>
  <c r="I24" i="1"/>
  <c r="J24" i="1"/>
  <c r="I25" i="1"/>
  <c r="J25" i="1"/>
  <c r="I26" i="1"/>
  <c r="J26" i="1"/>
  <c r="I27" i="1"/>
  <c r="J27" i="1"/>
  <c r="I28" i="1"/>
  <c r="J28" i="1"/>
  <c r="I29" i="1"/>
  <c r="J29" i="1"/>
  <c r="I30" i="1"/>
  <c r="J30" i="1"/>
  <c r="I31" i="1"/>
  <c r="J31" i="1"/>
  <c r="I32" i="1"/>
  <c r="J32" i="1"/>
  <c r="I33" i="1"/>
  <c r="J33" i="1"/>
  <c r="J2" i="1"/>
  <c r="I2" i="1"/>
  <c r="C5" i="4"/>
  <c r="G18" i="4"/>
  <c r="G19" i="4"/>
  <c r="C29" i="4"/>
  <c r="G16" i="4"/>
  <c r="C18" i="4"/>
  <c r="G10" i="4"/>
  <c r="G21" i="4"/>
  <c r="G20" i="4"/>
  <c r="C14" i="4"/>
  <c r="C3" i="4"/>
  <c r="G3" i="4"/>
  <c r="C4" i="4"/>
  <c r="C23" i="4"/>
  <c r="C33" i="4"/>
  <c r="C17" i="4"/>
  <c r="C31" i="4"/>
  <c r="G29" i="4"/>
  <c r="C20" i="4"/>
  <c r="G26" i="4"/>
  <c r="G9" i="4"/>
  <c r="C8" i="4"/>
  <c r="C25" i="4"/>
  <c r="C24" i="4"/>
  <c r="G27" i="4"/>
  <c r="G8" i="4"/>
  <c r="C6" i="4"/>
  <c r="G22" i="4"/>
  <c r="G31" i="4"/>
  <c r="G4" i="4"/>
  <c r="G25" i="4"/>
  <c r="G13" i="4"/>
  <c r="G11" i="4"/>
  <c r="G17" i="4"/>
  <c r="C7" i="4"/>
  <c r="G2" i="4"/>
  <c r="C32" i="4"/>
  <c r="C16" i="4"/>
  <c r="C15" i="4"/>
  <c r="G28" i="4"/>
  <c r="G12" i="4"/>
  <c r="G6" i="4"/>
  <c r="C9" i="4"/>
  <c r="G32" i="4"/>
  <c r="G30" i="4"/>
  <c r="G23" i="4"/>
  <c r="C30" i="4"/>
  <c r="G15" i="4"/>
  <c r="C19" i="4"/>
  <c r="G33" i="4"/>
  <c r="G7" i="4"/>
  <c r="C21" i="4"/>
  <c r="C22" i="4"/>
  <c r="C13" i="4"/>
  <c r="C12" i="4"/>
  <c r="C26" i="4"/>
  <c r="C11" i="4"/>
  <c r="C27" i="4"/>
  <c r="C10" i="4"/>
  <c r="G14" i="4"/>
  <c r="G5" i="4"/>
  <c r="G24" i="4"/>
  <c r="C28" i="4"/>
  <c r="C2" i="4"/>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2" i="1"/>
  <c r="F3" i="1"/>
  <c r="H3" i="1" s="1"/>
  <c r="K3" i="1" s="1"/>
  <c r="F4" i="1"/>
  <c r="H4" i="1" s="1"/>
  <c r="K4" i="1" s="1"/>
  <c r="F5" i="1"/>
  <c r="F6" i="1"/>
  <c r="F7" i="1"/>
  <c r="H7" i="1" s="1"/>
  <c r="K7" i="1" s="1"/>
  <c r="F8" i="1"/>
  <c r="H8" i="1" s="1"/>
  <c r="K8" i="1" s="1"/>
  <c r="F9" i="1"/>
  <c r="H9" i="1" s="1"/>
  <c r="K9" i="1" s="1"/>
  <c r="F10" i="1"/>
  <c r="F11" i="1"/>
  <c r="F12" i="1"/>
  <c r="H12" i="1" s="1"/>
  <c r="K12" i="1" s="1"/>
  <c r="F13" i="1"/>
  <c r="F14" i="1"/>
  <c r="H14" i="1" s="1"/>
  <c r="K14" i="1" s="1"/>
  <c r="F15" i="1"/>
  <c r="H15" i="1" s="1"/>
  <c r="K15" i="1" s="1"/>
  <c r="F16" i="1"/>
  <c r="H16" i="1" s="1"/>
  <c r="K16" i="1" s="1"/>
  <c r="F17" i="1"/>
  <c r="H17" i="1" s="1"/>
  <c r="K17" i="1" s="1"/>
  <c r="F18" i="1"/>
  <c r="H18" i="1" s="1"/>
  <c r="K18" i="1" s="1"/>
  <c r="F19" i="1"/>
  <c r="H19" i="1" s="1"/>
  <c r="K19" i="1" s="1"/>
  <c r="F20" i="1"/>
  <c r="H20" i="1" s="1"/>
  <c r="K20" i="1" s="1"/>
  <c r="F21" i="1"/>
  <c r="H21" i="1" s="1"/>
  <c r="K21" i="1" s="1"/>
  <c r="F22" i="1"/>
  <c r="H22" i="1" s="1"/>
  <c r="K22" i="1" s="1"/>
  <c r="F23" i="1"/>
  <c r="H23" i="1" s="1"/>
  <c r="K23" i="1" s="1"/>
  <c r="F24" i="1"/>
  <c r="H24" i="1" s="1"/>
  <c r="K24" i="1" s="1"/>
  <c r="F25" i="1"/>
  <c r="H25" i="1" s="1"/>
  <c r="K25" i="1" s="1"/>
  <c r="F26" i="1"/>
  <c r="H26" i="1" s="1"/>
  <c r="K26" i="1" s="1"/>
  <c r="F27" i="1"/>
  <c r="H27" i="1" s="1"/>
  <c r="K27" i="1" s="1"/>
  <c r="F28" i="1"/>
  <c r="H28" i="1" s="1"/>
  <c r="K28" i="1" s="1"/>
  <c r="F29" i="1"/>
  <c r="H29" i="1" s="1"/>
  <c r="K29" i="1" s="1"/>
  <c r="F30" i="1"/>
  <c r="H30" i="1" s="1"/>
  <c r="K30" i="1" s="1"/>
  <c r="F31" i="1"/>
  <c r="H31" i="1" s="1"/>
  <c r="K31" i="1" s="1"/>
  <c r="F32" i="1"/>
  <c r="H32" i="1" s="1"/>
  <c r="K32" i="1" s="1"/>
  <c r="F33" i="1"/>
  <c r="H33" i="1" s="1"/>
  <c r="K33" i="1" s="1"/>
  <c r="F2" i="1"/>
  <c r="H2" i="1" s="1"/>
  <c r="K2"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2" i="1"/>
  <c r="K2" i="4"/>
  <c r="Q21" i="4"/>
  <c r="K6" i="4"/>
  <c r="K21" i="4"/>
  <c r="Q2" i="4"/>
  <c r="K20" i="4"/>
  <c r="Q3" i="4"/>
  <c r="Q9" i="4"/>
  <c r="K9" i="4"/>
  <c r="Q33" i="4"/>
  <c r="Q7" i="4"/>
  <c r="K13" i="4"/>
  <c r="K10" i="4"/>
  <c r="Q16" i="4"/>
  <c r="K16" i="4"/>
  <c r="K31" i="4"/>
  <c r="Q26" i="4"/>
  <c r="Q31" i="4"/>
  <c r="Q6" i="4"/>
  <c r="K14" i="4"/>
  <c r="Q4" i="4"/>
  <c r="K22" i="4"/>
  <c r="K25" i="4"/>
  <c r="K26" i="4"/>
  <c r="K32" i="4"/>
  <c r="Q15" i="4"/>
  <c r="Q19" i="4"/>
  <c r="K5" i="4"/>
  <c r="K4" i="4"/>
  <c r="Q8" i="4"/>
  <c r="K11" i="4"/>
  <c r="Q13" i="4"/>
  <c r="K17" i="4"/>
  <c r="K18" i="4"/>
  <c r="Q23" i="4"/>
  <c r="Q17" i="4"/>
  <c r="K30" i="4"/>
  <c r="Q24" i="4"/>
  <c r="K15" i="4"/>
  <c r="K24" i="4"/>
  <c r="Q11" i="4"/>
  <c r="K33" i="4"/>
  <c r="Q22" i="4"/>
  <c r="K27" i="4"/>
  <c r="Q28" i="4"/>
  <c r="Q27" i="4"/>
  <c r="Q12" i="4"/>
  <c r="K8" i="4"/>
  <c r="K3" i="4"/>
  <c r="Q29" i="4"/>
  <c r="Q5" i="4"/>
  <c r="K7" i="4"/>
  <c r="Q25" i="4"/>
  <c r="Q32" i="4"/>
  <c r="Q10" i="4"/>
  <c r="K19" i="4"/>
  <c r="K12" i="4"/>
  <c r="Q30" i="4"/>
  <c r="Q14" i="4"/>
  <c r="K29" i="4"/>
  <c r="Q20" i="4"/>
  <c r="K23" i="4"/>
  <c r="K28" i="4"/>
  <c r="Q18" i="4"/>
  <c r="L2" i="4" l="1"/>
  <c r="M2" i="4" s="1"/>
  <c r="P2" i="4" s="1"/>
  <c r="H13" i="1"/>
  <c r="K13" i="1" s="1"/>
  <c r="H5" i="1"/>
  <c r="K5" i="1" s="1"/>
  <c r="R27" i="4"/>
  <c r="S27" i="4" s="1"/>
  <c r="R8" i="4"/>
  <c r="S8" i="4" s="1"/>
  <c r="R23" i="4"/>
  <c r="S23" i="4" s="1"/>
  <c r="R20" i="4"/>
  <c r="S20" i="4" s="1"/>
  <c r="R12" i="4"/>
  <c r="S12" i="4" s="1"/>
  <c r="R17" i="4"/>
  <c r="S17" i="4" s="1"/>
  <c r="H6" i="1"/>
  <c r="K6" i="1" s="1"/>
  <c r="H11" i="1"/>
  <c r="K11" i="1" s="1"/>
  <c r="R2" i="4"/>
  <c r="S2" i="4" s="1"/>
  <c r="R15" i="4"/>
  <c r="S15" i="4" s="1"/>
  <c r="R16" i="4"/>
  <c r="S16" i="4" s="1"/>
  <c r="R21" i="4"/>
  <c r="S21" i="4" s="1"/>
  <c r="R4" i="4"/>
  <c r="S4" i="4" s="1"/>
  <c r="R7" i="4"/>
  <c r="S7" i="4" s="1"/>
  <c r="R22" i="4"/>
  <c r="S22" i="4" s="1"/>
  <c r="R29" i="4"/>
  <c r="S29" i="4" s="1"/>
  <c r="R33" i="4"/>
  <c r="S33" i="4" s="1"/>
  <c r="R3" i="4"/>
  <c r="S3" i="4" s="1"/>
  <c r="R11" i="4"/>
  <c r="S11" i="4" s="1"/>
  <c r="R6" i="4"/>
  <c r="S6" i="4" s="1"/>
  <c r="R14" i="4"/>
  <c r="S14" i="4" s="1"/>
  <c r="R13" i="4"/>
  <c r="S13" i="4" s="1"/>
  <c r="R9" i="4"/>
  <c r="S9" i="4" s="1"/>
  <c r="R28" i="4"/>
  <c r="S28" i="4" s="1"/>
  <c r="R19" i="4"/>
  <c r="S19" i="4" s="1"/>
  <c r="R25" i="4"/>
  <c r="S25" i="4" s="1"/>
  <c r="R32" i="4"/>
  <c r="S32" i="4" s="1"/>
  <c r="R18" i="4"/>
  <c r="S18" i="4" s="1"/>
  <c r="R31" i="4"/>
  <c r="S31" i="4" s="1"/>
  <c r="R26" i="4"/>
  <c r="S26" i="4" s="1"/>
  <c r="R24" i="4"/>
  <c r="S24" i="4" s="1"/>
  <c r="R30" i="4"/>
  <c r="S30" i="4" s="1"/>
  <c r="R10" i="4"/>
  <c r="S10" i="4" s="1"/>
  <c r="R5" i="4"/>
  <c r="S5" i="4" s="1"/>
  <c r="L23" i="4"/>
  <c r="M23" i="4" s="1"/>
  <c r="P23" i="4" s="1"/>
  <c r="L30" i="4"/>
  <c r="M30" i="4" s="1"/>
  <c r="P30" i="4" s="1"/>
  <c r="L16" i="4"/>
  <c r="M16" i="4" s="1"/>
  <c r="P16" i="4" s="1"/>
  <c r="L6" i="4"/>
  <c r="M6" i="4" s="1"/>
  <c r="P6" i="4" s="1"/>
  <c r="L31" i="4"/>
  <c r="M31" i="4" s="1"/>
  <c r="P31" i="4" s="1"/>
  <c r="L4" i="4"/>
  <c r="M4" i="4" s="1"/>
  <c r="P4" i="4" s="1"/>
  <c r="L25" i="4"/>
  <c r="M25" i="4" s="1"/>
  <c r="P25" i="4" s="1"/>
  <c r="L11" i="4"/>
  <c r="M11" i="4" s="1"/>
  <c r="P11" i="4" s="1"/>
  <c r="L18" i="4"/>
  <c r="M18" i="4" s="1"/>
  <c r="P18" i="4" s="1"/>
  <c r="L14" i="4"/>
  <c r="M14" i="4" s="1"/>
  <c r="P14" i="4" s="1"/>
  <c r="L3" i="4"/>
  <c r="M3" i="4" s="1"/>
  <c r="P3" i="4" s="1"/>
  <c r="L32" i="4"/>
  <c r="M32" i="4" s="1"/>
  <c r="P32" i="4" s="1"/>
  <c r="L26" i="4"/>
  <c r="M26" i="4" s="1"/>
  <c r="P26" i="4" s="1"/>
  <c r="L20" i="4"/>
  <c r="M20" i="4" s="1"/>
  <c r="P20" i="4" s="1"/>
  <c r="L22" i="4"/>
  <c r="M22" i="4" s="1"/>
  <c r="P22" i="4" s="1"/>
  <c r="L15" i="4"/>
  <c r="M15" i="4" s="1"/>
  <c r="P15" i="4" s="1"/>
  <c r="L27" i="4"/>
  <c r="M27" i="4" s="1"/>
  <c r="P27" i="4" s="1"/>
  <c r="L13" i="4"/>
  <c r="M13" i="4" s="1"/>
  <c r="P13" i="4" s="1"/>
  <c r="L21" i="4"/>
  <c r="M21" i="4" s="1"/>
  <c r="P21" i="4" s="1"/>
  <c r="L9" i="4"/>
  <c r="M9" i="4" s="1"/>
  <c r="P9" i="4" s="1"/>
  <c r="L17" i="4"/>
  <c r="M17" i="4" s="1"/>
  <c r="P17" i="4" s="1"/>
  <c r="L24" i="4"/>
  <c r="M24" i="4" s="1"/>
  <c r="P24" i="4" s="1"/>
  <c r="L19" i="4"/>
  <c r="M19" i="4" s="1"/>
  <c r="P19" i="4" s="1"/>
  <c r="L5" i="4"/>
  <c r="M5" i="4" s="1"/>
  <c r="P5" i="4" s="1"/>
  <c r="L33" i="4"/>
  <c r="M33" i="4" s="1"/>
  <c r="P33" i="4" s="1"/>
  <c r="L7" i="4"/>
  <c r="M7" i="4" s="1"/>
  <c r="P7" i="4" s="1"/>
  <c r="L10" i="4"/>
  <c r="M10" i="4" s="1"/>
  <c r="P10" i="4" s="1"/>
  <c r="L28" i="4"/>
  <c r="M28" i="4" s="1"/>
  <c r="P28" i="4" s="1"/>
  <c r="L8" i="4"/>
  <c r="M8" i="4" s="1"/>
  <c r="P8" i="4" s="1"/>
  <c r="L29" i="4"/>
  <c r="M29" i="4" s="1"/>
  <c r="P29" i="4" s="1"/>
  <c r="L12" i="4"/>
  <c r="M12" i="4" s="1"/>
  <c r="P12" i="4" s="1"/>
  <c r="H10" i="1"/>
  <c r="K10" i="1" s="1"/>
</calcChain>
</file>

<file path=xl/sharedStrings.xml><?xml version="1.0" encoding="utf-8"?>
<sst xmlns="http://schemas.openxmlformats.org/spreadsheetml/2006/main" count="281" uniqueCount="261">
  <si>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</si>
  <si>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</si>
  <si>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</si>
  <si>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</si>
  <si>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</si>
  <si>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</si>
  <si>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</si>
  <si>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</si>
  <si>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</si>
  <si>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</si>
  <si>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</si>
  <si>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</si>
  <si>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</si>
  <si>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</si>
  <si>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</si>
  <si>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</si>
  <si>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</si>
  <si>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</si>
  <si>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</si>
  <si>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</si>
  <si>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</si>
  <si>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</si>
  <si>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</si>
  <si>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</si>
  <si>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</si>
  <si>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</si>
  <si>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</si>
  <si>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</si>
  <si>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</si>
  <si>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</si>
  <si>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</si>
  <si>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</si>
  <si>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</si>
  <si>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</si>
  <si>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</si>
  <si>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</si>
  <si>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</si>
  <si>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</si>
  <si>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</si>
  <si>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</si>
  <si>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</si>
  <si>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</si>
  <si>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</si>
  <si>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</si>
  <si>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</si>
  <si>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</si>
  <si>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</si>
  <si>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</si>
  <si>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</si>
  <si>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</si>
  <si>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</si>
  <si>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</si>
  <si>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</si>
  <si>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</si>
  <si>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</si>
  <si>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</si>
  <si>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</si>
  <si>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</si>
  <si>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</si>
  <si>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</si>
  <si>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</si>
  <si>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</si>
  <si>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</si>
  <si>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</si>
  <si>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</si>
  <si>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</si>
  <si>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</si>
  <si>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</si>
  <si>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</si>
  <si>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</si>
  <si>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</si>
  <si>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</si>
  <si>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</si>
  <si>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</si>
  <si>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</si>
  <si>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</si>
  <si>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</si>
  <si>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</si>
  <si>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</si>
  <si>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</si>
  <si>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</si>
  <si>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</si>
  <si>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</si>
  <si>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</si>
  <si>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</si>
  <si>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</si>
  <si>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</si>
  <si>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</si>
  <si>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</si>
  <si>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</si>
  <si>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</si>
  <si>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</si>
  <si>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</si>
  <si>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</si>
  <si>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</si>
  <si>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</si>
  <si>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</si>
  <si>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</si>
  <si>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</si>
  <si>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</si>
  <si>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</si>
  <si>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</si>
  <si>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</si>
  <si>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</si>
  <si>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</si>
  <si>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</si>
  <si>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</si>
  <si>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</si>
  <si>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</si>
  <si>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</si>
  <si>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</si>
  <si>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</si>
  <si>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</si>
  <si>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</si>
  <si>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</si>
  <si>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</si>
  <si>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</si>
  <si>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</si>
  <si>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</si>
  <si>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</si>
  <si>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</si>
  <si>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</si>
  <si>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</si>
  <si>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</si>
  <si>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</si>
  <si>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</si>
  <si>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</si>
  <si>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</si>
  <si>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</si>
  <si>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</si>
  <si>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</si>
  <si>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</si>
  <si>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</si>
  <si>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</si>
  <si>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</si>
  <si>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</si>
  <si>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</si>
  <si>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</si>
  <si>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</si>
  <si>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</si>
  <si>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</si>
  <si>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</si>
  <si>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</si>
  <si>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</si>
  <si>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DATETIME</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</si>
  <si>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</si>
  <si>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</si>
  <si>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</si>
  <si>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</si>
  <si>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</si>
  <si>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</si>
  <si>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</si>
  <si>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</si>
  <si>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</si>
  <si>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</si>
  <si>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</si>
  <si>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</si>
  <si>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</si>
  <si>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</si>
  <si>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</si>
  <si>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</si>
  <si>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</si>
  <si>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</si>
  <si>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</si>
  <si>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</si>
  <si>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</si>
  <si>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</si>
  <si>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</si>
  <si>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</si>
  <si>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</si>
  <si>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</si>
  <si>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</si>
  <si>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</si>
  <si>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</si>
  <si>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</si>
  <si>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</si>
  <si>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</si>
  <si>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</si>
  <si>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</si>
  <si>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</si>
  <si>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</si>
  <si>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</si>
  <si>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</si>
  <si>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</si>
  <si>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</si>
  <si>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</si>
  <si>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</si>
  <si>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</si>
  <si>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</si>
  <si>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</si>
  <si>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</si>
  <si>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</si>
  <si>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</si>
  <si>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</si>
  <si>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除权处理</t>
  </si>
  <si>
    <t>预期调整</t>
  </si>
  <si>
    <t>在预期某只正股未来波动性会下降的情况下，可以手动调低实时溢价率中的调整波动率。</t>
  </si>
  <si>
    <t>可转债定价工具使用说明</t>
    <phoneticPr fontId="1" type="noConversion"/>
  </si>
  <si>
    <t>数据更新</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</si>
  <si>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</si>
  <si>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</si>
  <si>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</si>
  <si>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</si>
  <si>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</si>
  <si>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</si>
  <si>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</si>
  <si>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</si>
  <si>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</si>
  <si>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</si>
  <si>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</si>
  <si>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</si>
  <si>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https://raw.githubusercontent.com/liquanbao/hazc/master/convbond.csv</t>
    <phoneticPr fontId="1" type="noConversion"/>
  </si>
  <si>
    <t>历史数据文件需要每周更新，点击[本地更新]或[远程更新]按钮。按钮右侧的本地文件名和远程路径可修改。</t>
    <phoneticPr fontId="1" type="noConversion"/>
  </si>
  <si>
    <t>v1.2 todo</t>
    <phoneticPr fontId="1" type="noConversion"/>
  </si>
  <si>
    <t>自动处理除权数据</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</si>
  <si>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</si>
  <si>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</si>
  <si>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</si>
  <si>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</si>
  <si>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</si>
  <si>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</si>
  <si>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</si>
  <si>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</si>
  <si>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</si>
  <si>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</si>
  <si>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</si>
  <si>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</si>
  <si>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</si>
  <si>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若某转债的前一日正股发生除权或转股价下调，则需手动修改实时溢价率中的该转债的转股价。</t>
    <phoneticPr fontId="1" type="noConversion"/>
  </si>
  <si>
    <t>convbond.csv</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</si>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</sst>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9" x14ac:knownFonts="1">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s>
  <fills count="3">
    <fill>
      <patternFill patternType="none"/>
    </fill>
    <fill>
      <patternFill patternType="gray125"/>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9" fontId="2" fillId="0" borderId="0" applyFont="0" applyFill="0" applyBorder="0" applyAlignment="0" applyProtection="0">
      <alignment vertical="center"/>
    </xf>
  </cellStyleXfs>
  <cellXfs count="41">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14" fontId="3"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0" fillId="0" borderId="1" xfId="0" applyBorder="1">
      <alignment vertical="center"/>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cellXfs>
  <cellStyles count="2">
    <cellStyle name="百分比" xfId="1" builtinId="5"/>
    <cellStyle name="常规"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93.05</v>
        <stp/>
        <stp>132007.SH</stp>
        <stp>LastPrice</stp>
        <stp>RT_Price</stp>
        <tr r="C28" s="4"/>
      </tp>
      <tp>
        <v>0</v>
        <stp/>
        <stp>128016.SZ</stp>
        <stp>LastPrice</stp>
        <stp>RT_Price</stp>
        <tr r="C12" s="6"/>
      </tp>
      <tp>
        <v>101.60000000000001</v>
        <stp/>
        <stp>132006.SH</stp>
        <stp>LastPrice</stp>
        <stp>RT_Price</stp>
        <tr r="C27" s="4"/>
      </tp>
      <tp>
        <v>6.22</v>
        <stp/>
        <stp>002325.SZ</stp>
        <stp>LastPrice</stp>
        <stp>RT_Price</stp>
        <tr r="G19" s="4"/>
      </tp>
      <tp>
        <v>8.870000000000001</v>
        <stp/>
        <stp>002245.SZ</stp>
        <stp>LastPrice</stp>
        <stp>RT_Price</stp>
        <tr r="G17" s="4"/>
      </tp>
      <tp>
        <v>6.23</v>
        <stp/>
        <stp>600185.SH</stp>
        <stp>LastPrice</stp>
        <stp>RT_Price</stp>
        <tr r="G2" s="4"/>
      </tp>
      <tp>
        <v>127</v>
        <stp/>
        <stp>110034.SH</stp>
        <stp>LastPrice</stp>
        <stp>RT_Price</stp>
        <tr r="C6" s="4"/>
      </tp>
      <tp>
        <v>35.96</v>
        <stp/>
        <stp>600535.SH</stp>
        <stp>LastPrice</stp>
        <stp>RT_Price</stp>
        <tr r="G23" s="4"/>
      </tp>
      <tp>
        <v>10.870000000000001</v>
        <stp/>
        <stp>600755.SH</stp>
        <stp>LastPrice</stp>
        <stp>RT_Price</stp>
        <tr r="G5" s="4"/>
      </tp>
      <tp>
        <v>124.5</v>
        <stp/>
        <stp>132005.SH</stp>
        <stp>LastPrice</stp>
        <stp>RT_Price</stp>
        <tr r="C26" s="4"/>
      </tp>
      <tp>
        <v>5.75</v>
        <stp/>
        <stp>002496.SZ</stp>
        <stp>LastPrice</stp>
        <stp>RT_Price</stp>
        <tr r="G18" s="4"/>
      </tp>
      <tp>
        <v>59.2</v>
        <stp/>
        <stp>601336.SH</stp>
        <stp>LastPrice</stp>
        <stp>RT_Price</stp>
        <tr r="G22" s="4"/>
      </tp>
      <tp>
        <v>109.06</v>
        <stp/>
        <stp>127004.SZ</stp>
        <stp>LastPrice</stp>
        <stp>RT_Price</stp>
        <tr r="C16" s="4"/>
      </tp>
      <tp>
        <v>117.2</v>
        <stp/>
        <stp>128014.SZ</stp>
        <stp>LastPrice</stp>
        <stp>RT_Price</stp>
        <tr r="C20" s="4"/>
      </tp>
      <tp>
        <v>92.92</v>
        <stp/>
        <stp>132004.SH</stp>
        <stp>LastPrice</stp>
        <stp>RT_Price</stp>
        <tr r="C25" s="4"/>
      </tp>
      <tp>
        <v>8.0500000000000007</v>
        <stp/>
        <stp>601727.SH</stp>
        <stp>LastPrice</stp>
        <stp>RT_Price</stp>
        <tr r="G7" s="4"/>
      </tp>
      <tp>
        <v>8.06</v>
        <stp/>
        <stp>601857.SH</stp>
        <stp>LastPrice</stp>
        <stp>RT_Price</stp>
        <tr r="G30" s="4"/>
      </tp>
      <tp>
        <v>114.813</v>
        <stp/>
        <stp>128015.SZ</stp>
        <stp>LastPrice</stp>
        <stp>RT_Price</stp>
        <tr r="C21" s="4"/>
      </tp>
      <tp>
        <v>102.31</v>
        <stp/>
        <stp>132003.SH</stp>
        <stp>LastPrice</stp>
        <stp>RT_Price</stp>
        <tr r="C24" s="4"/>
      </tp>
      <tp>
        <v>112.7</v>
        <stp/>
        <stp>113011.SH</stp>
        <stp>LastPrice</stp>
        <stp>RT_Price</stp>
        <tr r="C10" s="4"/>
      </tp>
      <tp>
        <v>12.19</v>
        <stp/>
        <stp>600160.SH</stp>
        <stp>LastPrice</stp>
        <stp>RT_Price</stp>
        <tr r="G33" s="4"/>
      </tp>
      <tp>
        <v>3.7600000000000002</v>
        <stp/>
        <stp>600170.SH</stp>
        <stp>LastPrice</stp>
        <stp>RT_Price</stp>
        <tr r="G25" s="4"/>
      </tp>
      <tp>
        <v>104.99000000000001</v>
        <stp/>
        <stp>110031.SH</stp>
        <stp>LastPrice</stp>
        <stp>RT_Price</stp>
        <tr r="C3" s="4"/>
      </tp>
      <tp>
        <v>6</v>
        <stp/>
        <stp>600350.SH</stp>
        <stp>LastPrice</stp>
        <stp>RT_Price</stp>
        <tr r="G29" s="4"/>
      </tp>
      <tp>
        <v>6.98</v>
        <stp/>
        <stp>000700.SZ</stp>
        <stp>LastPrice</stp>
        <stp>RT_Price</stp>
        <tr r="G16" s="4"/>
      </tp>
      <tp>
        <v>104.95700000000001</v>
        <stp/>
        <stp>128012.SZ</stp>
        <stp>LastPrice</stp>
        <stp>RT_Price</stp>
        <tr r="C18" s="4"/>
      </tp>
      <tp>
        <v>103.61</v>
        <stp/>
        <stp>132012.SH</stp>
        <stp>LastPrice</stp>
        <stp>RT_Price</stp>
        <tr r="C33" s="4"/>
      </tp>
      <tp>
        <v>103.67</v>
        <stp/>
        <stp>132002.SH</stp>
        <stp>LastPrice</stp>
        <stp>RT_Price</stp>
        <tr r="C23" s="4"/>
      </tp>
      <tp>
        <v>41.44</v>
        <stp/>
        <stp>002271.SZ</stp>
        <stp>LastPrice</stp>
        <stp>RT_Price</stp>
        <tr r="C8" s="6"/>
      </tp>
      <tp>
        <v>106.02</v>
        <stp/>
        <stp>113010.SH</stp>
        <stp>LastPrice</stp>
        <stp>RT_Price</stp>
        <tr r="C9" s="4"/>
      </tp>
      <tp>
        <v>111.87</v>
        <stp/>
        <stp>110030.SH</stp>
        <stp>LastPrice</stp>
        <stp>RT_Price</stp>
        <tr r="C2" s="4"/>
      </tp>
      <tp>
        <v>7.94</v>
        <stp/>
        <stp>600031.SH</stp>
        <stp>LastPrice</stp>
        <stp>RT_Price</stp>
        <tr r="G4" s="4"/>
      </tp>
      <tp>
        <v>18.97</v>
        <stp/>
        <stp>600271.SH</stp>
        <stp>LastPrice</stp>
        <stp>RT_Price</stp>
        <tr r="G3" s="4"/>
      </tp>
      <tp>
        <v>3.75</v>
        <stp/>
        <stp>000861.SZ</stp>
        <stp>LastPrice</stp>
        <stp>RT_Price</stp>
        <tr r="G15" s="4"/>
      </tp>
      <tp>
        <v>14.870000000000001</v>
        <stp/>
        <stp>601311.SH</stp>
        <stp>LastPrice</stp>
        <stp>RT_Price</stp>
        <tr r="G11" s="4"/>
      </tp>
      <tp>
        <v>21.18</v>
        <stp/>
        <stp>601211.SH</stp>
        <stp>LastPrice</stp>
        <stp>RT_Price</stp>
        <tr r="G12" s="4"/>
      </tp>
      <tp>
        <v>39.08</v>
        <stp/>
        <stp>601601.SH</stp>
        <stp>LastPrice</stp>
        <stp>RT_Price</stp>
        <tr r="G26" s="4"/>
      </tp>
      <tp>
        <v>12.4</v>
        <stp/>
        <stp>601801.SH</stp>
        <stp>LastPrice</stp>
        <stp>RT_Price</stp>
        <tr r="G27" s="4"/>
      </tp>
      <tp>
        <v>102.35000000000001</v>
        <stp/>
        <stp>127003.SZ</stp>
        <stp>LastPrice</stp>
        <stp>RT_Price</stp>
        <tr r="C15" s="4"/>
      </tp>
      <tp>
        <v>101.761</v>
        <stp/>
        <stp>128013.SZ</stp>
        <stp>LastPrice</stp>
        <stp>RT_Price</stp>
        <tr r="C19" s="4"/>
      </tp>
      <tp>
        <v>93</v>
        <stp/>
        <stp>132011.SH</stp>
        <stp>LastPrice</stp>
        <stp>RT_Price</stp>
        <tr r="C32" s="4"/>
      </tp>
      <tp>
        <v>140</v>
        <stp/>
        <stp>132001.SH</stp>
        <stp>LastPrice</stp>
        <stp>RT_Price</stp>
        <tr r="C22" s="4"/>
      </tp>
      <tp>
        <v>124.60000000000001</v>
        <stp/>
        <stp>113013.SH</stp>
        <stp>LastPrice</stp>
        <stp>RT_Price</stp>
        <tr r="C12" s="4"/>
      </tp>
      <tp>
        <v>127.8</v>
        <stp/>
        <stp>110033.SH</stp>
        <stp>LastPrice</stp>
        <stp>RT_Price</stp>
        <tr r="C5" s="4"/>
      </tp>
      <tp>
        <v>117.57900000000001</v>
        <stp/>
        <stp>128010.SZ</stp>
        <stp>LastPrice</stp>
        <stp>RT_Price</stp>
        <tr r="C17" s="4"/>
      </tp>
      <tp>
        <v>115.9</v>
        <stp/>
        <stp>132010.SH</stp>
        <stp>LastPrice</stp>
        <stp>RT_Price</stp>
        <tr r="C31" s="4"/>
      </tp>
      <tp>
        <v>22.1</v>
        <stp/>
        <stp>002753.SZ</stp>
        <stp>LastPrice</stp>
        <stp>RT_Price</stp>
        <tr r="G20" s="4"/>
      </tp>
      <tp>
        <v>16.75</v>
        <stp/>
        <stp>002603.SZ</stp>
        <stp>LastPrice</stp>
        <stp>RT_Price</stp>
        <tr r="G13" s="4"/>
      </tp>
      <tp>
        <v>112.8</v>
        <stp/>
        <stp>113012.SH</stp>
        <stp>LastPrice</stp>
        <stp>RT_Price</stp>
        <tr r="C11" s="4"/>
      </tp>
      <tp>
        <v>104.355</v>
        <stp/>
        <stp>123001.SZ</stp>
        <stp>LastPrice</stp>
        <stp>RT_Price</stp>
        <tr r="C14" s="4"/>
      </tp>
      <tp>
        <v>120.34</v>
        <stp/>
        <stp>110032.SH</stp>
        <stp>LastPrice</stp>
        <stp>RT_Price</stp>
        <tr r="C4" s="4"/>
      </tp>
      <tp>
        <v>107.8</v>
        <stp/>
        <stp>120001.SZ</stp>
        <stp>LastPrice</stp>
        <stp>RT_Price</stp>
        <tr r="C13" s="4"/>
      </tp>
      <tp>
        <v>17.650000000000002</v>
        <stp/>
        <stp>600633.SH</stp>
        <stp>LastPrice</stp>
        <stp>RT_Price</stp>
        <tr r="G32" s="4"/>
      </tp>
      <tp>
        <v>16.91</v>
        <stp/>
        <stp>601233.SH</stp>
        <stp>LastPrice</stp>
        <stp>RT_Price</stp>
        <tr r="G31" s="4"/>
      </tp>
      <tp>
        <v>132.30000000000001</v>
        <stp/>
        <stp>113009.SH</stp>
        <stp>LastPrice</stp>
        <stp>RT_Price</stp>
        <tr r="C8" s="4"/>
      </tp>
      <tp>
        <v>7.21</v>
        <stp/>
        <stp>300058.SZ</stp>
        <stp>LastPrice</stp>
        <stp>RT_Price</stp>
        <tr r="G14" s="4"/>
      </tp>
      <tp>
        <v>21.37</v>
        <stp/>
        <stp>600998.SH</stp>
        <stp>LastPrice</stp>
        <stp>RT_Price</stp>
        <tr r="G6" s="4"/>
      </tp>
      <tp>
        <v>27.990000000000002</v>
        <stp/>
        <stp>601238.SH</stp>
        <stp>LastPrice</stp>
        <stp>RT_Price</stp>
        <tr r="G8" s="4"/>
      </tp>
      <tp>
        <v>9.26</v>
        <stp/>
        <stp>601928.SH</stp>
        <stp>LastPrice</stp>
        <stp>RT_Price</stp>
        <tr r="G28" s="4"/>
      </tp>
      <tp>
        <v>4.1100000000000003</v>
        <stp/>
        <stp>601818.SH</stp>
        <stp>LastPrice</stp>
        <stp>RT_Price</stp>
        <tr r="G10" s="4"/>
      </tp>
      <tp>
        <v>12.540000000000001</v>
        <stp/>
        <stp>002279.SZ</stp>
        <stp>LastPrice</stp>
        <stp>RT_Price</stp>
        <tr r="G21" s="4"/>
      </tp>
      <tp>
        <v>107.71000000000001</v>
        <stp/>
        <stp>113008.SH</stp>
        <stp>LastPrice</stp>
        <stp>RT_Price</stp>
        <tr r="C7" s="4"/>
      </tp>
      <tp>
        <v>11.450000000000001</v>
        <stp/>
        <stp>600109.SH</stp>
        <stp>LastPrice</stp>
        <stp>RT_Price</stp>
        <tr r="G24" s="4"/>
      </tp>
      <tp>
        <v>6.44</v>
        <stp/>
        <stp>601199.SH</stp>
        <stp>LastPrice</stp>
        <stp>RT_Price</stp>
        <tr r="G9" s="4"/>
      </tp>
      <tp>
        <v>101.92</v>
        <stp/>
        <stp>132009.SH</stp>
        <stp>LastPrice</stp>
        <stp>RT_Price</stp>
        <tr r="C30" s="4"/>
      </tp>
      <tp>
        <v>95.49</v>
        <stp/>
        <stp>132008.SH</stp>
        <stp>LastPrice</stp>
        <stp>RT_Price</stp>
        <tr r="C29"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2</xdr:row>
          <xdr:rowOff>38100</xdr:rowOff>
        </xdr:from>
        <xdr:to>
          <xdr:col>2</xdr:col>
          <xdr:colOff>1095375</xdr:colOff>
          <xdr:row>2</xdr:row>
          <xdr:rowOff>352425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3</xdr:row>
          <xdr:rowOff>38100</xdr:rowOff>
        </xdr:from>
        <xdr:to>
          <xdr:col>2</xdr:col>
          <xdr:colOff>1095375</xdr:colOff>
          <xdr:row>3</xdr:row>
          <xdr:rowOff>361950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远程更新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3"/>
  <sheetViews>
    <sheetView tabSelected="1" workbookViewId="0">
      <selection activeCell="D6" sqref="D6"/>
    </sheetView>
  </sheetViews>
  <sheetFormatPr defaultRowHeight="13.5" x14ac:dyDescent="0.15"/>
  <cols>
    <col min="1" max="1" width="2.875" customWidth="1"/>
    <col min="2" max="2" width="12.625" customWidth="1"/>
    <col min="3" max="3" width="14.625" bestFit="1" customWidth="1"/>
    <col min="4" max="4" width="74.25" customWidth="1"/>
  </cols>
  <sheetData>
    <row r="2" spans="2:4" ht="42" customHeight="1" x14ac:dyDescent="0.15">
      <c r="B2" s="35" t="s">
        <v>197</v>
      </c>
      <c r="C2" s="35"/>
      <c r="D2" s="35"/>
    </row>
    <row r="3" spans="2:4" ht="30" customHeight="1" x14ac:dyDescent="0.15">
      <c r="B3" s="10" t="s">
        <v>190</v>
      </c>
      <c r="D3" s="9" t="s">
        <v>229</v>
      </c>
    </row>
    <row r="4" spans="2:4" ht="30" customHeight="1" x14ac:dyDescent="0.15">
      <c r="B4" s="15">
        <f>Data!A2</f>
        <v>43025</v>
      </c>
      <c r="C4" s="11"/>
      <c r="D4" s="14" t="s">
        <v>211</v>
      </c>
    </row>
    <row r="5" spans="2:4" ht="30" customHeight="1" x14ac:dyDescent="0.15">
      <c r="B5" s="36" t="s">
        <v>186</v>
      </c>
      <c r="C5" s="10" t="s">
        <v>198</v>
      </c>
      <c r="D5" s="9" t="s">
        <v>212</v>
      </c>
    </row>
    <row r="6" spans="2:4" ht="30" customHeight="1" x14ac:dyDescent="0.15">
      <c r="B6" s="37"/>
      <c r="C6" s="10" t="s">
        <v>194</v>
      </c>
      <c r="D6" s="9" t="s">
        <v>228</v>
      </c>
    </row>
    <row r="7" spans="2:4" ht="30" hidden="1" customHeight="1" x14ac:dyDescent="0.15">
      <c r="B7" s="38"/>
      <c r="C7" s="10" t="s">
        <v>195</v>
      </c>
      <c r="D7" s="9" t="s">
        <v>196</v>
      </c>
    </row>
    <row r="8" spans="2:4" ht="30" customHeight="1" x14ac:dyDescent="0.15">
      <c r="B8" s="34" t="s">
        <v>187</v>
      </c>
      <c r="C8" s="10" t="s">
        <v>178</v>
      </c>
      <c r="D8" s="9" t="s">
        <v>220</v>
      </c>
    </row>
    <row r="9" spans="2:4" ht="30" customHeight="1" x14ac:dyDescent="0.15">
      <c r="B9" s="34"/>
      <c r="C9" s="10" t="s">
        <v>188</v>
      </c>
      <c r="D9" s="9" t="s">
        <v>221</v>
      </c>
    </row>
    <row r="10" spans="2:4" ht="30" customHeight="1" x14ac:dyDescent="0.15">
      <c r="B10" s="34"/>
      <c r="C10" s="10" t="s">
        <v>189</v>
      </c>
      <c r="D10" s="9" t="s">
        <v>219</v>
      </c>
    </row>
    <row r="11" spans="2:4" ht="30" customHeight="1" x14ac:dyDescent="0.15">
      <c r="B11" s="34"/>
      <c r="C11" s="18" t="s">
        <v>260</v>
      </c>
      <c r="D11" s="9" t="s">
        <v>259</v>
      </c>
    </row>
    <row r="12" spans="2:4" ht="30" hidden="1" customHeight="1" x14ac:dyDescent="0.15">
      <c r="B12" s="34"/>
      <c r="C12" s="10" t="s">
        <v>199</v>
      </c>
      <c r="D12" s="9" t="s">
        <v>192</v>
      </c>
    </row>
    <row r="13" spans="2:4" ht="30" customHeight="1" x14ac:dyDescent="0.15">
      <c r="B13" s="36" t="s">
        <v>201</v>
      </c>
      <c r="C13" s="10" t="s">
        <v>202</v>
      </c>
      <c r="D13" s="9" t="s">
        <v>203</v>
      </c>
    </row>
    <row r="14" spans="2:4" ht="30" customHeight="1" x14ac:dyDescent="0.15">
      <c r="B14" s="37"/>
      <c r="C14" s="10" t="s">
        <v>204</v>
      </c>
      <c r="D14" s="9" t="s">
        <v>222</v>
      </c>
    </row>
    <row r="15" spans="2:4" ht="30" customHeight="1" x14ac:dyDescent="0.15">
      <c r="B15" s="37"/>
      <c r="C15" s="13" t="s">
        <v>215</v>
      </c>
      <c r="D15" s="9" t="s">
        <v>216</v>
      </c>
    </row>
    <row r="16" spans="2:4" ht="30" customHeight="1" x14ac:dyDescent="0.15">
      <c r="B16" s="37"/>
      <c r="C16" s="10" t="s">
        <v>205</v>
      </c>
      <c r="D16" s="9" t="s">
        <v>208</v>
      </c>
    </row>
    <row r="17" spans="2:4" ht="30" customHeight="1" x14ac:dyDescent="0.15">
      <c r="B17" s="37"/>
      <c r="C17" s="10" t="s">
        <v>206</v>
      </c>
      <c r="D17" s="9" t="s">
        <v>207</v>
      </c>
    </row>
    <row r="18" spans="2:4" ht="30" customHeight="1" x14ac:dyDescent="0.15">
      <c r="B18" s="38"/>
      <c r="C18" s="13" t="s">
        <v>217</v>
      </c>
      <c r="D18" s="9" t="s">
        <v>218</v>
      </c>
    </row>
    <row r="19" spans="2:4" ht="30" customHeight="1" x14ac:dyDescent="0.15">
      <c r="B19" s="36" t="s">
        <v>210</v>
      </c>
      <c r="C19" s="12" t="s">
        <v>191</v>
      </c>
      <c r="D19" s="9" t="s">
        <v>193</v>
      </c>
    </row>
    <row r="20" spans="2:4" ht="30" customHeight="1" x14ac:dyDescent="0.15">
      <c r="B20" s="37"/>
      <c r="C20" s="12" t="s">
        <v>209</v>
      </c>
      <c r="D20" s="9" t="s">
        <v>200</v>
      </c>
    </row>
    <row r="21" spans="2:4" ht="30" customHeight="1" x14ac:dyDescent="0.15">
      <c r="B21" s="38"/>
      <c r="C21" s="16" t="s">
        <v>213</v>
      </c>
      <c r="D21" s="17" t="s">
        <v>214</v>
      </c>
    </row>
    <row r="22" spans="2:4" ht="30" customHeight="1" x14ac:dyDescent="0.15"/>
    <row r="23" spans="2:4" ht="30" customHeight="1" x14ac:dyDescent="0.15"/>
  </sheetData>
  <mergeCells count="5">
    <mergeCell ref="B8:B12"/>
    <mergeCell ref="B2:D2"/>
    <mergeCell ref="B5:B7"/>
    <mergeCell ref="B19:B21"/>
    <mergeCell ref="B13:B18"/>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local_Click">
                <anchor moveWithCells="1" sizeWithCells="1">
                  <from>
                    <xdr:col>2</xdr:col>
                    <xdr:colOff>28575</xdr:colOff>
                    <xdr:row>2</xdr:row>
                    <xdr:rowOff>38100</xdr:rowOff>
                  </from>
                  <to>
                    <xdr:col>2</xdr:col>
                    <xdr:colOff>1095375</xdr:colOff>
                    <xdr:row>2</xdr:row>
                    <xdr:rowOff>352425</xdr:rowOff>
                  </to>
                </anchor>
              </controlPr>
            </control>
          </mc:Choice>
        </mc:AlternateContent>
        <mc:AlternateContent xmlns:mc="http://schemas.openxmlformats.org/markup-compatibility/2006">
          <mc:Choice Requires="x14">
            <control shapeId="1027" r:id="rId4" name="Button 3">
              <controlPr defaultSize="0" print="0" autoFill="0" autoPict="0" macro="[0]!remote_Click">
                <anchor moveWithCells="1" sizeWithCells="1">
                  <from>
                    <xdr:col>2</xdr:col>
                    <xdr:colOff>28575</xdr:colOff>
                    <xdr:row>3</xdr:row>
                    <xdr:rowOff>38100</xdr:rowOff>
                  </from>
                  <to>
                    <xdr:col>2</xdr:col>
                    <xdr:colOff>1095375</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33"/>
  <sheetViews>
    <sheetView topLeftCell="B1" workbookViewId="0">
      <selection activeCell="L13" sqref="L13"/>
    </sheetView>
  </sheetViews>
  <sheetFormatPr defaultRowHeight="13.5" x14ac:dyDescent="0.15"/>
  <cols>
    <col min="1" max="1" width="10.5" hidden="1" customWidth="1"/>
    <col min="5" max="5" width="10.5" hidden="1" customWidth="1"/>
    <col min="9" max="10" width="11" bestFit="1" customWidth="1"/>
    <col min="13" max="16" width="9" style="2"/>
    <col min="17" max="17" width="9" style="5"/>
    <col min="18" max="18" width="9" style="3"/>
  </cols>
  <sheetData>
    <row r="1" spans="1:19" x14ac:dyDescent="0.15">
      <c r="A1" t="s">
        <v>152</v>
      </c>
      <c r="B1" t="s">
        <v>152</v>
      </c>
      <c r="C1" t="s">
        <v>168</v>
      </c>
      <c r="D1" t="s">
        <v>176</v>
      </c>
      <c r="E1" t="s">
        <v>154</v>
      </c>
      <c r="F1" t="s">
        <v>155</v>
      </c>
      <c r="G1" t="s">
        <v>169</v>
      </c>
      <c r="H1" t="s">
        <v>171</v>
      </c>
      <c r="I1" t="s">
        <v>172</v>
      </c>
      <c r="J1" t="s">
        <v>173</v>
      </c>
      <c r="K1" t="s">
        <v>170</v>
      </c>
      <c r="L1" t="s">
        <v>177</v>
      </c>
      <c r="M1" s="2" t="s">
        <v>178</v>
      </c>
      <c r="N1" s="2" t="s">
        <v>179</v>
      </c>
      <c r="O1" s="2" t="s">
        <v>180</v>
      </c>
      <c r="P1" s="2" t="s">
        <v>181</v>
      </c>
      <c r="Q1" s="5" t="s">
        <v>182</v>
      </c>
      <c r="R1" s="4" t="s">
        <v>184</v>
      </c>
      <c r="S1" s="2" t="s">
        <v>185</v>
      </c>
    </row>
    <row r="2" spans="1:19" x14ac:dyDescent="0.15">
      <c r="A2" t="str">
        <f>Data!B2</f>
        <v>110030.SH</v>
      </c>
      <c r="B2" t="str">
        <f>Data!C2</f>
        <v>格力转债</v>
      </c>
      <c r="C2" s="8">
        <f>RTD("wdf.rtq", ,A2, "LastPrice","RT_Price")</f>
        <v>111.87</v>
      </c>
      <c r="D2" s="8">
        <f>Data!L2</f>
        <v>98.417400000000001</v>
      </c>
      <c r="E2" t="str">
        <f>Data!E2</f>
        <v>600185.SH</v>
      </c>
      <c r="F2" t="str">
        <f>Data!F2</f>
        <v>格力地产</v>
      </c>
      <c r="G2" s="7">
        <f>RTD("wdf.rtq", ,E2, "LastPrice","RT_Price")</f>
        <v>6.23</v>
      </c>
      <c r="H2" s="7">
        <f>Data!H2</f>
        <v>7.24</v>
      </c>
      <c r="I2" s="2">
        <f>Data!J2</f>
        <v>0.28777544315507603</v>
      </c>
      <c r="J2" s="2">
        <f>I2</f>
        <v>0.28777544315507603</v>
      </c>
      <c r="K2" s="6">
        <f>BlackScholes(G2,H2,0.015,Data!I2,0,J2,"C",0,0)*100/H2</f>
        <v>10.626448560585477</v>
      </c>
      <c r="L2" s="6">
        <f>K2+D2</f>
        <v>109.04384856058547</v>
      </c>
      <c r="M2" s="2">
        <f>C2/L2-1</f>
        <v>2.5917568727815921E-2</v>
      </c>
      <c r="N2" s="2">
        <f>IF(Data!V2=0,"",Data!V2)</f>
        <v>2.9955503795949901E-2</v>
      </c>
      <c r="O2" s="2">
        <f>IF(Data!W2=0,"",Data!W2)</f>
        <v>5.3654539912387701E-2</v>
      </c>
      <c r="P2" s="2">
        <f>IFERROR(_xlfn.NORM.DIST(M2,N2,O2,TRUE),"")</f>
        <v>0.4700047062790278</v>
      </c>
      <c r="Q2" s="5">
        <f>BlackScholes(G2,H2,0.015,Data!I2,0,J2,"C",0,1)</f>
        <v>0.47498993362652142</v>
      </c>
      <c r="R2" s="3">
        <f>Q2*100/H2</f>
        <v>6.5606344423552683</v>
      </c>
      <c r="S2" t="str">
        <f>ROUND(10*C2,0)&amp;":"&amp;ROUND(G2*R2*10,0)</f>
        <v>1119:409</v>
      </c>
    </row>
    <row r="3" spans="1:19" x14ac:dyDescent="0.15">
      <c r="A3" t="str">
        <f>Data!B3</f>
        <v>110031.SH</v>
      </c>
      <c r="B3" t="str">
        <f>Data!C3</f>
        <v>航信转债</v>
      </c>
      <c r="C3" s="8">
        <f>RTD("wdf.rtq", ,A3, "LastPrice","RT_Price")</f>
        <v>104.99000000000001</v>
      </c>
      <c r="D3" s="8">
        <f>Data!L3</f>
        <v>93.9893</v>
      </c>
      <c r="E3" t="str">
        <f>Data!E3</f>
        <v>600271.SH</v>
      </c>
      <c r="F3" t="str">
        <f>Data!F3</f>
        <v>航天信息</v>
      </c>
      <c r="G3" s="7">
        <f>RTD("wdf.rtq", ,E3, "LastPrice","RT_Price")</f>
        <v>18.97</v>
      </c>
      <c r="H3" s="7">
        <f>Data!H3</f>
        <v>42.8</v>
      </c>
      <c r="I3" s="2">
        <f>Data!J3</f>
        <v>0.25125151330315298</v>
      </c>
      <c r="J3" s="2">
        <f t="shared" ref="J3:J33" si="0">I3</f>
        <v>0.25125151330315298</v>
      </c>
      <c r="K3" s="6">
        <f>BlackScholes(G3,H3,0.015,Data!I3,0,J3,"C",0,0)*100/H3</f>
        <v>0.74276640615147704</v>
      </c>
      <c r="L3" s="6">
        <f t="shared" ref="L3:L33" si="1">K3+D3</f>
        <v>94.732066406151475</v>
      </c>
      <c r="M3" s="2">
        <f t="shared" ref="M3:M33" si="2">C3/L3-1</f>
        <v>0.10828364653072131</v>
      </c>
      <c r="N3" s="2">
        <f>IF(Data!V3=0,"",Data!V3)</f>
        <v>0.116559090665005</v>
      </c>
      <c r="O3" s="2">
        <f>IF(Data!W3=0,"",Data!W3)</f>
        <v>2.6087357525188998E-2</v>
      </c>
      <c r="P3" s="2">
        <f t="shared" ref="P3:P33" si="3">IFERROR(_xlfn.NORM.DIST(M3,N3,O3,TRUE),"")</f>
        <v>0.3755381546657951</v>
      </c>
      <c r="Q3" s="5">
        <f>BlackScholes(G3,H3,0.015,Data!I3,0,J3,"C",0,1)</f>
        <v>9.0213090016927677E-2</v>
      </c>
      <c r="R3" s="3">
        <f t="shared" ref="R3:R33" si="4">Q3*100/H3</f>
        <v>0.21077824770310205</v>
      </c>
      <c r="S3" t="str">
        <f t="shared" ref="S3:S33" si="5">ROUND(10*C3,0)&amp;":"&amp;ROUND(G3*R3*10,0)</f>
        <v>1050:40</v>
      </c>
    </row>
    <row r="4" spans="1:19" x14ac:dyDescent="0.15">
      <c r="A4" t="str">
        <f>Data!B4</f>
        <v>110032.SH</v>
      </c>
      <c r="B4" t="str">
        <f>Data!C4</f>
        <v>三一转债</v>
      </c>
      <c r="C4" s="8">
        <f>RTD("wdf.rtq", ,A4, "LastPrice","RT_Price")</f>
        <v>120.34</v>
      </c>
      <c r="D4" s="8">
        <f>Data!L4</f>
        <v>91.244200000000006</v>
      </c>
      <c r="E4" t="str">
        <f>Data!E4</f>
        <v>600031.SH</v>
      </c>
      <c r="F4" t="str">
        <f>Data!F4</f>
        <v>三一重工</v>
      </c>
      <c r="G4" s="7">
        <f>RTD("wdf.rtq", ,E4, "LastPrice","RT_Price")</f>
        <v>7.94</v>
      </c>
      <c r="H4" s="7">
        <f>Data!H4</f>
        <v>7.45</v>
      </c>
      <c r="I4" s="2">
        <f>Data!J4</f>
        <v>0.28923824872665099</v>
      </c>
      <c r="J4" s="2">
        <f t="shared" si="0"/>
        <v>0.28923824872665099</v>
      </c>
      <c r="K4" s="6">
        <f>BlackScholes(G4,H4,0.015,Data!I4,0,J4,"C",0,0)*100/H4</f>
        <v>30.283889400238451</v>
      </c>
      <c r="L4" s="6">
        <f t="shared" si="1"/>
        <v>121.52808940023846</v>
      </c>
      <c r="M4" s="2">
        <f t="shared" si="2"/>
        <v>-9.7762534250466215E-3</v>
      </c>
      <c r="N4" s="2">
        <f>IF(Data!V4=0,"",Data!V4)</f>
        <v>8.0595002973728198E-3</v>
      </c>
      <c r="O4" s="2">
        <f>IF(Data!W4=0,"",Data!W4)</f>
        <v>3.6008905242553103E-2</v>
      </c>
      <c r="P4" s="2">
        <f t="shared" si="3"/>
        <v>0.3101888644793952</v>
      </c>
      <c r="Q4" s="5">
        <f>BlackScholes(G4,H4,0.015,Data!I4,0,J4,"C",0,1)</f>
        <v>0.69526519848117008</v>
      </c>
      <c r="R4" s="3">
        <f t="shared" si="4"/>
        <v>9.332418771559329</v>
      </c>
      <c r="S4" t="str">
        <f t="shared" si="5"/>
        <v>1203:741</v>
      </c>
    </row>
    <row r="5" spans="1:19" x14ac:dyDescent="0.15">
      <c r="A5" t="str">
        <f>Data!B5</f>
        <v>110033.SH</v>
      </c>
      <c r="B5" t="str">
        <f>Data!C5</f>
        <v>国贸转债</v>
      </c>
      <c r="C5" s="8">
        <f>RTD("wdf.rtq", ,A5, "LastPrice","RT_Price")</f>
        <v>127.8</v>
      </c>
      <c r="D5" s="8">
        <f>Data!L5</f>
        <v>92.863500000000002</v>
      </c>
      <c r="E5" t="str">
        <f>Data!E5</f>
        <v>600755.SH</v>
      </c>
      <c r="F5" t="str">
        <f>Data!F5</f>
        <v>厦门国贸</v>
      </c>
      <c r="G5" s="7">
        <f>RTD("wdf.rtq", ,E5, "LastPrice","RT_Price")</f>
        <v>10.870000000000001</v>
      </c>
      <c r="H5" s="7">
        <f>Data!H5</f>
        <v>8.81</v>
      </c>
      <c r="I5" s="2">
        <f>Data!J5</f>
        <v>0.44066093070120399</v>
      </c>
      <c r="J5" s="2">
        <f t="shared" si="0"/>
        <v>0.44066093070120399</v>
      </c>
      <c r="K5" s="6">
        <f>BlackScholes(G5,H5,0.015,Data!I5,0,J5,"C",0,0)*100/H5</f>
        <v>54.290740820143284</v>
      </c>
      <c r="L5" s="6">
        <f t="shared" si="1"/>
        <v>147.15424082014329</v>
      </c>
      <c r="M5" s="2">
        <f t="shared" si="2"/>
        <v>-0.13152350018779735</v>
      </c>
      <c r="N5" s="2">
        <f>IF(Data!V5=0,"",Data!V5)</f>
        <v>-2.3187198012618E-2</v>
      </c>
      <c r="O5" s="2">
        <f>IF(Data!W5=0,"",Data!W5)</f>
        <v>5.15526931635664E-2</v>
      </c>
      <c r="P5" s="2">
        <f t="shared" si="3"/>
        <v>1.7799980006529312E-2</v>
      </c>
      <c r="Q5" s="5">
        <f>BlackScholes(G5,H5,0.015,Data!I5,0,J5,"C",0,1)</f>
        <v>0.77480261042163512</v>
      </c>
      <c r="R5" s="3">
        <f t="shared" si="4"/>
        <v>8.7945812760685023</v>
      </c>
      <c r="S5" t="str">
        <f t="shared" si="5"/>
        <v>1278:956</v>
      </c>
    </row>
    <row r="6" spans="1:19" x14ac:dyDescent="0.15">
      <c r="A6" t="str">
        <f>Data!B6</f>
        <v>110034.SH</v>
      </c>
      <c r="B6" t="str">
        <f>Data!C6</f>
        <v>九州转债</v>
      </c>
      <c r="C6" s="8">
        <f>RTD("wdf.rtq", ,A6, "LastPrice","RT_Price")</f>
        <v>127</v>
      </c>
      <c r="D6" s="8">
        <f>Data!L6</f>
        <v>91.647800000000004</v>
      </c>
      <c r="E6" t="str">
        <f>Data!E6</f>
        <v>600998.SH</v>
      </c>
      <c r="F6" t="str">
        <f>Data!F6</f>
        <v>九州通</v>
      </c>
      <c r="G6" s="7">
        <f>RTD("wdf.rtq", ,E6, "LastPrice","RT_Price")</f>
        <v>21.37</v>
      </c>
      <c r="H6" s="7">
        <f>Data!H6</f>
        <v>18.649999999999999</v>
      </c>
      <c r="I6" s="2">
        <f>Data!J6</f>
        <v>0.20060361771076399</v>
      </c>
      <c r="J6" s="2">
        <f t="shared" si="0"/>
        <v>0.20060361771076399</v>
      </c>
      <c r="K6" s="6">
        <f>BlackScholes(G6,H6,0.015,Data!I6,0,J6,"C",0,0)*100/H6</f>
        <v>29.371619322390107</v>
      </c>
      <c r="L6" s="6">
        <f t="shared" si="1"/>
        <v>121.01941932239011</v>
      </c>
      <c r="M6" s="2">
        <f t="shared" si="2"/>
        <v>4.9418355426726235E-2</v>
      </c>
      <c r="N6" s="2">
        <f>IF(Data!V6=0,"",Data!V6)</f>
        <v>6.3813712127018E-3</v>
      </c>
      <c r="O6" s="2">
        <f>IF(Data!W6=0,"",Data!W6)</f>
        <v>5.1674146311372501E-2</v>
      </c>
      <c r="P6" s="2">
        <f t="shared" si="3"/>
        <v>0.79753626997046367</v>
      </c>
      <c r="Q6" s="5">
        <f>BlackScholes(G6,H6,0.015,Data!I6,0,J6,"C",0,1)</f>
        <v>0.75494335930313983</v>
      </c>
      <c r="R6" s="3">
        <f t="shared" si="4"/>
        <v>4.0479536691857367</v>
      </c>
      <c r="S6" t="str">
        <f t="shared" si="5"/>
        <v>1270:865</v>
      </c>
    </row>
    <row r="7" spans="1:19" x14ac:dyDescent="0.15">
      <c r="A7" t="str">
        <f>Data!B7</f>
        <v>113008.SH</v>
      </c>
      <c r="B7" t="str">
        <f>Data!C7</f>
        <v>电气转债</v>
      </c>
      <c r="C7" s="8">
        <f>RTD("wdf.rtq", ,A7, "LastPrice","RT_Price")</f>
        <v>107.71000000000001</v>
      </c>
      <c r="D7" s="8">
        <f>Data!L7</f>
        <v>95.252200000000002</v>
      </c>
      <c r="E7" t="str">
        <f>Data!E7</f>
        <v>601727.SH</v>
      </c>
      <c r="F7" t="str">
        <f>Data!F7</f>
        <v>上海电气</v>
      </c>
      <c r="G7" s="7">
        <f>RTD("wdf.rtq", ,E7, "LastPrice","RT_Price")</f>
        <v>8.0500000000000007</v>
      </c>
      <c r="H7" s="7">
        <f>Data!H7</f>
        <v>10.65</v>
      </c>
      <c r="I7" s="2">
        <f>Data!J7</f>
        <v>0.331874088611681</v>
      </c>
      <c r="J7" s="2">
        <f t="shared" si="0"/>
        <v>0.331874088611681</v>
      </c>
      <c r="K7" s="6">
        <f>BlackScholes(G7,H7,0.015,Data!I7,0,J7,"C",0,0)*100/H7</f>
        <v>11.842578340352762</v>
      </c>
      <c r="L7" s="6">
        <f t="shared" si="1"/>
        <v>107.09477834035276</v>
      </c>
      <c r="M7" s="2">
        <f t="shared" si="2"/>
        <v>5.7446466502040217E-3</v>
      </c>
      <c r="N7" s="2">
        <f>IF(Data!V7=0,"",Data!V7)</f>
        <v>-6.6449537088008603E-2</v>
      </c>
      <c r="O7" s="2">
        <f>IF(Data!W7=0,"",Data!W7)</f>
        <v>7.7228303039779206E-2</v>
      </c>
      <c r="P7" s="2">
        <f t="shared" si="3"/>
        <v>0.82505820151293519</v>
      </c>
      <c r="Q7" s="5">
        <f>BlackScholes(G7,H7,0.015,Data!I7,0,J7,"C",0,1)</f>
        <v>0.46781445638646291</v>
      </c>
      <c r="R7" s="3">
        <f t="shared" si="4"/>
        <v>4.3926240036287592</v>
      </c>
      <c r="S7" t="str">
        <f t="shared" si="5"/>
        <v>1077:354</v>
      </c>
    </row>
    <row r="8" spans="1:19" x14ac:dyDescent="0.15">
      <c r="A8" t="str">
        <f>Data!B8</f>
        <v>113009.SH</v>
      </c>
      <c r="B8" t="str">
        <f>Data!C8</f>
        <v>广汽转债</v>
      </c>
      <c r="C8" s="8">
        <f>RTD("wdf.rtq", ,A8, "LastPrice","RT_Price")</f>
        <v>132.30000000000001</v>
      </c>
      <c r="D8" s="8">
        <f>Data!L8</f>
        <v>90.930999999999997</v>
      </c>
      <c r="E8" t="str">
        <f>Data!E8</f>
        <v>601238.SH</v>
      </c>
      <c r="F8" t="str">
        <f>Data!F8</f>
        <v>广汽集团</v>
      </c>
      <c r="G8" s="7">
        <f>RTD("wdf.rtq", ,E8, "LastPrice","RT_Price")</f>
        <v>27.990000000000002</v>
      </c>
      <c r="H8" s="7">
        <f>Data!H8</f>
        <v>21.43</v>
      </c>
      <c r="I8" s="2">
        <f>Data!J8</f>
        <v>0.217251720155306</v>
      </c>
      <c r="J8" s="2">
        <f t="shared" si="0"/>
        <v>0.217251720155306</v>
      </c>
      <c r="K8" s="6">
        <f>BlackScholes(G8,H8,0.015,Data!I8,0,J8,"C",0,0)*100/H8</f>
        <v>43.377238169785059</v>
      </c>
      <c r="L8" s="6">
        <f t="shared" si="1"/>
        <v>134.30823816978506</v>
      </c>
      <c r="M8" s="2">
        <f t="shared" si="2"/>
        <v>-1.4952457102790251E-2</v>
      </c>
      <c r="N8" s="2">
        <f>IF(Data!V8=0,"",Data!V8)</f>
        <v>-4.3892526700329802E-2</v>
      </c>
      <c r="O8" s="2">
        <f>IF(Data!W8=0,"",Data!W8)</f>
        <v>2.89177230182107E-2</v>
      </c>
      <c r="P8" s="2">
        <f t="shared" si="3"/>
        <v>0.84153166011898373</v>
      </c>
      <c r="Q8" s="5">
        <f>BlackScholes(G8,H8,0.015,Data!I8,0,J8,"C",0,1)</f>
        <v>0.8319817954724642</v>
      </c>
      <c r="R8" s="3">
        <f t="shared" si="4"/>
        <v>3.8823228906787879</v>
      </c>
      <c r="S8" t="str">
        <f t="shared" si="5"/>
        <v>1323:1087</v>
      </c>
    </row>
    <row r="9" spans="1:19" x14ac:dyDescent="0.15">
      <c r="A9" t="str">
        <f>Data!B9</f>
        <v>113010.SH</v>
      </c>
      <c r="B9" t="str">
        <f>Data!C9</f>
        <v>江南转债</v>
      </c>
      <c r="C9" s="8">
        <f>RTD("wdf.rtq", ,A9, "LastPrice","RT_Price")</f>
        <v>106.02</v>
      </c>
      <c r="D9" s="8">
        <f>Data!L9</f>
        <v>92.158100000000005</v>
      </c>
      <c r="E9" t="str">
        <f>Data!E9</f>
        <v>601199.SH</v>
      </c>
      <c r="F9" t="str">
        <f>Data!F9</f>
        <v>江南水务</v>
      </c>
      <c r="G9" s="7">
        <f>RTD("wdf.rtq", ,E9, "LastPrice","RT_Price")</f>
        <v>6.44</v>
      </c>
      <c r="H9" s="7">
        <f>Data!H9</f>
        <v>9.3000000000000007</v>
      </c>
      <c r="I9" s="2">
        <f>Data!J9</f>
        <v>0.16813808207195499</v>
      </c>
      <c r="J9" s="2">
        <f t="shared" si="0"/>
        <v>0.16813808207195499</v>
      </c>
      <c r="K9" s="6">
        <f>BlackScholes(G9,H9,0.015,Data!I9,0,J9,"C",0,0)*100/H9</f>
        <v>3.0889128053783481</v>
      </c>
      <c r="L9" s="6">
        <f t="shared" si="1"/>
        <v>95.247012805378347</v>
      </c>
      <c r="M9" s="2">
        <f t="shared" si="2"/>
        <v>0.11310577494576646</v>
      </c>
      <c r="N9" s="2">
        <f>IF(Data!V9=0,"",Data!V9)</f>
        <v>4.6830902166884701E-2</v>
      </c>
      <c r="O9" s="2">
        <f>IF(Data!W9=0,"",Data!W9)</f>
        <v>4.5104240814646403E-2</v>
      </c>
      <c r="P9" s="2">
        <f t="shared" si="3"/>
        <v>0.92913393375627684</v>
      </c>
      <c r="Q9" s="5">
        <f>BlackScholes(G9,H9,0.015,Data!I9,0,J9,"C",0,1)</f>
        <v>0.24975043601816643</v>
      </c>
      <c r="R9" s="3">
        <f t="shared" si="4"/>
        <v>2.685488559335123</v>
      </c>
      <c r="S9" t="str">
        <f t="shared" si="5"/>
        <v>1060:173</v>
      </c>
    </row>
    <row r="10" spans="1:19" x14ac:dyDescent="0.15">
      <c r="A10" t="str">
        <f>Data!B10</f>
        <v>113011.SH</v>
      </c>
      <c r="B10" t="str">
        <f>Data!C10</f>
        <v>光大转债</v>
      </c>
      <c r="C10" s="8">
        <f>RTD("wdf.rtq", ,A10, "LastPrice","RT_Price")</f>
        <v>112.7</v>
      </c>
      <c r="D10" s="8">
        <f>Data!L10</f>
        <v>85.589200000000005</v>
      </c>
      <c r="E10" t="str">
        <f>Data!E10</f>
        <v>601818.SH</v>
      </c>
      <c r="F10" t="str">
        <f>Data!F10</f>
        <v>光大银行</v>
      </c>
      <c r="G10" s="7">
        <f>RTD("wdf.rtq", ,E10, "LastPrice","RT_Price")</f>
        <v>4.1100000000000003</v>
      </c>
      <c r="H10" s="7">
        <f>Data!H10</f>
        <v>4.26</v>
      </c>
      <c r="I10" s="2">
        <f>Data!J10</f>
        <v>0.13366244312852399</v>
      </c>
      <c r="J10" s="2">
        <f t="shared" si="0"/>
        <v>0.13366244312852399</v>
      </c>
      <c r="K10" s="6">
        <f>BlackScholes(G10,H10,0.015,Data!I10,0,J10,"C",0,0)*100/H10</f>
        <v>13.926059080292562</v>
      </c>
      <c r="L10" s="6">
        <f t="shared" si="1"/>
        <v>99.515259080292566</v>
      </c>
      <c r="M10" s="2">
        <f t="shared" si="2"/>
        <v>0.13248964069992031</v>
      </c>
      <c r="N10" s="2">
        <f>IF(Data!V10=0,"",Data!V10)</f>
        <v>9.3555735231634504E-2</v>
      </c>
      <c r="O10" s="2">
        <f>IF(Data!W10=0,"",Data!W10)</f>
        <v>3.5068352284490102E-2</v>
      </c>
      <c r="P10" s="2">
        <f t="shared" si="3"/>
        <v>0.8665498436227107</v>
      </c>
      <c r="Q10" s="5">
        <f>BlackScholes(G10,H10,0.015,Data!I10,0,J10,"C",0,1)</f>
        <v>0.6184945468059313</v>
      </c>
      <c r="R10" s="3">
        <f t="shared" si="4"/>
        <v>14.518651333472565</v>
      </c>
      <c r="S10" t="str">
        <f t="shared" si="5"/>
        <v>1127:597</v>
      </c>
    </row>
    <row r="11" spans="1:19" x14ac:dyDescent="0.15">
      <c r="A11" t="str">
        <f>Data!B11</f>
        <v>113012.SH</v>
      </c>
      <c r="B11" t="str">
        <f>Data!C11</f>
        <v>骆驼转债</v>
      </c>
      <c r="C11" s="8">
        <f>RTD("wdf.rtq", ,A11, "LastPrice","RT_Price")</f>
        <v>112.8</v>
      </c>
      <c r="D11" s="8">
        <f>Data!L11</f>
        <v>85.282300000000006</v>
      </c>
      <c r="E11" t="str">
        <f>Data!E11</f>
        <v>601311.SH</v>
      </c>
      <c r="F11" t="str">
        <f>Data!F11</f>
        <v>骆驼股份</v>
      </c>
      <c r="G11" s="7">
        <f>RTD("wdf.rtq", ,E11, "LastPrice","RT_Price")</f>
        <v>14.870000000000001</v>
      </c>
      <c r="H11" s="7">
        <f>Data!H11</f>
        <v>16.72</v>
      </c>
      <c r="I11" s="2">
        <f>Data!J11</f>
        <v>0.26531896007091299</v>
      </c>
      <c r="J11" s="2">
        <f t="shared" si="0"/>
        <v>0.26531896007091299</v>
      </c>
      <c r="K11" s="6">
        <f>BlackScholes(G11,H11,0.015,Data!I11,0,J11,"C",0,0)*100/H11</f>
        <v>20.41542103822939</v>
      </c>
      <c r="L11" s="6">
        <f t="shared" si="1"/>
        <v>105.69772103822939</v>
      </c>
      <c r="M11" s="2">
        <f t="shared" si="2"/>
        <v>6.71942487691084E-2</v>
      </c>
      <c r="N11" s="2">
        <f>IF(Data!V11=0,"",Data!V11)</f>
        <v>7.0521203815083006E-2</v>
      </c>
      <c r="O11" s="2">
        <f>IF(Data!W11=0,"",Data!W11)</f>
        <v>4.0352493948598397E-2</v>
      </c>
      <c r="P11" s="2">
        <f t="shared" si="3"/>
        <v>0.46714550345687766</v>
      </c>
      <c r="Q11" s="5">
        <f>BlackScholes(G11,H11,0.015,Data!I11,0,J11,"C",0,1)</f>
        <v>0.59931948670620194</v>
      </c>
      <c r="R11" s="3">
        <f t="shared" si="4"/>
        <v>3.5844466908265669</v>
      </c>
      <c r="S11" t="str">
        <f t="shared" si="5"/>
        <v>1128:533</v>
      </c>
    </row>
    <row r="12" spans="1:19" x14ac:dyDescent="0.15">
      <c r="A12" t="str">
        <f>Data!B12</f>
        <v>113013.SH</v>
      </c>
      <c r="B12" t="str">
        <f>Data!C12</f>
        <v>国君转债</v>
      </c>
      <c r="C12" s="8">
        <f>RTD("wdf.rtq", ,A12, "LastPrice","RT_Price")</f>
        <v>124.60000000000001</v>
      </c>
      <c r="D12" s="8">
        <f>Data!L12</f>
        <v>84.276200000000003</v>
      </c>
      <c r="E12" t="str">
        <f>Data!E12</f>
        <v>601211.SH</v>
      </c>
      <c r="F12" t="str">
        <f>Data!F12</f>
        <v>国泰君安</v>
      </c>
      <c r="G12" s="7">
        <f>RTD("wdf.rtq", ,E12, "LastPrice","RT_Price")</f>
        <v>21.18</v>
      </c>
      <c r="H12" s="7">
        <f>Data!H12</f>
        <v>20.2</v>
      </c>
      <c r="I12" s="2">
        <f>Data!J12</f>
        <v>0.20316940511124201</v>
      </c>
      <c r="J12" s="2">
        <f t="shared" si="0"/>
        <v>0.20316940511124201</v>
      </c>
      <c r="K12" s="6">
        <f>BlackScholes(G12,H12,0.015,Data!I12,0,J12,"C",0,0)*100/H12</f>
        <v>26.102010500123644</v>
      </c>
      <c r="L12" s="6">
        <f t="shared" si="1"/>
        <v>110.37821050012364</v>
      </c>
      <c r="M12" s="2">
        <f t="shared" si="2"/>
        <v>0.12884598722372331</v>
      </c>
      <c r="N12" s="2">
        <f>IF(Data!V12=0,"",Data!V12)</f>
        <v>0.14718155484840001</v>
      </c>
      <c r="O12" s="2">
        <f>IF(Data!W12=0,"",Data!W12)</f>
        <v>2.21144440657874E-2</v>
      </c>
      <c r="P12" s="2">
        <f t="shared" si="3"/>
        <v>0.20351774516976784</v>
      </c>
      <c r="Q12" s="5">
        <f>BlackScholes(G12,H12,0.015,Data!I12,0,J12,"C",0,1)</f>
        <v>0.69744598283485149</v>
      </c>
      <c r="R12" s="3">
        <f t="shared" si="4"/>
        <v>3.4527028853210471</v>
      </c>
      <c r="S12" t="str">
        <f t="shared" si="5"/>
        <v>1246:731</v>
      </c>
    </row>
    <row r="13" spans="1:19" x14ac:dyDescent="0.15">
      <c r="A13" t="str">
        <f>Data!B13</f>
        <v>120001.SZ</v>
      </c>
      <c r="B13" t="str">
        <f>Data!C13</f>
        <v>16以岭EB</v>
      </c>
      <c r="C13" s="8">
        <f>RTD("wdf.rtq", ,A13, "LastPrice","RT_Price")</f>
        <v>107.8</v>
      </c>
      <c r="D13" s="8">
        <f>Data!L13</f>
        <v>94.605500000000006</v>
      </c>
      <c r="E13" t="str">
        <f>Data!E13</f>
        <v>002603.SZ</v>
      </c>
      <c r="F13" t="str">
        <f>Data!F13</f>
        <v>以岭药业</v>
      </c>
      <c r="G13" s="7">
        <f>RTD("wdf.rtq", ,E13, "LastPrice","RT_Price")</f>
        <v>16.75</v>
      </c>
      <c r="H13" s="7">
        <f>Data!H13</f>
        <v>17.8</v>
      </c>
      <c r="I13" s="2">
        <f>Data!J13</f>
        <v>0.17230736827773599</v>
      </c>
      <c r="J13" s="2">
        <f t="shared" si="0"/>
        <v>0.17230736827773599</v>
      </c>
      <c r="K13" s="6">
        <f>BlackScholes(G13,H13,0.015,Data!I13,0,J13,"C",0,0)*100/H13</f>
        <v>11.723086659551422</v>
      </c>
      <c r="L13" s="6">
        <f t="shared" si="1"/>
        <v>106.32858665955143</v>
      </c>
      <c r="M13" s="2">
        <f t="shared" si="2"/>
        <v>1.3838360752032042E-2</v>
      </c>
      <c r="N13" s="2">
        <f>IF(Data!V13=0,"",Data!V13)</f>
        <v>-1.05033758473693E-3</v>
      </c>
      <c r="O13" s="2">
        <f>IF(Data!W13=0,"",Data!W13)</f>
        <v>2.0379870482582999E-2</v>
      </c>
      <c r="P13" s="2">
        <f t="shared" si="3"/>
        <v>0.76747572660675567</v>
      </c>
      <c r="Q13" s="5">
        <f>BlackScholes(G13,H13,0.015,Data!I13,0,J13,"C",0,1)</f>
        <v>0.55400950793263781</v>
      </c>
      <c r="R13" s="3">
        <f t="shared" si="4"/>
        <v>3.1124129659136957</v>
      </c>
      <c r="S13" t="str">
        <f t="shared" si="5"/>
        <v>1078:521</v>
      </c>
    </row>
    <row r="14" spans="1:19" x14ac:dyDescent="0.15">
      <c r="A14" t="str">
        <f>Data!B14</f>
        <v>123001.SZ</v>
      </c>
      <c r="B14" t="str">
        <f>Data!C14</f>
        <v>蓝标转债</v>
      </c>
      <c r="C14" s="8">
        <f>RTD("wdf.rtq", ,A14, "LastPrice","RT_Price")</f>
        <v>104.355</v>
      </c>
      <c r="D14" s="8">
        <f>Data!L14</f>
        <v>93.562899999999999</v>
      </c>
      <c r="E14" t="str">
        <f>Data!E14</f>
        <v>300058.SZ</v>
      </c>
      <c r="F14" t="str">
        <f>Data!F14</f>
        <v>蓝色光标</v>
      </c>
      <c r="G14" s="7">
        <f>RTD("wdf.rtq", ,E14, "LastPrice","RT_Price")</f>
        <v>7.21</v>
      </c>
      <c r="H14" s="7">
        <f>Data!H14</f>
        <v>9.77</v>
      </c>
      <c r="I14" s="2">
        <f>Data!J14</f>
        <v>0.254797921952298</v>
      </c>
      <c r="J14" s="2">
        <f t="shared" si="0"/>
        <v>0.254797921952298</v>
      </c>
      <c r="K14" s="6">
        <f>BlackScholes(G14,H14,0.015,Data!I14,0,J14,"C",0,0)*100/H14</f>
        <v>8.9193918778679997</v>
      </c>
      <c r="L14" s="6">
        <f t="shared" si="1"/>
        <v>102.48229187786799</v>
      </c>
      <c r="M14" s="2">
        <f t="shared" si="2"/>
        <v>1.8273480108776052E-2</v>
      </c>
      <c r="N14" s="2">
        <f>IF(Data!V14=0,"",Data!V14)</f>
        <v>3.6466526380744303E-2</v>
      </c>
      <c r="O14" s="2">
        <f>IF(Data!W14=0,"",Data!W14)</f>
        <v>3.2794118852470501E-2</v>
      </c>
      <c r="P14" s="2">
        <f t="shared" si="3"/>
        <v>0.2895275283951555</v>
      </c>
      <c r="Q14" s="5">
        <f>BlackScholes(G14,H14,0.015,Data!I14,0,J14,"C",0,1)</f>
        <v>0.41949210838924883</v>
      </c>
      <c r="R14" s="3">
        <f t="shared" si="4"/>
        <v>4.2936756232267026</v>
      </c>
      <c r="S14" t="str">
        <f t="shared" si="5"/>
        <v>1044:310</v>
      </c>
    </row>
    <row r="15" spans="1:19" x14ac:dyDescent="0.15">
      <c r="A15" t="str">
        <f>Data!B15</f>
        <v>127003.SZ</v>
      </c>
      <c r="B15" t="str">
        <f>Data!C15</f>
        <v>海印转债</v>
      </c>
      <c r="C15" s="8">
        <f>RTD("wdf.rtq", ,A15, "LastPrice","RT_Price")</f>
        <v>102.35000000000001</v>
      </c>
      <c r="D15" s="8">
        <f>Data!L15</f>
        <v>92.960599999999999</v>
      </c>
      <c r="E15" t="str">
        <f>Data!E15</f>
        <v>000861.SZ</v>
      </c>
      <c r="F15" t="str">
        <f>Data!F15</f>
        <v>海印股份</v>
      </c>
      <c r="G15" s="7">
        <f>RTD("wdf.rtq", ,E15, "LastPrice","RT_Price")</f>
        <v>3.75</v>
      </c>
      <c r="H15" s="7">
        <f>Data!H15</f>
        <v>5.25</v>
      </c>
      <c r="I15" s="2">
        <f>Data!J15</f>
        <v>0.20339324582597401</v>
      </c>
      <c r="J15" s="2">
        <f t="shared" si="0"/>
        <v>0.20339324582597401</v>
      </c>
      <c r="K15" s="6">
        <f>BlackScholes(G15,H15,0.015,Data!I15,0,J15,"C",0,0)*100/H15</f>
        <v>5.8737373868486671</v>
      </c>
      <c r="L15" s="6">
        <f t="shared" si="1"/>
        <v>98.834337386848659</v>
      </c>
      <c r="M15" s="2">
        <f t="shared" si="2"/>
        <v>3.5571267093041259E-2</v>
      </c>
      <c r="N15" s="2">
        <f>IF(Data!V15=0,"",Data!V15)</f>
        <v>1.1454171679533399E-2</v>
      </c>
      <c r="O15" s="2">
        <f>IF(Data!W15=0,"",Data!W15)</f>
        <v>3.6986577569998701E-2</v>
      </c>
      <c r="P15" s="2">
        <f t="shared" si="3"/>
        <v>0.74281551942149426</v>
      </c>
      <c r="Q15" s="5">
        <f>BlackScholes(G15,H15,0.015,Data!I15,0,J15,"C",0,1)</f>
        <v>0.34846063857957466</v>
      </c>
      <c r="R15" s="3">
        <f t="shared" si="4"/>
        <v>6.6373454967538033</v>
      </c>
      <c r="S15" t="str">
        <f t="shared" si="5"/>
        <v>1024:249</v>
      </c>
    </row>
    <row r="16" spans="1:19" x14ac:dyDescent="0.15">
      <c r="A16" t="str">
        <f>Data!B16</f>
        <v>127004.SZ</v>
      </c>
      <c r="B16" t="str">
        <f>Data!C16</f>
        <v>模塑转债</v>
      </c>
      <c r="C16" s="8">
        <f>RTD("wdf.rtq", ,A16, "LastPrice","RT_Price")</f>
        <v>109.06</v>
      </c>
      <c r="D16" s="8">
        <f>Data!L16</f>
        <v>89.078500000000005</v>
      </c>
      <c r="E16" t="str">
        <f>Data!E16</f>
        <v>000700.SZ</v>
      </c>
      <c r="F16" t="str">
        <f>Data!F16</f>
        <v>模塑科技</v>
      </c>
      <c r="G16" s="7">
        <f>RTD("wdf.rtq", ,E16, "LastPrice","RT_Price")</f>
        <v>6.98</v>
      </c>
      <c r="H16" s="7">
        <f>Data!H16</f>
        <v>8</v>
      </c>
      <c r="I16" s="2">
        <f>Data!J16</f>
        <v>0.30332148688218302</v>
      </c>
      <c r="J16" s="2">
        <f t="shared" si="0"/>
        <v>0.30332148688218302</v>
      </c>
      <c r="K16" s="6">
        <f>BlackScholes(G16,H16,0.015,Data!I16,0,J16,"C",0,0)*100/H16</f>
        <v>22.907268929084317</v>
      </c>
      <c r="L16" s="6">
        <f t="shared" si="1"/>
        <v>111.98576892908432</v>
      </c>
      <c r="M16" s="2">
        <f t="shared" si="2"/>
        <v>-2.6126256550839777E-2</v>
      </c>
      <c r="N16" s="2">
        <f>IF(Data!V16=0,"",Data!V16)</f>
        <v>-1.9634603836758802E-2</v>
      </c>
      <c r="O16" s="2">
        <f>IF(Data!W16=0,"",Data!W16)</f>
        <v>1.4237023938130099E-2</v>
      </c>
      <c r="P16" s="2">
        <f t="shared" si="3"/>
        <v>0.32420585369523858</v>
      </c>
      <c r="Q16" s="5">
        <f>BlackScholes(G16,H16,0.015,Data!I16,0,J16,"C",0,1)</f>
        <v>0.61316709181650375</v>
      </c>
      <c r="R16" s="3">
        <f t="shared" si="4"/>
        <v>7.6645886477062968</v>
      </c>
      <c r="S16" t="str">
        <f t="shared" si="5"/>
        <v>1091:535</v>
      </c>
    </row>
    <row r="17" spans="1:19" x14ac:dyDescent="0.15">
      <c r="A17" t="str">
        <f>Data!B17</f>
        <v>128010.SZ</v>
      </c>
      <c r="B17" t="str">
        <f>Data!C17</f>
        <v>顺昌转债</v>
      </c>
      <c r="C17" s="8">
        <f>RTD("wdf.rtq", ,A17, "LastPrice","RT_Price")</f>
        <v>117.57900000000001</v>
      </c>
      <c r="D17" s="8">
        <f>Data!L17</f>
        <v>92.943600000000004</v>
      </c>
      <c r="E17" t="str">
        <f>Data!E17</f>
        <v>002245.SZ</v>
      </c>
      <c r="F17" t="str">
        <f>Data!F17</f>
        <v>澳洋顺昌</v>
      </c>
      <c r="G17" s="7">
        <f>RTD("wdf.rtq", ,E17, "LastPrice","RT_Price")</f>
        <v>8.870000000000001</v>
      </c>
      <c r="H17" s="7">
        <f>Data!H17</f>
        <v>9.32</v>
      </c>
      <c r="I17" s="2">
        <f>Data!J17</f>
        <v>0.29766239112889598</v>
      </c>
      <c r="J17" s="2">
        <f t="shared" si="0"/>
        <v>0.29766239112889598</v>
      </c>
      <c r="K17" s="6">
        <f>BlackScholes(G17,H17,0.015,Data!I17,0,J17,"C",0,0)*100/H17</f>
        <v>23.516801133989144</v>
      </c>
      <c r="L17" s="6">
        <f t="shared" si="1"/>
        <v>116.46040113398915</v>
      </c>
      <c r="M17" s="2">
        <f t="shared" si="2"/>
        <v>9.6049717768351695E-3</v>
      </c>
      <c r="N17" s="2">
        <f>IF(Data!V17=0,"",Data!V17)</f>
        <v>-4.39329518253802E-2</v>
      </c>
      <c r="O17" s="2">
        <f>IF(Data!W17=0,"",Data!W17)</f>
        <v>4.9162032053867197E-2</v>
      </c>
      <c r="P17" s="2">
        <f t="shared" si="3"/>
        <v>0.86192516820811316</v>
      </c>
      <c r="Q17" s="5">
        <f>BlackScholes(G17,H17,0.015,Data!I17,0,J17,"C",0,1)</f>
        <v>0.62974768136014025</v>
      </c>
      <c r="R17" s="3">
        <f t="shared" si="4"/>
        <v>6.7569493708169555</v>
      </c>
      <c r="S17" t="str">
        <f t="shared" si="5"/>
        <v>1176:599</v>
      </c>
    </row>
    <row r="18" spans="1:19" x14ac:dyDescent="0.15">
      <c r="A18" t="str">
        <f>Data!B18</f>
        <v>128012.SZ</v>
      </c>
      <c r="B18" t="str">
        <f>Data!C18</f>
        <v>辉丰转债</v>
      </c>
      <c r="C18" s="8">
        <f>RTD("wdf.rtq", ,A18, "LastPrice","RT_Price")</f>
        <v>104.95700000000001</v>
      </c>
      <c r="D18" s="8">
        <f>Data!L18</f>
        <v>87.282499999999999</v>
      </c>
      <c r="E18" t="str">
        <f>Data!E18</f>
        <v>002496.SZ</v>
      </c>
      <c r="F18" t="str">
        <f>Data!F18</f>
        <v>辉丰股份</v>
      </c>
      <c r="G18" s="7">
        <f>RTD("wdf.rtq", ,E18, "LastPrice","RT_Price")</f>
        <v>5.75</v>
      </c>
      <c r="H18" s="7">
        <f>Data!H18</f>
        <v>7.74</v>
      </c>
      <c r="I18" s="2">
        <f>Data!J18</f>
        <v>0.27908124321689698</v>
      </c>
      <c r="J18" s="2">
        <f t="shared" si="0"/>
        <v>0.27908124321689698</v>
      </c>
      <c r="K18" s="6">
        <f>BlackScholes(G18,H18,0.015,Data!I18,0,J18,"C",0,0)*100/H18</f>
        <v>11.366196782702007</v>
      </c>
      <c r="L18" s="6">
        <f t="shared" si="1"/>
        <v>98.648696782702004</v>
      </c>
      <c r="M18" s="2">
        <f t="shared" si="2"/>
        <v>6.3947152096632376E-2</v>
      </c>
      <c r="N18" s="2">
        <f>IF(Data!V18=0,"",Data!V18)</f>
        <v>0.11982661797218799</v>
      </c>
      <c r="O18" s="2">
        <f>IF(Data!W18=0,"",Data!W18)</f>
        <v>4.1336250974250303E-2</v>
      </c>
      <c r="P18" s="2">
        <f t="shared" si="3"/>
        <v>8.8215310147570641E-2</v>
      </c>
      <c r="Q18" s="5">
        <f>BlackScholes(G18,H18,0.015,Data!I18,0,J18,"C",0,1)</f>
        <v>0.46388691240266883</v>
      </c>
      <c r="R18" s="3">
        <f t="shared" si="4"/>
        <v>5.9933709612747901</v>
      </c>
      <c r="S18" t="str">
        <f t="shared" si="5"/>
        <v>1050:345</v>
      </c>
    </row>
    <row r="19" spans="1:19" x14ac:dyDescent="0.15">
      <c r="A19" t="str">
        <f>Data!B19</f>
        <v>128013.SZ</v>
      </c>
      <c r="B19" t="str">
        <f>Data!C19</f>
        <v>洪涛转债</v>
      </c>
      <c r="C19" s="8">
        <f>RTD("wdf.rtq", ,A19, "LastPrice","RT_Price")</f>
        <v>101.761</v>
      </c>
      <c r="D19" s="8">
        <f>Data!L19</f>
        <v>90.717100000000002</v>
      </c>
      <c r="E19" t="str">
        <f>Data!E19</f>
        <v>002325.SZ</v>
      </c>
      <c r="F19" t="str">
        <f>Data!F19</f>
        <v>洪涛股份</v>
      </c>
      <c r="G19" s="7">
        <f>RTD("wdf.rtq", ,E19, "LastPrice","RT_Price")</f>
        <v>6.22</v>
      </c>
      <c r="H19" s="7">
        <f>Data!H19</f>
        <v>10.029999999999999</v>
      </c>
      <c r="I19" s="2">
        <f>Data!J19</f>
        <v>0.33195161338766399</v>
      </c>
      <c r="J19" s="2">
        <f t="shared" si="0"/>
        <v>0.33195161338766399</v>
      </c>
      <c r="K19" s="6">
        <f>BlackScholes(G19,H19,0.015,Data!I19,0,J19,"C",0,0)*100/H19</f>
        <v>9.5991480026989802</v>
      </c>
      <c r="L19" s="6">
        <f t="shared" si="1"/>
        <v>100.31624800269898</v>
      </c>
      <c r="M19" s="2">
        <f t="shared" si="2"/>
        <v>1.4401974017829611E-2</v>
      </c>
      <c r="N19" s="2">
        <f>IF(Data!V19=0,"",Data!V19)</f>
        <v>1.4010454152848901E-2</v>
      </c>
      <c r="O19" s="2">
        <f>IF(Data!W19=0,"",Data!W19)</f>
        <v>2.6119543725401699E-2</v>
      </c>
      <c r="P19" s="2">
        <f t="shared" si="3"/>
        <v>0.50597973611242875</v>
      </c>
      <c r="Q19" s="5">
        <f>BlackScholes(G19,H19,0.015,Data!I19,0,J19,"C",0,1)</f>
        <v>0.42223807493231286</v>
      </c>
      <c r="R19" s="3">
        <f t="shared" si="4"/>
        <v>4.2097514948386126</v>
      </c>
      <c r="S19" t="str">
        <f t="shared" si="5"/>
        <v>1018:262</v>
      </c>
    </row>
    <row r="20" spans="1:19" x14ac:dyDescent="0.15">
      <c r="A20" t="str">
        <f>Data!B20</f>
        <v>128014.SZ</v>
      </c>
      <c r="B20" t="str">
        <f>Data!C20</f>
        <v>永东转债</v>
      </c>
      <c r="C20" s="8">
        <f>RTD("wdf.rtq", ,A20, "LastPrice","RT_Price")</f>
        <v>117.2</v>
      </c>
      <c r="D20" s="8">
        <f>Data!L20</f>
        <v>88.097700000000003</v>
      </c>
      <c r="E20" t="str">
        <f>Data!E20</f>
        <v>002753.SZ</v>
      </c>
      <c r="F20" t="str">
        <f>Data!F20</f>
        <v>永东股份</v>
      </c>
      <c r="G20" s="7">
        <f>RTD("wdf.rtq", ,E20, "LastPrice","RT_Price")</f>
        <v>22.1</v>
      </c>
      <c r="H20" s="7">
        <f>Data!H20</f>
        <v>20.46</v>
      </c>
      <c r="I20" s="2">
        <f>Data!J20</f>
        <v>0.56336196616023704</v>
      </c>
      <c r="J20" s="2">
        <f t="shared" si="0"/>
        <v>0.56336196616023704</v>
      </c>
      <c r="K20" s="6">
        <f>BlackScholes(G20,H20,0.015,Data!I20,0,J20,"C",0,0)*100/H20</f>
        <v>57.421955225579765</v>
      </c>
      <c r="L20" s="6">
        <f t="shared" si="1"/>
        <v>145.51965522557975</v>
      </c>
      <c r="M20" s="2">
        <f t="shared" si="2"/>
        <v>-0.19461051623356007</v>
      </c>
      <c r="N20" s="2">
        <f>IF(Data!V20=0,"",Data!V20)</f>
        <v>-0.167205229511529</v>
      </c>
      <c r="O20" s="2">
        <f>IF(Data!W20=0,"",Data!W20)</f>
        <v>4.3752045950692001E-2</v>
      </c>
      <c r="P20" s="2">
        <f t="shared" si="3"/>
        <v>0.26553376023222497</v>
      </c>
      <c r="Q20" s="5">
        <f>BlackScholes(G20,H20,0.015,Data!I20,0,J20,"C",0,1)</f>
        <v>0.78275811454543842</v>
      </c>
      <c r="R20" s="3">
        <f t="shared" si="4"/>
        <v>3.8257972362924653</v>
      </c>
      <c r="S20" t="str">
        <f t="shared" si="5"/>
        <v>1172:846</v>
      </c>
    </row>
    <row r="21" spans="1:19" x14ac:dyDescent="0.15">
      <c r="A21" t="str">
        <f>Data!B21</f>
        <v>128015.SZ</v>
      </c>
      <c r="B21" t="str">
        <f>Data!C21</f>
        <v>久其转债</v>
      </c>
      <c r="C21" s="8">
        <f>RTD("wdf.rtq", ,A21, "LastPrice","RT_Price")</f>
        <v>114.813</v>
      </c>
      <c r="D21" s="8">
        <f>Data!L21</f>
        <v>86.601500000000001</v>
      </c>
      <c r="E21" t="str">
        <f>Data!E21</f>
        <v>002279.SZ</v>
      </c>
      <c r="F21" t="str">
        <f>Data!F21</f>
        <v>久其软件</v>
      </c>
      <c r="G21" s="7">
        <f>RTD("wdf.rtq", ,E21, "LastPrice","RT_Price")</f>
        <v>12.540000000000001</v>
      </c>
      <c r="H21" s="7">
        <f>Data!H21</f>
        <v>12.9</v>
      </c>
      <c r="I21" s="2">
        <f>Data!J21</f>
        <v>0.298553615502132</v>
      </c>
      <c r="J21" s="2">
        <f t="shared" si="0"/>
        <v>0.298553615502132</v>
      </c>
      <c r="K21" s="6">
        <f>BlackScholes(G21,H21,0.015,Data!I21,0,J21,"C",0,0)*100/H21</f>
        <v>28.947120826504033</v>
      </c>
      <c r="L21" s="6">
        <f t="shared" si="1"/>
        <v>115.54862082650403</v>
      </c>
      <c r="M21" s="2">
        <f t="shared" si="2"/>
        <v>-6.366331516916679E-3</v>
      </c>
      <c r="N21" s="2">
        <f>IF(Data!V21=0,"",Data!V21)</f>
        <v>-8.6273716944768302E-3</v>
      </c>
      <c r="O21" s="2">
        <f>IF(Data!W21=0,"",Data!W21)</f>
        <v>2.1702845166473798E-2</v>
      </c>
      <c r="P21" s="2">
        <f t="shared" si="3"/>
        <v>0.5414874378548995</v>
      </c>
      <c r="Q21" s="5">
        <f>BlackScholes(G21,H21,0.015,Data!I21,0,J21,"C",0,1)</f>
        <v>0.66790241305408604</v>
      </c>
      <c r="R21" s="3">
        <f t="shared" si="4"/>
        <v>5.177538085690589</v>
      </c>
      <c r="S21" t="str">
        <f t="shared" si="5"/>
        <v>1148:649</v>
      </c>
    </row>
    <row r="22" spans="1:19" x14ac:dyDescent="0.15">
      <c r="A22" t="str">
        <f>Data!B22</f>
        <v>132001.SH</v>
      </c>
      <c r="B22" t="str">
        <f>Data!C22</f>
        <v>14宝钢EB</v>
      </c>
      <c r="C22" s="8">
        <f>RTD("wdf.rtq", ,A22, "LastPrice","RT_Price")</f>
        <v>140</v>
      </c>
      <c r="D22" s="8">
        <f>Data!L22</f>
        <v>102.4066</v>
      </c>
      <c r="E22" t="str">
        <f>Data!E22</f>
        <v>601336.SH</v>
      </c>
      <c r="F22" t="str">
        <f>Data!F22</f>
        <v>新华保险</v>
      </c>
      <c r="G22" s="7">
        <f>RTD("wdf.rtq", ,E22, "LastPrice","RT_Price")</f>
        <v>59.2</v>
      </c>
      <c r="H22" s="7">
        <f>Data!H22</f>
        <v>42.31</v>
      </c>
      <c r="I22" s="2">
        <f>Data!J22</f>
        <v>0.35404111372896901</v>
      </c>
      <c r="J22" s="2">
        <f t="shared" si="0"/>
        <v>0.35404111372896901</v>
      </c>
      <c r="K22" s="6">
        <f>BlackScholes(G22,H22,0.015,Data!I22,0,J22,"C",0,0)*100/H22</f>
        <v>40.177511338342939</v>
      </c>
      <c r="L22" s="6">
        <f t="shared" si="1"/>
        <v>142.58411133834295</v>
      </c>
      <c r="M22" s="2">
        <f t="shared" si="2"/>
        <v>-1.8123417217301485E-2</v>
      </c>
      <c r="N22" s="2">
        <f>IF(Data!V22=0,"",Data!V22)</f>
        <v>5.6325254001265701E-3</v>
      </c>
      <c r="O22" s="2">
        <f>IF(Data!W22=0,"",Data!W22)</f>
        <v>2.73877655503297E-2</v>
      </c>
      <c r="P22" s="2">
        <f t="shared" si="3"/>
        <v>0.19286349303170339</v>
      </c>
      <c r="Q22" s="5">
        <f>BlackScholes(G22,H22,0.015,Data!I22,0,J22,"C",0,1)</f>
        <v>0.99451563212799732</v>
      </c>
      <c r="R22" s="3">
        <f t="shared" si="4"/>
        <v>2.3505451007515887</v>
      </c>
      <c r="S22" t="str">
        <f t="shared" si="5"/>
        <v>1400:1392</v>
      </c>
    </row>
    <row r="23" spans="1:19" x14ac:dyDescent="0.15">
      <c r="A23" t="str">
        <f>Data!B23</f>
        <v>132002.SH</v>
      </c>
      <c r="B23" t="str">
        <f>Data!C23</f>
        <v>15天集EB</v>
      </c>
      <c r="C23" s="8">
        <f>RTD("wdf.rtq", ,A23, "LastPrice","RT_Price")</f>
        <v>103.67</v>
      </c>
      <c r="D23" s="8">
        <f>Data!L23</f>
        <v>91.350499999999997</v>
      </c>
      <c r="E23" t="str">
        <f>Data!E23</f>
        <v>600535.SH</v>
      </c>
      <c r="F23" t="str">
        <f>Data!F23</f>
        <v>天士力</v>
      </c>
      <c r="G23" s="7">
        <f>RTD("wdf.rtq", ,E23, "LastPrice","RT_Price")</f>
        <v>35.96</v>
      </c>
      <c r="H23" s="7">
        <f>Data!H23</f>
        <v>56.02</v>
      </c>
      <c r="I23" s="2">
        <f>Data!J23</f>
        <v>0.16321528454013201</v>
      </c>
      <c r="J23" s="2">
        <f t="shared" si="0"/>
        <v>0.16321528454013201</v>
      </c>
      <c r="K23" s="6">
        <f>BlackScholes(G23,H23,0.015,Data!I23,0,J23,"C",0,0)*100/H23</f>
        <v>0.57909186828439185</v>
      </c>
      <c r="L23" s="6">
        <f t="shared" si="1"/>
        <v>91.92959186828439</v>
      </c>
      <c r="M23" s="2">
        <f t="shared" si="2"/>
        <v>0.12771086973318813</v>
      </c>
      <c r="N23" s="2">
        <f>IF(Data!V23=0,"",Data!V23)</f>
        <v>0.11067692139391901</v>
      </c>
      <c r="O23" s="2">
        <f>IF(Data!W23=0,"",Data!W23)</f>
        <v>1.6936702853744202E-2</v>
      </c>
      <c r="P23" s="2">
        <f t="shared" si="3"/>
        <v>0.84273008112691561</v>
      </c>
      <c r="Q23" s="5">
        <f>BlackScholes(G23,H23,0.015,Data!I23,0,J23,"C",0,1)</f>
        <v>8.2577772743276948E-2</v>
      </c>
      <c r="R23" s="3">
        <f t="shared" si="4"/>
        <v>0.14740766287625304</v>
      </c>
      <c r="S23" t="str">
        <f t="shared" si="5"/>
        <v>1037:53</v>
      </c>
    </row>
    <row r="24" spans="1:19" x14ac:dyDescent="0.15">
      <c r="A24" t="str">
        <f>Data!B24</f>
        <v>132003.SH</v>
      </c>
      <c r="B24" t="str">
        <f>Data!C24</f>
        <v>15清控EB</v>
      </c>
      <c r="C24" s="8">
        <f>RTD("wdf.rtq", ,A24, "LastPrice","RT_Price")</f>
        <v>102.31</v>
      </c>
      <c r="D24" s="8">
        <f>Data!L24</f>
        <v>97.451999999999998</v>
      </c>
      <c r="E24" t="str">
        <f>Data!E24</f>
        <v>600109.SH</v>
      </c>
      <c r="F24" t="str">
        <f>Data!F24</f>
        <v>国金证券</v>
      </c>
      <c r="G24" s="7">
        <f>RTD("wdf.rtq", ,E24, "LastPrice","RT_Price")</f>
        <v>11.450000000000001</v>
      </c>
      <c r="H24" s="7">
        <f>Data!H24</f>
        <v>16.75</v>
      </c>
      <c r="I24" s="2">
        <f>Data!J24</f>
        <v>0.26175471215098201</v>
      </c>
      <c r="J24" s="2">
        <f t="shared" si="0"/>
        <v>0.26175471215098201</v>
      </c>
      <c r="K24" s="6">
        <f>BlackScholes(G24,H24,0.015,Data!I24,0,J24,"C",0,0)*100/H24</f>
        <v>0.83351378724131864</v>
      </c>
      <c r="L24" s="6">
        <f t="shared" si="1"/>
        <v>98.285513787241314</v>
      </c>
      <c r="M24" s="2">
        <f t="shared" si="2"/>
        <v>4.0946890927085144E-2</v>
      </c>
      <c r="N24" s="2">
        <f>IF(Data!V24=0,"",Data!V24)</f>
        <v>8.7888033730941006E-2</v>
      </c>
      <c r="O24" s="2">
        <f>IF(Data!W24=0,"",Data!W24)</f>
        <v>3.7756495584386499E-2</v>
      </c>
      <c r="P24" s="2">
        <f t="shared" si="3"/>
        <v>0.10688600927323218</v>
      </c>
      <c r="Q24" s="5">
        <f>BlackScholes(G24,H24,0.015,Data!I24,0,J24,"C",0,1)</f>
        <v>0.10665858583468131</v>
      </c>
      <c r="R24" s="3">
        <f t="shared" si="4"/>
        <v>0.63676767662496303</v>
      </c>
      <c r="S24" t="str">
        <f t="shared" si="5"/>
        <v>1023:73</v>
      </c>
    </row>
    <row r="25" spans="1:19" x14ac:dyDescent="0.15">
      <c r="A25" t="str">
        <f>Data!B25</f>
        <v>132004.SH</v>
      </c>
      <c r="B25" t="str">
        <f>Data!C25</f>
        <v>15国盛EB</v>
      </c>
      <c r="C25" s="8">
        <f>RTD("wdf.rtq", ,A25, "LastPrice","RT_Price")</f>
        <v>92.92</v>
      </c>
      <c r="D25" s="8">
        <f>Data!L25</f>
        <v>89.828800000000001</v>
      </c>
      <c r="E25" t="str">
        <f>Data!E25</f>
        <v>600170.SH</v>
      </c>
      <c r="F25" t="str">
        <f>Data!F25</f>
        <v>上海建工</v>
      </c>
      <c r="G25" s="7">
        <f>RTD("wdf.rtq", ,E25, "LastPrice","RT_Price")</f>
        <v>3.7600000000000002</v>
      </c>
      <c r="H25" s="7">
        <f>Data!H25</f>
        <v>6.76</v>
      </c>
      <c r="I25" s="2">
        <f>Data!J25</f>
        <v>0.15531419692689899</v>
      </c>
      <c r="J25" s="2">
        <f t="shared" si="0"/>
        <v>0.15531419692689899</v>
      </c>
      <c r="K25" s="6">
        <f>BlackScholes(G25,H25,0.015,Data!I25,0,J25,"C",0,0)*100/H25</f>
        <v>0.42949733777791826</v>
      </c>
      <c r="L25" s="6">
        <f t="shared" si="1"/>
        <v>90.258297337777918</v>
      </c>
      <c r="M25" s="2">
        <f t="shared" si="2"/>
        <v>2.9489839058907341E-2</v>
      </c>
      <c r="N25" s="2">
        <f>IF(Data!V25=0,"",Data!V25)</f>
        <v>4.5740177224014002E-2</v>
      </c>
      <c r="O25" s="2">
        <f>IF(Data!W25=0,"",Data!W25)</f>
        <v>1.2257466006222901E-2</v>
      </c>
      <c r="P25" s="2">
        <f t="shared" si="3"/>
        <v>9.2461224597901293E-2</v>
      </c>
      <c r="Q25" s="5">
        <f>BlackScholes(G25,H25,0.015,Data!I25,0,J25,"C",0,1)</f>
        <v>6.3687038655357922E-2</v>
      </c>
      <c r="R25" s="3">
        <f t="shared" si="4"/>
        <v>0.94211595644020596</v>
      </c>
      <c r="S25" t="str">
        <f t="shared" si="5"/>
        <v>929:35</v>
      </c>
    </row>
    <row r="26" spans="1:19" x14ac:dyDescent="0.15">
      <c r="A26" t="str">
        <f>Data!B26</f>
        <v>132005.SH</v>
      </c>
      <c r="B26" t="str">
        <f>Data!C26</f>
        <v>15国资EB</v>
      </c>
      <c r="C26" s="8">
        <f>RTD("wdf.rtq", ,A26, "LastPrice","RT_Price")</f>
        <v>124.5</v>
      </c>
      <c r="D26" s="8">
        <f>Data!L26</f>
        <v>99.270099999999999</v>
      </c>
      <c r="E26" t="str">
        <f>Data!E26</f>
        <v>601601.SH</v>
      </c>
      <c r="F26" t="str">
        <f>Data!F26</f>
        <v>中国太保</v>
      </c>
      <c r="G26" s="7">
        <f>RTD("wdf.rtq", ,E26, "LastPrice","RT_Price")</f>
        <v>39.08</v>
      </c>
      <c r="H26" s="7">
        <f>Data!H26</f>
        <v>37.58</v>
      </c>
      <c r="I26" s="2">
        <f>Data!J26</f>
        <v>0.27959155042219302</v>
      </c>
      <c r="J26" s="2">
        <f t="shared" si="0"/>
        <v>0.27959155042219302</v>
      </c>
      <c r="K26" s="6">
        <f>BlackScholes(G26,H26,0.015,Data!I26,0,J26,"C",0,0)*100/H26</f>
        <v>24.112312902028371</v>
      </c>
      <c r="L26" s="6">
        <f t="shared" si="1"/>
        <v>123.38241290202836</v>
      </c>
      <c r="M26" s="2">
        <f t="shared" si="2"/>
        <v>9.05791248270571E-3</v>
      </c>
      <c r="N26" s="2">
        <f>IF(Data!V26=0,"",Data!V26)</f>
        <v>4.5763182576397797E-2</v>
      </c>
      <c r="O26" s="2">
        <f>IF(Data!W26=0,"",Data!W26)</f>
        <v>2.35363697540526E-2</v>
      </c>
      <c r="P26" s="2">
        <f t="shared" si="3"/>
        <v>5.9437527720005177E-2</v>
      </c>
      <c r="Q26" s="5">
        <f>BlackScholes(G26,H26,0.015,Data!I26,0,J26,"C",0,1)</f>
        <v>0.66350272083939377</v>
      </c>
      <c r="R26" s="3">
        <f t="shared" si="4"/>
        <v>1.7655740309723091</v>
      </c>
      <c r="S26" t="str">
        <f t="shared" si="5"/>
        <v>1245:690</v>
      </c>
    </row>
    <row r="27" spans="1:19" x14ac:dyDescent="0.15">
      <c r="A27" t="str">
        <f>Data!B27</f>
        <v>132006.SH</v>
      </c>
      <c r="B27" t="str">
        <f>Data!C27</f>
        <v>16皖新EB</v>
      </c>
      <c r="C27" s="8">
        <f>RTD("wdf.rtq", ,A27, "LastPrice","RT_Price")</f>
        <v>101.60000000000001</v>
      </c>
      <c r="D27" s="8">
        <f>Data!L27</f>
        <v>97.166399999999996</v>
      </c>
      <c r="E27" t="str">
        <f>Data!E27</f>
        <v>601801.SH</v>
      </c>
      <c r="F27" t="str">
        <f>Data!F27</f>
        <v>皖新传媒</v>
      </c>
      <c r="G27" s="7">
        <f>RTD("wdf.rtq", ,E27, "LastPrice","RT_Price")</f>
        <v>12.4</v>
      </c>
      <c r="H27" s="7">
        <f>Data!H27</f>
        <v>16.190000000000001</v>
      </c>
      <c r="I27" s="2">
        <f>Data!J27</f>
        <v>0.30777313499472903</v>
      </c>
      <c r="J27" s="2">
        <f t="shared" si="0"/>
        <v>0.30777313499472903</v>
      </c>
      <c r="K27" s="6">
        <f>BlackScholes(G27,H27,0.015,Data!I27,0,J27,"C",0,0)*100/H27</f>
        <v>12.092232680441811</v>
      </c>
      <c r="L27" s="6">
        <f t="shared" si="1"/>
        <v>109.25863268044181</v>
      </c>
      <c r="M27" s="2">
        <f t="shared" si="2"/>
        <v>-7.0096362113936217E-2</v>
      </c>
      <c r="N27" s="2">
        <f>IF(Data!V27=0,"",Data!V27)</f>
        <v>-0.13817442943783101</v>
      </c>
      <c r="O27" s="2">
        <f>IF(Data!W27=0,"",Data!W27)</f>
        <v>6.5632175028284001E-2</v>
      </c>
      <c r="P27" s="2">
        <f t="shared" si="3"/>
        <v>0.85019420165772808</v>
      </c>
      <c r="Q27" s="5">
        <f>BlackScholes(G27,H27,0.015,Data!I27,0,J27,"C",0,1)</f>
        <v>0.47514291535534547</v>
      </c>
      <c r="R27" s="3">
        <f t="shared" si="4"/>
        <v>2.9347925593288786</v>
      </c>
      <c r="S27" t="str">
        <f t="shared" si="5"/>
        <v>1016:364</v>
      </c>
    </row>
    <row r="28" spans="1:19" x14ac:dyDescent="0.15">
      <c r="A28" t="str">
        <f>Data!B28</f>
        <v>132007.SH</v>
      </c>
      <c r="B28" t="str">
        <f>Data!C28</f>
        <v>16凤凰EB</v>
      </c>
      <c r="C28" s="8">
        <f>RTD("wdf.rtq", ,A28, "LastPrice","RT_Price")</f>
        <v>93.05</v>
      </c>
      <c r="D28" s="8">
        <f>Data!L28</f>
        <v>91.562299999999993</v>
      </c>
      <c r="E28" t="str">
        <f>Data!E28</f>
        <v>601928.SH</v>
      </c>
      <c r="F28" t="str">
        <f>Data!F28</f>
        <v>凤凰传媒</v>
      </c>
      <c r="G28" s="7">
        <f>RTD("wdf.rtq", ,E28, "LastPrice","RT_Price")</f>
        <v>9.26</v>
      </c>
      <c r="H28" s="7">
        <f>Data!H28</f>
        <v>15.75</v>
      </c>
      <c r="I28" s="2">
        <f>Data!J28</f>
        <v>0.12901033030074899</v>
      </c>
      <c r="J28" s="2">
        <f t="shared" si="0"/>
        <v>0.12901033030074899</v>
      </c>
      <c r="K28" s="6">
        <f>BlackScholes(G28,H28,0.015,Data!I28,0,J28,"C",0,0)*100/H28</f>
        <v>0.26415729338687211</v>
      </c>
      <c r="L28" s="6">
        <f t="shared" si="1"/>
        <v>91.826457293386866</v>
      </c>
      <c r="M28" s="2">
        <f t="shared" si="2"/>
        <v>1.3324511722192289E-2</v>
      </c>
      <c r="N28" s="2">
        <f>IF(Data!V28=0,"",Data!V28)</f>
        <v>5.9193283559891202E-2</v>
      </c>
      <c r="O28" s="2">
        <f>IF(Data!W28=0,"",Data!W28)</f>
        <v>3.57139611566153E-2</v>
      </c>
      <c r="P28" s="2">
        <f t="shared" si="3"/>
        <v>9.9511983499605453E-2</v>
      </c>
      <c r="Q28" s="5">
        <f>BlackScholes(G28,H28,0.015,Data!I28,0,J28,"C",0,1)</f>
        <v>4.6058518392450183E-2</v>
      </c>
      <c r="R28" s="3">
        <f t="shared" si="4"/>
        <v>0.29243503741238214</v>
      </c>
      <c r="S28" t="str">
        <f t="shared" si="5"/>
        <v>931:27</v>
      </c>
    </row>
    <row r="29" spans="1:19" x14ac:dyDescent="0.15">
      <c r="A29" t="str">
        <f>Data!B29</f>
        <v>132008.SH</v>
      </c>
      <c r="B29" t="str">
        <f>Data!C29</f>
        <v>17山高EB</v>
      </c>
      <c r="C29" s="8">
        <f>RTD("wdf.rtq", ,A29, "LastPrice","RT_Price")</f>
        <v>95.49</v>
      </c>
      <c r="D29" s="8">
        <f>Data!L29</f>
        <v>93.483099999999993</v>
      </c>
      <c r="E29" t="str">
        <f>Data!E29</f>
        <v>600350.SH</v>
      </c>
      <c r="F29" t="str">
        <f>Data!F29</f>
        <v>山东高速</v>
      </c>
      <c r="G29" s="7">
        <f>RTD("wdf.rtq", ,E29, "LastPrice","RT_Price")</f>
        <v>6</v>
      </c>
      <c r="H29" s="7">
        <f>Data!H29</f>
        <v>9.8000000000000007</v>
      </c>
      <c r="I29" s="2">
        <f>Data!J29</f>
        <v>0.18216981751229899</v>
      </c>
      <c r="J29" s="2">
        <f t="shared" si="0"/>
        <v>0.18216981751229899</v>
      </c>
      <c r="K29" s="6">
        <f>BlackScholes(G29,H29,0.015,Data!I29,0,J29,"C",0,0)*100/H29</f>
        <v>2.0196476214487569</v>
      </c>
      <c r="L29" s="6">
        <f t="shared" si="1"/>
        <v>95.502747621448748</v>
      </c>
      <c r="M29" s="2">
        <f t="shared" si="2"/>
        <v>-1.334791067926222E-4</v>
      </c>
      <c r="N29" s="2">
        <f>IF(Data!V29=0,"",Data!V29)</f>
        <v>-6.192698027365E-3</v>
      </c>
      <c r="O29" s="2">
        <f>IF(Data!W29=0,"",Data!W29)</f>
        <v>9.4799494772166096E-3</v>
      </c>
      <c r="P29" s="2">
        <f t="shared" si="3"/>
        <v>0.73864106909723237</v>
      </c>
      <c r="Q29" s="5">
        <f>BlackScholes(G29,H29,0.015,Data!I29,0,J29,"C",0,1)</f>
        <v>0.18464327261515404</v>
      </c>
      <c r="R29" s="3">
        <f t="shared" si="4"/>
        <v>1.8841150266852451</v>
      </c>
      <c r="S29" t="str">
        <f t="shared" si="5"/>
        <v>955:113</v>
      </c>
    </row>
    <row r="30" spans="1:19" x14ac:dyDescent="0.15">
      <c r="A30" t="str">
        <f>Data!B30</f>
        <v>132009.SH</v>
      </c>
      <c r="B30" t="str">
        <f>Data!C30</f>
        <v>17中油EB</v>
      </c>
      <c r="C30" s="8">
        <f>RTD("wdf.rtq", ,A30, "LastPrice","RT_Price")</f>
        <v>101.92</v>
      </c>
      <c r="D30" s="8">
        <f>Data!L30</f>
        <v>88.4983</v>
      </c>
      <c r="E30" t="str">
        <f>Data!E30</f>
        <v>601857.SH</v>
      </c>
      <c r="F30" t="str">
        <f>Data!F30</f>
        <v>中国石油</v>
      </c>
      <c r="G30" s="7">
        <f>RTD("wdf.rtq", ,E30, "LastPrice","RT_Price")</f>
        <v>8.06</v>
      </c>
      <c r="H30" s="7">
        <f>Data!H30</f>
        <v>8.92</v>
      </c>
      <c r="I30" s="2">
        <f>Data!J30</f>
        <v>0.117974107623333</v>
      </c>
      <c r="J30" s="2">
        <f t="shared" si="0"/>
        <v>0.117974107623333</v>
      </c>
      <c r="K30" s="6">
        <f>BlackScholes(G30,H30,0.015,Data!I30,0,J30,"C",0,0)*100/H30</f>
        <v>8.0520273934655791</v>
      </c>
      <c r="L30" s="6">
        <f t="shared" si="1"/>
        <v>96.550327393465579</v>
      </c>
      <c r="M30" s="2">
        <f t="shared" si="2"/>
        <v>5.5615270828152985E-2</v>
      </c>
      <c r="N30" s="2">
        <f>IF(Data!V30=0,"",Data!V30)</f>
        <v>5.8666949462836501E-2</v>
      </c>
      <c r="O30" s="2">
        <f>IF(Data!W30=0,"",Data!W30)</f>
        <v>1.17246821733953E-2</v>
      </c>
      <c r="P30" s="2">
        <f t="shared" si="3"/>
        <v>0.39732461122940144</v>
      </c>
      <c r="Q30" s="5">
        <f>BlackScholes(G30,H30,0.015,Data!I30,0,J30,"C",0,1)</f>
        <v>0.50421982046517311</v>
      </c>
      <c r="R30" s="3">
        <f t="shared" si="4"/>
        <v>5.652688570237367</v>
      </c>
      <c r="S30" t="str">
        <f t="shared" si="5"/>
        <v>1019:456</v>
      </c>
    </row>
    <row r="31" spans="1:19" x14ac:dyDescent="0.15">
      <c r="A31" t="str">
        <f>Data!B31</f>
        <v>132010.SH</v>
      </c>
      <c r="B31" t="str">
        <f>Data!C31</f>
        <v>17桐昆EB</v>
      </c>
      <c r="C31" s="8">
        <f>RTD("wdf.rtq", ,A31, "LastPrice","RT_Price")</f>
        <v>115.9</v>
      </c>
      <c r="D31" s="8">
        <f>Data!L31</f>
        <v>92.434799999999996</v>
      </c>
      <c r="E31" t="str">
        <f>Data!E31</f>
        <v>601233.SH</v>
      </c>
      <c r="F31" t="str">
        <f>Data!F31</f>
        <v>桐昆股份</v>
      </c>
      <c r="G31" s="7">
        <f>RTD("wdf.rtq", ,E31, "LastPrice","RT_Price")</f>
        <v>16.91</v>
      </c>
      <c r="H31" s="7">
        <f>Data!H31</f>
        <v>17.12</v>
      </c>
      <c r="I31" s="2">
        <f>Data!J31</f>
        <v>0.41606324464942701</v>
      </c>
      <c r="J31" s="2">
        <f t="shared" si="0"/>
        <v>0.41606324464942701</v>
      </c>
      <c r="K31" s="6">
        <f>BlackScholes(G31,H31,0.015,Data!I31,0,J31,"C",0,0)*100/H31</f>
        <v>27.953909437274341</v>
      </c>
      <c r="L31" s="6">
        <f t="shared" si="1"/>
        <v>120.38870943727434</v>
      </c>
      <c r="M31" s="2">
        <f t="shared" si="2"/>
        <v>-3.728513627445329E-2</v>
      </c>
      <c r="N31" s="2">
        <f>IF(Data!V31=0,"",Data!V31)</f>
        <v>-1.7291606374187401E-2</v>
      </c>
      <c r="O31" s="2">
        <f>IF(Data!W31=0,"",Data!W31)</f>
        <v>1.9446174397629301E-2</v>
      </c>
      <c r="P31" s="2">
        <f t="shared" si="3"/>
        <v>0.15194029369696235</v>
      </c>
      <c r="Q31" s="5">
        <f>BlackScholes(G31,H31,0.015,Data!I31,0,J31,"C",0,1)</f>
        <v>0.65194007052239999</v>
      </c>
      <c r="R31" s="3">
        <f t="shared" si="4"/>
        <v>3.8080611595934575</v>
      </c>
      <c r="S31" t="str">
        <f t="shared" si="5"/>
        <v>1159:644</v>
      </c>
    </row>
    <row r="32" spans="1:19" x14ac:dyDescent="0.15">
      <c r="A32" t="str">
        <f>Data!B32</f>
        <v>132011.SH</v>
      </c>
      <c r="B32" t="str">
        <f>Data!C32</f>
        <v>17浙报EB</v>
      </c>
      <c r="C32" s="8">
        <f>RTD("wdf.rtq", ,A32, "LastPrice","RT_Price")</f>
        <v>93</v>
      </c>
      <c r="D32" s="8">
        <f>Data!L32</f>
        <v>86.487399999999994</v>
      </c>
      <c r="E32" t="str">
        <f>Data!E32</f>
        <v>600633.SH</v>
      </c>
      <c r="F32" t="str">
        <f>Data!F32</f>
        <v>浙数文化</v>
      </c>
      <c r="G32" s="7">
        <f>RTD("wdf.rtq", ,E32, "LastPrice","RT_Price")</f>
        <v>17.650000000000002</v>
      </c>
      <c r="H32" s="7">
        <f>Data!H32</f>
        <v>25</v>
      </c>
      <c r="I32" s="2">
        <f>Data!J32</f>
        <v>0.31864844108854901</v>
      </c>
      <c r="J32" s="2">
        <f t="shared" si="0"/>
        <v>0.31864844108854901</v>
      </c>
      <c r="K32" s="6">
        <f>BlackScholes(G32,H32,0.015,Data!I32,0,J32,"C",0,0)*100/H32</f>
        <v>12.837700393412774</v>
      </c>
      <c r="L32" s="6">
        <f t="shared" si="1"/>
        <v>99.325100393412768</v>
      </c>
      <c r="M32" s="2">
        <f t="shared" si="2"/>
        <v>-6.368078530361343E-2</v>
      </c>
      <c r="N32" s="2">
        <f>IF(Data!V32=0,"",Data!V32)</f>
        <v>-5.9303264919933998E-2</v>
      </c>
      <c r="O32" s="2">
        <f>IF(Data!W32=0,"",Data!W32)</f>
        <v>1.83933085588187E-2</v>
      </c>
      <c r="P32" s="2">
        <f t="shared" si="3"/>
        <v>0.40594238252221537</v>
      </c>
      <c r="Q32" s="5">
        <f>BlackScholes(G32,H32,0.015,Data!I32,0,J32,"C",0,1)</f>
        <v>0.48289864596974585</v>
      </c>
      <c r="R32" s="3">
        <f t="shared" si="4"/>
        <v>1.9315945838789836</v>
      </c>
      <c r="S32" t="str">
        <f t="shared" si="5"/>
        <v>930:341</v>
      </c>
    </row>
    <row r="33" spans="1:19" x14ac:dyDescent="0.15">
      <c r="A33" t="str">
        <f>Data!B33</f>
        <v>132012.SH</v>
      </c>
      <c r="B33" t="str">
        <f>Data!C33</f>
        <v>17巨化EB</v>
      </c>
      <c r="C33" s="8">
        <f>RTD("wdf.rtq", ,A33, "LastPrice","RT_Price")</f>
        <v>103.61</v>
      </c>
      <c r="D33" s="8">
        <f>Data!L33</f>
        <v>92.046800000000005</v>
      </c>
      <c r="E33" t="str">
        <f>Data!E33</f>
        <v>600160.SH</v>
      </c>
      <c r="F33" t="str">
        <f>Data!F33</f>
        <v>巨化股份</v>
      </c>
      <c r="G33" s="7">
        <f>RTD("wdf.rtq", ,E33, "LastPrice","RT_Price")</f>
        <v>12.19</v>
      </c>
      <c r="H33" s="7">
        <f>Data!H33</f>
        <v>13.6</v>
      </c>
      <c r="I33" s="2">
        <f>Data!J33</f>
        <v>0.39789644816283898</v>
      </c>
      <c r="J33" s="2">
        <f t="shared" si="0"/>
        <v>0.39789644816283898</v>
      </c>
      <c r="K33" s="6">
        <f>BlackScholes(G33,H33,0.015,Data!I33,0,J33,"C",0,0)*100/H33</f>
        <v>21.576466830963927</v>
      </c>
      <c r="L33" s="6">
        <f t="shared" si="1"/>
        <v>113.62326683096393</v>
      </c>
      <c r="M33" s="2">
        <f t="shared" si="2"/>
        <v>-8.8126904904613945E-2</v>
      </c>
      <c r="N33" s="2">
        <f>IF(Data!V33=0,"",Data!V33)</f>
        <v>-9.2149059524450502E-2</v>
      </c>
      <c r="O33" s="2">
        <f>IF(Data!W33=0,"",Data!W33)</f>
        <v>8.0238445907416904E-3</v>
      </c>
      <c r="P33" s="2">
        <f t="shared" si="3"/>
        <v>0.6919112856983034</v>
      </c>
      <c r="Q33" s="5">
        <f>BlackScholes(G33,H33,0.015,Data!I33,0,J33,"C",0,1)</f>
        <v>0.59486616801430769</v>
      </c>
      <c r="R33" s="3">
        <f t="shared" si="4"/>
        <v>4.3740159412816748</v>
      </c>
      <c r="S33" t="str">
        <f t="shared" si="5"/>
        <v>1036:533</v>
      </c>
    </row>
  </sheetData>
  <phoneticPr fontId="1" type="noConversion"/>
  <conditionalFormatting sqref="P2:P33">
    <cfRule type="colorScale" priority="2">
      <colorScale>
        <cfvo type="min"/>
        <cfvo type="percentile" val="50"/>
        <cfvo type="max"/>
        <color rgb="FF5A8AC6"/>
        <color rgb="FFFCFCFF"/>
        <color rgb="FFF8696B"/>
      </colorScale>
    </cfRule>
  </conditionalFormatting>
  <conditionalFormatting sqref="Q2:Q33">
    <cfRule type="cellIs" dxfId="1" priority="1"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3"/>
  <sheetViews>
    <sheetView workbookViewId="0">
      <selection activeCell="H23" sqref="H23"/>
    </sheetView>
  </sheetViews>
  <sheetFormatPr defaultRowHeight="13.5" x14ac:dyDescent="0.1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x14ac:dyDescent="0.15">
      <c r="A1" t="s">
        <v>158</v>
      </c>
      <c r="B1" t="s">
        <v>153</v>
      </c>
      <c r="C1" t="s">
        <v>152</v>
      </c>
      <c r="D1" t="s">
        <v>154</v>
      </c>
      <c r="E1" t="s">
        <v>155</v>
      </c>
      <c r="F1" t="s">
        <v>156</v>
      </c>
      <c r="G1" t="s">
        <v>157</v>
      </c>
      <c r="H1" s="2" t="s">
        <v>159</v>
      </c>
      <c r="I1" s="2" t="s">
        <v>164</v>
      </c>
      <c r="J1" s="2" t="s">
        <v>165</v>
      </c>
      <c r="K1" s="2" t="s">
        <v>166</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x14ac:dyDescent="0.15">
      <c r="A2" s="1">
        <f>Data!A2</f>
        <v>43025</v>
      </c>
      <c r="B2" t="str">
        <f>Data!B2</f>
        <v>110030.SH</v>
      </c>
      <c r="C2" t="str">
        <f>Data!C2</f>
        <v>格力转债</v>
      </c>
      <c r="D2" t="str">
        <f>Data!E2</f>
        <v>600185.SH</v>
      </c>
      <c r="E2" t="str">
        <f>Data!F2</f>
        <v>格力地产</v>
      </c>
      <c r="F2" s="6">
        <f>Data!D2</f>
        <v>110.8463</v>
      </c>
      <c r="G2" s="6">
        <f>Data!N2</f>
        <v>108.91305080884</v>
      </c>
      <c r="H2" s="2">
        <f t="shared" ref="H2:H33" si="0">F2/G2-1</f>
        <v>1.7750390580401287E-2</v>
      </c>
      <c r="I2" s="2">
        <f>IF(Data!V2=0,"",Data!V2)</f>
        <v>2.9955503795949901E-2</v>
      </c>
      <c r="J2" s="2">
        <f>IF(Data!W2=0,"",Data!W2)</f>
        <v>5.3654539912387701E-2</v>
      </c>
      <c r="K2" s="2">
        <f>IFERROR(_xlfn.NORM.DIST(H2,I2,J2,TRUE),"")</f>
        <v>0.4100268646972231</v>
      </c>
      <c r="L2" s="2">
        <f>IF(Data!X2=0,"",Data!X2)</f>
        <v>7.5235191361399702E-3</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x14ac:dyDescent="0.15">
      <c r="A3" s="1">
        <f>Data!A3</f>
        <v>43025</v>
      </c>
      <c r="B3" t="str">
        <f>Data!B3</f>
        <v>110031.SH</v>
      </c>
      <c r="C3" t="str">
        <f>Data!C3</f>
        <v>航信转债</v>
      </c>
      <c r="D3" t="str">
        <f>Data!E3</f>
        <v>600271.SH</v>
      </c>
      <c r="E3" t="str">
        <f>Data!F3</f>
        <v>航天信息</v>
      </c>
      <c r="F3" s="6">
        <f>Data!D3</f>
        <v>104.5993</v>
      </c>
      <c r="G3" s="6">
        <f>Data!N3</f>
        <v>94.732066406151503</v>
      </c>
      <c r="H3" s="2">
        <f t="shared" si="0"/>
        <v>0.10415938307039574</v>
      </c>
      <c r="I3" s="2">
        <f>IF(Data!V3=0,"",Data!V3)</f>
        <v>0.116559090665005</v>
      </c>
      <c r="J3" s="2">
        <f>IF(Data!W3=0,"",Data!W3)</f>
        <v>2.6087357525188998E-2</v>
      </c>
      <c r="K3" s="2">
        <f t="shared" ref="K3:K33" si="1">IFERROR(_xlfn.NORM.DIST(H3,I3,J3,TRUE),"")</f>
        <v>0.31728129943868588</v>
      </c>
      <c r="L3" s="2">
        <f>IF(Data!X3=0,"",Data!X3)</f>
        <v>0.100541208930524</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x14ac:dyDescent="0.15">
      <c r="A4" s="1">
        <f>Data!A4</f>
        <v>43025</v>
      </c>
      <c r="B4" t="str">
        <f>Data!B4</f>
        <v>110032.SH</v>
      </c>
      <c r="C4" t="str">
        <f>Data!C4</f>
        <v>三一转债</v>
      </c>
      <c r="D4" t="str">
        <f>Data!E4</f>
        <v>600031.SH</v>
      </c>
      <c r="E4" t="str">
        <f>Data!F4</f>
        <v>三一重工</v>
      </c>
      <c r="F4" s="6">
        <f>Data!D4</f>
        <v>119.99679999999999</v>
      </c>
      <c r="G4" s="6">
        <f>Data!N4</f>
        <v>121.248566184582</v>
      </c>
      <c r="H4" s="2">
        <f t="shared" si="0"/>
        <v>-1.0323966905112836E-2</v>
      </c>
      <c r="I4" s="2">
        <f>IF(Data!V4=0,"",Data!V4)</f>
        <v>8.0595002973728198E-3</v>
      </c>
      <c r="J4" s="2">
        <f>IF(Data!W4=0,"",Data!W4)</f>
        <v>3.6008905242553103E-2</v>
      </c>
      <c r="K4" s="2">
        <f t="shared" si="1"/>
        <v>0.3048416494803633</v>
      </c>
      <c r="L4" s="2">
        <f>IF(Data!X4=0,"",Data!X4)</f>
        <v>-9.0190389955989402E-3</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x14ac:dyDescent="0.15">
      <c r="A5" s="1">
        <f>Data!A5</f>
        <v>43025</v>
      </c>
      <c r="B5" t="str">
        <f>Data!B5</f>
        <v>110033.SH</v>
      </c>
      <c r="C5" t="str">
        <f>Data!C5</f>
        <v>国贸转债</v>
      </c>
      <c r="D5" t="str">
        <f>Data!E5</f>
        <v>600755.SH</v>
      </c>
      <c r="E5" t="str">
        <f>Data!F5</f>
        <v>厦门国贸</v>
      </c>
      <c r="F5" s="6">
        <f>Data!D5</f>
        <v>127.7882</v>
      </c>
      <c r="G5" s="6">
        <f>Data!N5</f>
        <v>147.330201571494</v>
      </c>
      <c r="H5" s="2">
        <f t="shared" si="0"/>
        <v>-0.13264083916976777</v>
      </c>
      <c r="I5" s="2">
        <f>IF(Data!V5=0,"",Data!V5)</f>
        <v>-2.3187198012618E-2</v>
      </c>
      <c r="J5" s="2">
        <f>IF(Data!W5=0,"",Data!W5)</f>
        <v>5.15526931635664E-2</v>
      </c>
      <c r="K5" s="2">
        <f t="shared" si="1"/>
        <v>1.6871015340444172E-2</v>
      </c>
      <c r="L5" s="2">
        <f>IF(Data!X5=0,"",Data!X5)</f>
        <v>-0.12278912366202401</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x14ac:dyDescent="0.15">
      <c r="A6" s="1">
        <f>Data!A6</f>
        <v>43025</v>
      </c>
      <c r="B6" t="str">
        <f>Data!B6</f>
        <v>110034.SH</v>
      </c>
      <c r="C6" t="str">
        <f>Data!C6</f>
        <v>九州转债</v>
      </c>
      <c r="D6" t="str">
        <f>Data!E6</f>
        <v>600998.SH</v>
      </c>
      <c r="E6" t="str">
        <f>Data!F6</f>
        <v>九州通</v>
      </c>
      <c r="F6" s="6">
        <f>Data!D6</f>
        <v>126.64749999999999</v>
      </c>
      <c r="G6" s="6">
        <f>Data!N6</f>
        <v>121.58799129658701</v>
      </c>
      <c r="H6" s="2">
        <f t="shared" si="0"/>
        <v>4.1611911254224365E-2</v>
      </c>
      <c r="I6" s="2">
        <f>IF(Data!V6=0,"",Data!V6)</f>
        <v>6.3813712127018E-3</v>
      </c>
      <c r="J6" s="2">
        <f>IF(Data!W6=0,"",Data!W6)</f>
        <v>5.1674146311372501E-2</v>
      </c>
      <c r="K6" s="2">
        <f t="shared" si="1"/>
        <v>0.75231182389558959</v>
      </c>
      <c r="L6" s="2">
        <f>IF(Data!X6=0,"",Data!X6)</f>
        <v>4.5783214631617802E-2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x14ac:dyDescent="0.15">
      <c r="A7" s="1">
        <f>Data!A7</f>
        <v>43025</v>
      </c>
      <c r="B7" t="str">
        <f>Data!B7</f>
        <v>113008.SH</v>
      </c>
      <c r="C7" t="str">
        <f>Data!C7</f>
        <v>电气转债</v>
      </c>
      <c r="D7" t="str">
        <f>Data!E7</f>
        <v>601727.SH</v>
      </c>
      <c r="E7" t="str">
        <f>Data!F7</f>
        <v>上海电气</v>
      </c>
      <c r="F7" s="6">
        <f>Data!D7</f>
        <v>107.0932</v>
      </c>
      <c r="G7" s="6">
        <f>Data!N7</f>
        <v>106.876110601473</v>
      </c>
      <c r="H7" s="2">
        <f t="shared" si="0"/>
        <v>2.0312247265106276E-3</v>
      </c>
      <c r="I7" s="2">
        <f>IF(Data!V7=0,"",Data!V7)</f>
        <v>-6.6449537088008603E-2</v>
      </c>
      <c r="J7" s="2">
        <f>IF(Data!W7=0,"",Data!W7)</f>
        <v>7.7228303039779206E-2</v>
      </c>
      <c r="K7" s="2">
        <f t="shared" si="1"/>
        <v>0.81238823752567102</v>
      </c>
      <c r="L7" s="2">
        <f>IF(Data!X7=0,"",Data!X7)</f>
        <v>-4.3642991357486999E-3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x14ac:dyDescent="0.15">
      <c r="A8" s="1">
        <f>Data!A8</f>
        <v>43025</v>
      </c>
      <c r="B8" t="str">
        <f>Data!B8</f>
        <v>113009.SH</v>
      </c>
      <c r="C8" t="str">
        <f>Data!C8</f>
        <v>广汽转债</v>
      </c>
      <c r="D8" t="str">
        <f>Data!E8</f>
        <v>601238.SH</v>
      </c>
      <c r="E8" t="str">
        <f>Data!F8</f>
        <v>广汽集团</v>
      </c>
      <c r="F8" s="6">
        <f>Data!D8</f>
        <v>133.63149999999999</v>
      </c>
      <c r="G8" s="6">
        <f>Data!N8</f>
        <v>136.30012450239201</v>
      </c>
      <c r="H8" s="2">
        <f t="shared" si="0"/>
        <v>-1.9579032023152587E-2</v>
      </c>
      <c r="I8" s="2">
        <f>IF(Data!V8=0,"",Data!V8)</f>
        <v>-4.3892526700329802E-2</v>
      </c>
      <c r="J8" s="2">
        <f>IF(Data!W8=0,"",Data!W8)</f>
        <v>2.89177230182107E-2</v>
      </c>
      <c r="K8" s="2">
        <f t="shared" si="1"/>
        <v>0.79976490238435705</v>
      </c>
      <c r="L8" s="2">
        <f>IF(Data!X8=0,"",Data!X8)</f>
        <v>-2.2554933725551E-2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x14ac:dyDescent="0.15">
      <c r="A9" s="1">
        <f>Data!A9</f>
        <v>43025</v>
      </c>
      <c r="B9" t="str">
        <f>Data!B9</f>
        <v>113010.SH</v>
      </c>
      <c r="C9" t="str">
        <f>Data!C9</f>
        <v>江南转债</v>
      </c>
      <c r="D9" t="str">
        <f>Data!E9</f>
        <v>601199.SH</v>
      </c>
      <c r="E9" t="str">
        <f>Data!F9</f>
        <v>江南水务</v>
      </c>
      <c r="F9" s="6">
        <f>Data!D9</f>
        <v>105.8468</v>
      </c>
      <c r="G9" s="6">
        <f>Data!N9</f>
        <v>95.220232892930696</v>
      </c>
      <c r="H9" s="2">
        <f t="shared" si="0"/>
        <v>0.11159988569885382</v>
      </c>
      <c r="I9" s="2">
        <f>IF(Data!V9=0,"",Data!V9)</f>
        <v>4.6830902166884701E-2</v>
      </c>
      <c r="J9" s="2">
        <f>IF(Data!W9=0,"",Data!W9)</f>
        <v>4.5104240814646403E-2</v>
      </c>
      <c r="K9" s="2">
        <f t="shared" si="1"/>
        <v>0.92449660147308332</v>
      </c>
      <c r="L9" s="2">
        <f>IF(Data!X9=0,"",Data!X9)</f>
        <v>0.106132482921346</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x14ac:dyDescent="0.15">
      <c r="A10" s="1">
        <f>Data!A10</f>
        <v>43025</v>
      </c>
      <c r="B10" t="str">
        <f>Data!B10</f>
        <v>113011.SH</v>
      </c>
      <c r="C10" t="str">
        <f>Data!C10</f>
        <v>光大转债</v>
      </c>
      <c r="D10" t="str">
        <f>Data!E10</f>
        <v>601818.SH</v>
      </c>
      <c r="E10" t="str">
        <f>Data!F10</f>
        <v>光大银行</v>
      </c>
      <c r="F10" s="6">
        <f>Data!D10</f>
        <v>112.6722</v>
      </c>
      <c r="G10" s="6">
        <f>Data!N10</f>
        <v>99.515259080292495</v>
      </c>
      <c r="H10" s="2">
        <f t="shared" si="0"/>
        <v>0.13221028655607503</v>
      </c>
      <c r="I10" s="2">
        <f>IF(Data!V10=0,"",Data!V10)</f>
        <v>9.3555735231634504E-2</v>
      </c>
      <c r="J10" s="2">
        <f>IF(Data!W10=0,"",Data!W10)</f>
        <v>3.5068352284490102E-2</v>
      </c>
      <c r="K10" s="2">
        <f t="shared" si="1"/>
        <v>0.86482635060162005</v>
      </c>
      <c r="L10" s="2">
        <f>IF(Data!X10=0,"",Data!X10)</f>
        <v>0.128082411572223</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x14ac:dyDescent="0.15">
      <c r="A11" s="1">
        <f>Data!A11</f>
        <v>43025</v>
      </c>
      <c r="B11" t="str">
        <f>Data!B11</f>
        <v>113012.SH</v>
      </c>
      <c r="C11" t="str">
        <f>Data!C11</f>
        <v>骆驼转债</v>
      </c>
      <c r="D11" t="str">
        <f>Data!E11</f>
        <v>601311.SH</v>
      </c>
      <c r="E11" t="str">
        <f>Data!F11</f>
        <v>骆驼股份</v>
      </c>
      <c r="F11" s="6">
        <f>Data!D11</f>
        <v>112.819</v>
      </c>
      <c r="G11" s="6">
        <f>Data!N11</f>
        <v>105.66188914018799</v>
      </c>
      <c r="H11" s="2">
        <f t="shared" si="0"/>
        <v>6.7735972904253483E-2</v>
      </c>
      <c r="I11" s="2">
        <f>IF(Data!V11=0,"",Data!V11)</f>
        <v>7.0521203815083006E-2</v>
      </c>
      <c r="J11" s="2">
        <f>IF(Data!W11=0,"",Data!W11)</f>
        <v>4.0352493948598397E-2</v>
      </c>
      <c r="K11" s="2">
        <f t="shared" si="1"/>
        <v>0.47248584604890487</v>
      </c>
      <c r="L11" s="2">
        <f>IF(Data!X11=0,"",Data!X11)</f>
        <v>4.3894663202166603E-2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x14ac:dyDescent="0.15">
      <c r="A12" s="1">
        <f>Data!A12</f>
        <v>43025</v>
      </c>
      <c r="B12" t="str">
        <f>Data!B12</f>
        <v>113013.SH</v>
      </c>
      <c r="C12" t="str">
        <f>Data!C12</f>
        <v>国君转债</v>
      </c>
      <c r="D12" t="str">
        <f>Data!E12</f>
        <v>601211.SH</v>
      </c>
      <c r="E12" t="str">
        <f>Data!F12</f>
        <v>国泰君安</v>
      </c>
      <c r="F12" s="6">
        <f>Data!D12</f>
        <v>124.4436</v>
      </c>
      <c r="G12" s="6">
        <f>Data!N12</f>
        <v>109.793690104489</v>
      </c>
      <c r="H12" s="2">
        <f t="shared" si="0"/>
        <v>0.13343125530774036</v>
      </c>
      <c r="I12" s="2">
        <f>IF(Data!V12=0,"",Data!V12)</f>
        <v>0.14718155484840001</v>
      </c>
      <c r="J12" s="2">
        <f>IF(Data!W12=0,"",Data!W12)</f>
        <v>2.21144440657874E-2</v>
      </c>
      <c r="K12" s="2">
        <f t="shared" si="1"/>
        <v>0.26704355934077201</v>
      </c>
      <c r="L12" s="2">
        <f>IF(Data!X12=0,"",Data!X12)</f>
        <v>0.13151756368953799</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x14ac:dyDescent="0.15">
      <c r="A13" s="1">
        <f>Data!A13</f>
        <v>43025</v>
      </c>
      <c r="B13" t="str">
        <f>Data!B13</f>
        <v>120001.SZ</v>
      </c>
      <c r="C13" t="str">
        <f>Data!C13</f>
        <v>16以岭EB</v>
      </c>
      <c r="D13" t="str">
        <f>Data!E13</f>
        <v>002603.SZ</v>
      </c>
      <c r="E13" t="str">
        <f>Data!F13</f>
        <v>以岭药业</v>
      </c>
      <c r="F13" s="6">
        <f>Data!D13</f>
        <v>107.29859999999999</v>
      </c>
      <c r="G13" s="6">
        <f>Data!N13</f>
        <v>105.744685754917</v>
      </c>
      <c r="H13" s="2">
        <f t="shared" si="0"/>
        <v>1.4694963004424411E-2</v>
      </c>
      <c r="I13" s="2">
        <f>IF(Data!V13=0,"",Data!V13)</f>
        <v>-1.05033758473693E-3</v>
      </c>
      <c r="J13" s="2">
        <f>IF(Data!W13=0,"",Data!W13)</f>
        <v>2.0379870482582999E-2</v>
      </c>
      <c r="K13" s="2">
        <f t="shared" si="1"/>
        <v>0.78011770670123759</v>
      </c>
      <c r="L13" s="2">
        <f>IF(Data!X13=0,"",Data!X13)</f>
        <v>1.06474789536218E-2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x14ac:dyDescent="0.15">
      <c r="A14" s="1">
        <f>Data!A14</f>
        <v>43025</v>
      </c>
      <c r="B14" t="str">
        <f>Data!B14</f>
        <v>123001.SZ</v>
      </c>
      <c r="C14" t="str">
        <f>Data!C14</f>
        <v>蓝标转债</v>
      </c>
      <c r="D14" t="str">
        <f>Data!E14</f>
        <v>300058.SZ</v>
      </c>
      <c r="E14" t="str">
        <f>Data!F14</f>
        <v>蓝色光标</v>
      </c>
      <c r="F14" s="6">
        <f>Data!D14</f>
        <v>104.267</v>
      </c>
      <c r="G14" s="6">
        <f>Data!N14</f>
        <v>102.785455127677</v>
      </c>
      <c r="H14" s="2">
        <f t="shared" si="0"/>
        <v>1.4413954488820213E-2</v>
      </c>
      <c r="I14" s="2">
        <f>IF(Data!V14=0,"",Data!V14)</f>
        <v>3.6466526380744303E-2</v>
      </c>
      <c r="J14" s="2">
        <f>IF(Data!W14=0,"",Data!W14)</f>
        <v>3.2794118852470501E-2</v>
      </c>
      <c r="K14" s="2">
        <f t="shared" si="1"/>
        <v>0.25064701321083521</v>
      </c>
      <c r="L14" s="2">
        <f>IF(Data!X14=0,"",Data!X14)</f>
        <v>1.1026418980406599E-2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x14ac:dyDescent="0.15">
      <c r="A15" s="1">
        <f>Data!A15</f>
        <v>43025</v>
      </c>
      <c r="B15" t="str">
        <f>Data!B15</f>
        <v>127003.SZ</v>
      </c>
      <c r="C15" t="str">
        <f>Data!C15</f>
        <v>海印转债</v>
      </c>
      <c r="D15" t="str">
        <f>Data!E15</f>
        <v>000861.SZ</v>
      </c>
      <c r="E15" t="str">
        <f>Data!F15</f>
        <v>海印股份</v>
      </c>
      <c r="F15" s="6">
        <f>Data!D15</f>
        <v>101.74679999999999</v>
      </c>
      <c r="G15" s="6">
        <f>Data!N15</f>
        <v>98.768178207884901</v>
      </c>
      <c r="H15" s="2">
        <f t="shared" si="0"/>
        <v>3.0157707129575329E-2</v>
      </c>
      <c r="I15" s="2">
        <f>IF(Data!V15=0,"",Data!V15)</f>
        <v>1.1454171679533399E-2</v>
      </c>
      <c r="J15" s="2">
        <f>IF(Data!W15=0,"",Data!W15)</f>
        <v>3.6986577569998701E-2</v>
      </c>
      <c r="K15" s="2">
        <f t="shared" si="1"/>
        <v>0.69346089088798113</v>
      </c>
      <c r="L15" s="2">
        <f>IF(Data!X15=0,"",Data!X15)</f>
        <v>2.5968868831617101E-2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x14ac:dyDescent="0.15">
      <c r="A16" s="1">
        <f>Data!A16</f>
        <v>43025</v>
      </c>
      <c r="B16" t="str">
        <f>Data!B16</f>
        <v>127004.SZ</v>
      </c>
      <c r="C16" t="str">
        <f>Data!C16</f>
        <v>模塑转债</v>
      </c>
      <c r="D16" t="str">
        <f>Data!E16</f>
        <v>000700.SZ</v>
      </c>
      <c r="E16" t="str">
        <f>Data!F16</f>
        <v>模塑科技</v>
      </c>
      <c r="F16" s="6">
        <f>Data!D16</f>
        <v>109.211</v>
      </c>
      <c r="G16" s="6">
        <f>Data!N16</f>
        <v>111.83266793228501</v>
      </c>
      <c r="H16" s="2">
        <f t="shared" si="0"/>
        <v>-2.3442773750800949E-2</v>
      </c>
      <c r="I16" s="2">
        <f>IF(Data!V16=0,"",Data!V16)</f>
        <v>-1.9634603836758802E-2</v>
      </c>
      <c r="J16" s="2">
        <f>IF(Data!W16=0,"",Data!W16)</f>
        <v>1.4237023938130099E-2</v>
      </c>
      <c r="K16" s="2">
        <f t="shared" si="1"/>
        <v>0.39454843338481599</v>
      </c>
      <c r="L16" s="2">
        <f>IF(Data!X16=0,"",Data!X16)</f>
        <v>-3.3808769861591398E-2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x14ac:dyDescent="0.15">
      <c r="A17" s="1">
        <f>Data!A17</f>
        <v>43025</v>
      </c>
      <c r="B17" t="str">
        <f>Data!B17</f>
        <v>128010.SZ</v>
      </c>
      <c r="C17" t="str">
        <f>Data!C17</f>
        <v>顺昌转债</v>
      </c>
      <c r="D17" t="str">
        <f>Data!E17</f>
        <v>002245.SZ</v>
      </c>
      <c r="E17" t="str">
        <f>Data!F17</f>
        <v>澳洋顺昌</v>
      </c>
      <c r="F17" s="6">
        <f>Data!D17</f>
        <v>117.06310000000001</v>
      </c>
      <c r="G17" s="6">
        <f>Data!N17</f>
        <v>116.392868799485</v>
      </c>
      <c r="H17" s="2">
        <f t="shared" si="0"/>
        <v>5.7583527876579055E-3</v>
      </c>
      <c r="I17" s="2">
        <f>IF(Data!V17=0,"",Data!V17)</f>
        <v>-4.39329518253802E-2</v>
      </c>
      <c r="J17" s="2">
        <f>IF(Data!W17=0,"",Data!W17)</f>
        <v>4.9162032053867197E-2</v>
      </c>
      <c r="K17" s="2">
        <f t="shared" si="1"/>
        <v>0.84393575151905931</v>
      </c>
      <c r="L17" s="2">
        <f>IF(Data!X17=0,"",Data!X17)</f>
        <v>-4.4867987424727397E-3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x14ac:dyDescent="0.15">
      <c r="A18" s="1">
        <f>Data!A18</f>
        <v>43025</v>
      </c>
      <c r="B18" t="str">
        <f>Data!B18</f>
        <v>128012.SZ</v>
      </c>
      <c r="C18" t="str">
        <f>Data!C18</f>
        <v>辉丰转债</v>
      </c>
      <c r="D18" t="str">
        <f>Data!E18</f>
        <v>002496.SZ</v>
      </c>
      <c r="E18" t="str">
        <f>Data!F18</f>
        <v>辉丰股份</v>
      </c>
      <c r="F18" s="6">
        <f>Data!D18</f>
        <v>104.5688</v>
      </c>
      <c r="G18" s="6">
        <f>Data!N18</f>
        <v>98.350914981287204</v>
      </c>
      <c r="H18" s="2">
        <f t="shared" si="0"/>
        <v>6.3221425239367024E-2</v>
      </c>
      <c r="I18" s="2">
        <f>IF(Data!V18=0,"",Data!V18)</f>
        <v>0.11982661797218799</v>
      </c>
      <c r="J18" s="2">
        <f>IF(Data!W18=0,"",Data!W18)</f>
        <v>4.1336250974250303E-2</v>
      </c>
      <c r="K18" s="2">
        <f t="shared" si="1"/>
        <v>8.543966661303648E-2</v>
      </c>
      <c r="L18" s="2">
        <f>IF(Data!X18=0,"",Data!X18)</f>
        <v>5.7652771529647498E-2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x14ac:dyDescent="0.15">
      <c r="A19" s="1">
        <f>Data!A19</f>
        <v>43025</v>
      </c>
      <c r="B19" t="str">
        <f>Data!B19</f>
        <v>128013.SZ</v>
      </c>
      <c r="C19" t="str">
        <f>Data!C19</f>
        <v>洪涛转债</v>
      </c>
      <c r="D19" t="str">
        <f>Data!E19</f>
        <v>002325.SZ</v>
      </c>
      <c r="E19" t="str">
        <f>Data!F19</f>
        <v>洪涛股份</v>
      </c>
      <c r="F19" s="6">
        <f>Data!D19</f>
        <v>101.5448</v>
      </c>
      <c r="G19" s="6">
        <f>Data!N19</f>
        <v>100.358388696427</v>
      </c>
      <c r="H19" s="2">
        <f t="shared" si="0"/>
        <v>1.1821745237079906E-2</v>
      </c>
      <c r="I19" s="2">
        <f>IF(Data!V19=0,"",Data!V19)</f>
        <v>1.4010454152848901E-2</v>
      </c>
      <c r="J19" s="2">
        <f>IF(Data!W19=0,"",Data!W19)</f>
        <v>2.6119543725401699E-2</v>
      </c>
      <c r="K19" s="2">
        <f t="shared" si="1"/>
        <v>0.4666093807026474</v>
      </c>
      <c r="L19" s="2">
        <f>IF(Data!X19=0,"",Data!X19)</f>
        <v>8.2151498072928104E-3</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x14ac:dyDescent="0.15">
      <c r="A20" s="1">
        <f>Data!A20</f>
        <v>43025</v>
      </c>
      <c r="B20" t="str">
        <f>Data!B20</f>
        <v>128014.SZ</v>
      </c>
      <c r="C20" t="str">
        <f>Data!C20</f>
        <v>永东转债</v>
      </c>
      <c r="D20" t="str">
        <f>Data!E20</f>
        <v>002753.SZ</v>
      </c>
      <c r="E20" t="str">
        <f>Data!F20</f>
        <v>永东股份</v>
      </c>
      <c r="F20" s="6">
        <f>Data!D20</f>
        <v>116.5219</v>
      </c>
      <c r="G20" s="6">
        <f>Data!N20</f>
        <v>144.717328045084</v>
      </c>
      <c r="H20" s="2">
        <f t="shared" si="0"/>
        <v>-0.19483104356584191</v>
      </c>
      <c r="I20" s="2">
        <f>IF(Data!V20=0,"",Data!V20)</f>
        <v>-0.167205229511529</v>
      </c>
      <c r="J20" s="2">
        <f>IF(Data!W20=0,"",Data!W20)</f>
        <v>4.3752045950692001E-2</v>
      </c>
      <c r="K20" s="2">
        <f t="shared" si="1"/>
        <v>0.26388373911073904</v>
      </c>
      <c r="L20" s="2">
        <f>IF(Data!X20=0,"",Data!X20)</f>
        <v>-0.20707495672208601</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x14ac:dyDescent="0.15">
      <c r="A21" s="1">
        <f>Data!A21</f>
        <v>43025</v>
      </c>
      <c r="B21" t="str">
        <f>Data!B21</f>
        <v>128015.SZ</v>
      </c>
      <c r="C21" t="str">
        <f>Data!C21</f>
        <v>久其转债</v>
      </c>
      <c r="D21" t="str">
        <f>Data!E21</f>
        <v>002279.SZ</v>
      </c>
      <c r="E21" t="str">
        <f>Data!F21</f>
        <v>久其软件</v>
      </c>
      <c r="F21" s="6">
        <f>Data!D21</f>
        <v>114.78149999999999</v>
      </c>
      <c r="G21" s="6">
        <f>Data!N21</f>
        <v>115.44513340145799</v>
      </c>
      <c r="H21" s="2">
        <f t="shared" si="0"/>
        <v>-5.7484744649237696E-3</v>
      </c>
      <c r="I21" s="2">
        <f>IF(Data!V21=0,"",Data!V21)</f>
        <v>-8.6273716944768302E-3</v>
      </c>
      <c r="J21" s="2">
        <f>IF(Data!W21=0,"",Data!W21)</f>
        <v>2.1702845166473798E-2</v>
      </c>
      <c r="K21" s="2">
        <f t="shared" si="1"/>
        <v>0.55276517624691379</v>
      </c>
      <c r="L21" s="2">
        <f>IF(Data!X21=0,"",Data!X21)</f>
        <v>-1.5880162798485201E-2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x14ac:dyDescent="0.15">
      <c r="A22" s="1">
        <f>Data!A22</f>
        <v>43025</v>
      </c>
      <c r="B22" t="str">
        <f>Data!B22</f>
        <v>132001.SH</v>
      </c>
      <c r="C22" t="str">
        <f>Data!C22</f>
        <v>14宝钢EB</v>
      </c>
      <c r="D22" t="str">
        <f>Data!E22</f>
        <v>601336.SH</v>
      </c>
      <c r="E22" t="str">
        <f>Data!F22</f>
        <v>新华保险</v>
      </c>
      <c r="F22" s="6">
        <f>Data!D22</f>
        <v>138.97999999999999</v>
      </c>
      <c r="G22" s="6">
        <f>Data!N22</f>
        <v>140.28303776297</v>
      </c>
      <c r="H22" s="2">
        <f t="shared" si="0"/>
        <v>-9.2886337774613636E-3</v>
      </c>
      <c r="I22" s="2">
        <f>IF(Data!V22=0,"",Data!V22)</f>
        <v>5.6325254001265701E-3</v>
      </c>
      <c r="J22" s="2">
        <f>IF(Data!W22=0,"",Data!W22)</f>
        <v>2.73877655503297E-2</v>
      </c>
      <c r="K22" s="2">
        <f t="shared" si="1"/>
        <v>0.29294171552907433</v>
      </c>
      <c r="L22" s="2">
        <f>IF(Data!X22=0,"",Data!X22)</f>
        <v>-4.1863345573790603E-3</v>
      </c>
      <c r="M22" s="2">
        <f>IF(Data!Y22=0,"",Data!Y22)</f>
        <v>1.1920721362155299E-2</v>
      </c>
      <c r="N22" s="2">
        <f>IF(Data!Z22=0,"",Data!Z22)</f>
        <v>-1.55475431791728E-2</v>
      </c>
      <c r="O22" s="2">
        <f>IF(Data!AA22=0,"",Data!AA22)</f>
        <v>-1.30285291955022E-2</v>
      </c>
      <c r="P22" s="2">
        <f>IF(Data!AB22=0,"",Data!AB22)</f>
        <v>-3.4033998743630599E-3</v>
      </c>
      <c r="Q22" s="2">
        <f>IF(Data!AC22=0,"",Data!AC22)</f>
        <v>-3.2247200402337001E-2</v>
      </c>
      <c r="R22" s="2">
        <f>IF(Data!AD22=0,"",Data!AD22)</f>
        <v>-9.3154701821644894E-3</v>
      </c>
      <c r="S22" s="2">
        <f>IF(Data!AE22=0,"",Data!AE22)</f>
        <v>-4.8814367035250898E-4</v>
      </c>
      <c r="T22" s="2">
        <f>IF(Data!AF22=0,"",Data!AF22)</f>
        <v>-1.80834911250936E-3</v>
      </c>
      <c r="U22" s="2">
        <f>IF(Data!AG22=0,"",Data!AG22)</f>
        <v>1.20222737112645E-2</v>
      </c>
    </row>
    <row r="23" spans="1:21" x14ac:dyDescent="0.15">
      <c r="A23" s="1">
        <f>Data!A23</f>
        <v>43025</v>
      </c>
      <c r="B23" t="str">
        <f>Data!B23</f>
        <v>132002.SH</v>
      </c>
      <c r="C23" t="str">
        <f>Data!C23</f>
        <v>15天集EB</v>
      </c>
      <c r="D23" t="str">
        <f>Data!E23</f>
        <v>600535.SH</v>
      </c>
      <c r="E23" t="str">
        <f>Data!F23</f>
        <v>天士力</v>
      </c>
      <c r="F23" s="6">
        <f>Data!D23</f>
        <v>103.7</v>
      </c>
      <c r="G23" s="6">
        <f>Data!N23</f>
        <v>91.920798545707598</v>
      </c>
      <c r="H23" s="2">
        <f t="shared" si="0"/>
        <v>0.12814511667275386</v>
      </c>
      <c r="I23" s="2">
        <f>IF(Data!V23=0,"",Data!V23)</f>
        <v>0.11067692139391901</v>
      </c>
      <c r="J23" s="2">
        <f>IF(Data!W23=0,"",Data!W23)</f>
        <v>1.6936702853744202E-2</v>
      </c>
      <c r="K23" s="2">
        <f t="shared" si="1"/>
        <v>0.84881893064969893</v>
      </c>
      <c r="L23" s="2">
        <f>IF(Data!X23=0,"",Data!X23)</f>
        <v>0.12189978960579299</v>
      </c>
      <c r="M23" s="2">
        <f>IF(Data!Y23=0,"",Data!Y23)</f>
        <v>0.13047197333649099</v>
      </c>
      <c r="N23" s="2">
        <f>IF(Data!Z23=0,"",Data!Z23)</f>
        <v>0.12811014658498901</v>
      </c>
      <c r="O23" s="2">
        <f>IF(Data!AA23=0,"",Data!AA23)</f>
        <v>0.122106794087927</v>
      </c>
      <c r="P23" s="2">
        <f>IF(Data!AB23=0,"",Data!AB23)</f>
        <v>0.13006389583709399</v>
      </c>
      <c r="Q23" s="2">
        <f>IF(Data!AC23=0,"",Data!AC23)</f>
        <v>0.11111255248416101</v>
      </c>
      <c r="R23" s="2">
        <f>IF(Data!AD23=0,"",Data!AD23)</f>
        <v>9.9558537784547901E-2</v>
      </c>
      <c r="S23" s="2">
        <f>IF(Data!AE23=0,"",Data!AE23)</f>
        <v>0.10569657143412001</v>
      </c>
      <c r="T23" s="2">
        <f>IF(Data!AF23=0,"",Data!AF23)</f>
        <v>0.114844734761814</v>
      </c>
      <c r="U23" s="2">
        <f>IF(Data!AG23=0,"",Data!AG23)</f>
        <v>9.50945281834744E-2</v>
      </c>
    </row>
    <row r="24" spans="1:21" x14ac:dyDescent="0.15">
      <c r="A24" s="1">
        <f>Data!A24</f>
        <v>43025</v>
      </c>
      <c r="B24" t="str">
        <f>Data!B24</f>
        <v>132003.SH</v>
      </c>
      <c r="C24" t="str">
        <f>Data!C24</f>
        <v>15清控EB</v>
      </c>
      <c r="D24" t="str">
        <f>Data!E24</f>
        <v>600109.SH</v>
      </c>
      <c r="E24" t="str">
        <f>Data!F24</f>
        <v>国金证券</v>
      </c>
      <c r="F24" s="6">
        <f>Data!D24</f>
        <v>102.4</v>
      </c>
      <c r="G24" s="6">
        <f>Data!N24</f>
        <v>98.266573016081693</v>
      </c>
      <c r="H24" s="2">
        <f t="shared" si="0"/>
        <v>4.2063408309169992E-2</v>
      </c>
      <c r="I24" s="2">
        <f>IF(Data!V24=0,"",Data!V24)</f>
        <v>8.7888033730941006E-2</v>
      </c>
      <c r="J24" s="2">
        <f>IF(Data!W24=0,"",Data!W24)</f>
        <v>3.7756495584386499E-2</v>
      </c>
      <c r="K24" s="2">
        <f t="shared" si="1"/>
        <v>0.11243334401704708</v>
      </c>
      <c r="L24" s="2">
        <f>IF(Data!X24=0,"",Data!X24)</f>
        <v>4.25382236585366E-2</v>
      </c>
      <c r="M24" s="2">
        <f>IF(Data!Y24=0,"",Data!Y24)</f>
        <v>5.1694659833360197E-2</v>
      </c>
      <c r="N24" s="2">
        <f>IF(Data!Z24=0,"",Data!Z24)</f>
        <v>6.8642226312463694E-2</v>
      </c>
      <c r="O24" s="2">
        <f>IF(Data!AA24=0,"",Data!AA24)</f>
        <v>6.9274509947361507E-2</v>
      </c>
      <c r="P24" s="2">
        <f>IF(Data!AB24=0,"",Data!AB24)</f>
        <v>5.64202278022886E-2</v>
      </c>
      <c r="Q24" s="2">
        <f>IF(Data!AC24=0,"",Data!AC24)</f>
        <v>4.6074026708987803E-2</v>
      </c>
      <c r="R24" s="2">
        <f>IF(Data!AD24=0,"",Data!AD24)</f>
        <v>5.8520006370922202E-2</v>
      </c>
      <c r="S24" s="2">
        <f>IF(Data!AE24=0,"",Data!AE24)</f>
        <v>9.8222245283364804E-2</v>
      </c>
      <c r="T24" s="2">
        <f>IF(Data!AF24=0,"",Data!AF24)</f>
        <v>0.119216721471503</v>
      </c>
      <c r="U24" s="2">
        <f>IF(Data!AG24=0,"",Data!AG24)</f>
        <v>0.11675218909893</v>
      </c>
    </row>
    <row r="25" spans="1:21" x14ac:dyDescent="0.15">
      <c r="A25" s="1">
        <f>Data!A25</f>
        <v>43025</v>
      </c>
      <c r="B25" t="str">
        <f>Data!B25</f>
        <v>132004.SH</v>
      </c>
      <c r="C25" t="str">
        <f>Data!C25</f>
        <v>15国盛EB</v>
      </c>
      <c r="D25" t="str">
        <f>Data!E25</f>
        <v>600170.SH</v>
      </c>
      <c r="E25" t="str">
        <f>Data!F25</f>
        <v>上海建工</v>
      </c>
      <c r="F25" s="6">
        <f>Data!D25</f>
        <v>92.96</v>
      </c>
      <c r="G25" s="6">
        <f>Data!N25</f>
        <v>90.267797254927999</v>
      </c>
      <c r="H25" s="2">
        <f t="shared" si="0"/>
        <v>2.982461993028207E-2</v>
      </c>
      <c r="I25" s="2">
        <f>IF(Data!V25=0,"",Data!V25)</f>
        <v>4.5740177224014002E-2</v>
      </c>
      <c r="J25" s="2">
        <f>IF(Data!W25=0,"",Data!W25)</f>
        <v>1.2257466006222901E-2</v>
      </c>
      <c r="K25" s="2">
        <f t="shared" si="1"/>
        <v>9.7068467130554253E-2</v>
      </c>
      <c r="L25" s="2">
        <f>IF(Data!X25=0,"",Data!X25)</f>
        <v>2.6752893583747401E-2</v>
      </c>
      <c r="M25" s="2">
        <f>IF(Data!Y25=0,"",Data!Y25)</f>
        <v>3.2268087996484902E-2</v>
      </c>
      <c r="N25" s="2">
        <f>IF(Data!Z25=0,"",Data!Z25)</f>
        <v>4.3778004845818501E-2</v>
      </c>
      <c r="O25" s="2">
        <f>IF(Data!AA25=0,"",Data!AA25)</f>
        <v>3.91908602366784E-2</v>
      </c>
      <c r="P25" s="2">
        <f>IF(Data!AB25=0,"",Data!AB25)</f>
        <v>4.3298993303570801E-2</v>
      </c>
      <c r="Q25" s="2">
        <f>IF(Data!AC25=0,"",Data!AC25)</f>
        <v>3.3890391339799097E-2</v>
      </c>
      <c r="R25" s="2">
        <f>IF(Data!AD25=0,"",Data!AD25)</f>
        <v>4.15225101551484E-2</v>
      </c>
      <c r="S25" s="2">
        <f>IF(Data!AE25=0,"",Data!AE25)</f>
        <v>6.4566577364887107E-2</v>
      </c>
      <c r="T25" s="2">
        <f>IF(Data!AF25=0,"",Data!AF25)</f>
        <v>5.7415856721002002E-2</v>
      </c>
      <c r="U25" s="2">
        <f>IF(Data!AG25=0,"",Data!AG25)</f>
        <v>4.2834995431012102E-2</v>
      </c>
    </row>
    <row r="26" spans="1:21" x14ac:dyDescent="0.15">
      <c r="A26" s="1">
        <f>Data!A26</f>
        <v>43025</v>
      </c>
      <c r="B26" t="str">
        <f>Data!B26</f>
        <v>132005.SH</v>
      </c>
      <c r="C26" t="str">
        <f>Data!C26</f>
        <v>15国资EB</v>
      </c>
      <c r="D26" t="str">
        <f>Data!E26</f>
        <v>601601.SH</v>
      </c>
      <c r="E26" t="str">
        <f>Data!F26</f>
        <v>中国太保</v>
      </c>
      <c r="F26" s="6">
        <f>Data!D26</f>
        <v>122.8</v>
      </c>
      <c r="G26" s="6">
        <f>Data!N26</f>
        <v>122.80251609940299</v>
      </c>
      <c r="H26" s="2">
        <f t="shared" si="0"/>
        <v>-2.0488989011968606E-5</v>
      </c>
      <c r="I26" s="2">
        <f>IF(Data!V26=0,"",Data!V26)</f>
        <v>4.5763182576397797E-2</v>
      </c>
      <c r="J26" s="2">
        <f>IF(Data!W26=0,"",Data!W26)</f>
        <v>2.35363697540526E-2</v>
      </c>
      <c r="K26" s="2">
        <f t="shared" si="1"/>
        <v>2.5873602715303645E-2</v>
      </c>
      <c r="L26" s="2">
        <f>IF(Data!X26=0,"",Data!X26)</f>
        <v>1.02220235591696E-3</v>
      </c>
      <c r="M26" s="2">
        <f>IF(Data!Y26=0,"",Data!Y26)</f>
        <v>2.4977574481994801E-2</v>
      </c>
      <c r="N26" s="2">
        <f>IF(Data!Z26=0,"",Data!Z26)</f>
        <v>3.0169425658020999E-2</v>
      </c>
      <c r="O26" s="2">
        <f>IF(Data!AA26=0,"",Data!AA26)</f>
        <v>2.80064704348136E-2</v>
      </c>
      <c r="P26" s="2">
        <f>IF(Data!AB26=0,"",Data!AB26)</f>
        <v>1.9210297244119798E-2</v>
      </c>
      <c r="Q26" s="2">
        <f>IF(Data!AC26=0,"",Data!AC26)</f>
        <v>3.2513837368254403E-2</v>
      </c>
      <c r="R26" s="2">
        <f>IF(Data!AD26=0,"",Data!AD26)</f>
        <v>3.3362227751618602E-2</v>
      </c>
      <c r="S26" s="2">
        <f>IF(Data!AE26=0,"",Data!AE26)</f>
        <v>5.9441082552434001E-2</v>
      </c>
      <c r="T26" s="2">
        <f>IF(Data!AF26=0,"",Data!AF26)</f>
        <v>7.4860244802746195E-2</v>
      </c>
      <c r="U26" s="2">
        <f>IF(Data!AG26=0,"",Data!AG26)</f>
        <v>7.2305340338014404E-2</v>
      </c>
    </row>
    <row r="27" spans="1:21" x14ac:dyDescent="0.15">
      <c r="A27" s="1">
        <f>Data!A27</f>
        <v>43025</v>
      </c>
      <c r="B27" t="str">
        <f>Data!B27</f>
        <v>132006.SH</v>
      </c>
      <c r="C27" t="str">
        <f>Data!C27</f>
        <v>16皖新EB</v>
      </c>
      <c r="D27" t="str">
        <f>Data!E27</f>
        <v>601801.SH</v>
      </c>
      <c r="E27" t="str">
        <f>Data!F27</f>
        <v>皖新传媒</v>
      </c>
      <c r="F27" s="6">
        <f>Data!D27</f>
        <v>102.28</v>
      </c>
      <c r="G27" s="6">
        <f>Data!N27</f>
        <v>108.93784159081</v>
      </c>
      <c r="H27" s="2">
        <f t="shared" si="0"/>
        <v>-6.1115967542463734E-2</v>
      </c>
      <c r="I27" s="2">
        <f>IF(Data!V27=0,"",Data!V27)</f>
        <v>-0.13817442943783101</v>
      </c>
      <c r="J27" s="2">
        <f>IF(Data!W27=0,"",Data!W27)</f>
        <v>6.5632175028284001E-2</v>
      </c>
      <c r="K27" s="2">
        <f t="shared" si="1"/>
        <v>0.87982167480269413</v>
      </c>
      <c r="L27" s="2">
        <f>IF(Data!X27=0,"",Data!X27)</f>
        <v>-6.7486952541001996E-2</v>
      </c>
      <c r="M27" s="2">
        <f>IF(Data!Y27=0,"",Data!Y27)</f>
        <v>-7.0258105786472E-2</v>
      </c>
      <c r="N27" s="2">
        <f>IF(Data!Z27=0,"",Data!Z27)</f>
        <v>-8.5604903438311702E-2</v>
      </c>
      <c r="O27" s="2">
        <f>IF(Data!AA27=0,"",Data!AA27)</f>
        <v>-0.12764772860677701</v>
      </c>
      <c r="P27" s="2">
        <f>IF(Data!AB27=0,"",Data!AB27)</f>
        <v>-0.16515116679133501</v>
      </c>
      <c r="Q27" s="2">
        <f>IF(Data!AC27=0,"",Data!AC27)</f>
        <v>-0.219735845191359</v>
      </c>
      <c r="R27" s="2">
        <f>IF(Data!AD27=0,"",Data!AD27)</f>
        <v>-0.22692635197402</v>
      </c>
      <c r="S27" s="2">
        <f>IF(Data!AE27=0,"",Data!AE27)</f>
        <v>-0.227860274054241</v>
      </c>
      <c r="T27" s="2">
        <f>IF(Data!AF27=0,"",Data!AF27)</f>
        <v>-0.21502503963231501</v>
      </c>
      <c r="U27" s="2">
        <f>IF(Data!AG27=0,"",Data!AG27)</f>
        <v>-0.18730770497707799</v>
      </c>
    </row>
    <row r="28" spans="1:21" x14ac:dyDescent="0.15">
      <c r="A28" s="1">
        <f>Data!A28</f>
        <v>43025</v>
      </c>
      <c r="B28" t="str">
        <f>Data!B28</f>
        <v>132007.SH</v>
      </c>
      <c r="C28" t="str">
        <f>Data!C28</f>
        <v>16凤凰EB</v>
      </c>
      <c r="D28" t="str">
        <f>Data!E28</f>
        <v>601928.SH</v>
      </c>
      <c r="E28" t="str">
        <f>Data!F28</f>
        <v>凤凰传媒</v>
      </c>
      <c r="F28" s="6">
        <f>Data!D28</f>
        <v>93</v>
      </c>
      <c r="G28" s="6">
        <f>Data!N28</f>
        <v>91.826457293386895</v>
      </c>
      <c r="H28" s="2">
        <f t="shared" si="0"/>
        <v>1.2780006342438144E-2</v>
      </c>
      <c r="I28" s="2">
        <f>IF(Data!V28=0,"",Data!V28)</f>
        <v>5.9193283559891202E-2</v>
      </c>
      <c r="J28" s="2">
        <f>IF(Data!W28=0,"",Data!W28)</f>
        <v>3.57139611566153E-2</v>
      </c>
      <c r="K28" s="2">
        <f t="shared" si="1"/>
        <v>9.6871866548502661E-2</v>
      </c>
      <c r="L28" s="2">
        <f>IF(Data!X28=0,"",Data!X28)</f>
        <v>1.3228613515065501E-2</v>
      </c>
      <c r="M28" s="2">
        <f>IF(Data!Y28=0,"",Data!Y28)</f>
        <v>2.4012563559759999E-2</v>
      </c>
      <c r="N28" s="2">
        <f>IF(Data!Z28=0,"",Data!Z28)</f>
        <v>3.0496358545474299E-2</v>
      </c>
      <c r="O28" s="2">
        <f>IF(Data!AA28=0,"",Data!AA28)</f>
        <v>2.5970334716573201E-2</v>
      </c>
      <c r="P28" s="2">
        <f>IF(Data!AB28=0,"",Data!AB28)</f>
        <v>2.87096233099251E-2</v>
      </c>
      <c r="Q28" s="2">
        <f>IF(Data!AC28=0,"",Data!AC28)</f>
        <v>3.9894816718214501E-2</v>
      </c>
      <c r="R28" s="2">
        <f>IF(Data!AD28=0,"",Data!AD28)</f>
        <v>6.2616010554276E-2</v>
      </c>
      <c r="S28" s="2">
        <f>IF(Data!AE28=0,"",Data!AE28)</f>
        <v>9.3069509008616699E-2</v>
      </c>
      <c r="T28" s="2">
        <f>IF(Data!AF28=0,"",Data!AF28)</f>
        <v>0.103628665102124</v>
      </c>
      <c r="U28" s="2">
        <f>IF(Data!AG28=0,"",Data!AG28)</f>
        <v>9.3497913727799295E-2</v>
      </c>
    </row>
    <row r="29" spans="1:21" x14ac:dyDescent="0.15">
      <c r="A29" s="1">
        <f>Data!A29</f>
        <v>43025</v>
      </c>
      <c r="B29" t="str">
        <f>Data!B29</f>
        <v>132008.SH</v>
      </c>
      <c r="C29" t="str">
        <f>Data!C29</f>
        <v>17山高EB</v>
      </c>
      <c r="D29" t="str">
        <f>Data!E29</f>
        <v>600350.SH</v>
      </c>
      <c r="E29" t="str">
        <f>Data!F29</f>
        <v>山东高速</v>
      </c>
      <c r="F29" s="6">
        <f>Data!D29</f>
        <v>95.46</v>
      </c>
      <c r="G29" s="6">
        <f>Data!N29</f>
        <v>95.465299082695694</v>
      </c>
      <c r="H29" s="2">
        <f t="shared" si="0"/>
        <v>-5.5507946307375988E-5</v>
      </c>
      <c r="I29" s="2">
        <f>IF(Data!V29=0,"",Data!V29)</f>
        <v>-6.192698027365E-3</v>
      </c>
      <c r="J29" s="2">
        <f>IF(Data!W29=0,"",Data!W29)</f>
        <v>9.4799494772166096E-3</v>
      </c>
      <c r="K29" s="2">
        <f t="shared" si="1"/>
        <v>0.74130904251404883</v>
      </c>
      <c r="L29" s="2">
        <f>IF(Data!X29=0,"",Data!X29)</f>
        <v>-1.8099371646091401E-3</v>
      </c>
      <c r="M29" s="2">
        <f>IF(Data!Y29=0,"",Data!Y29)</f>
        <v>7.6092645465502298E-5</v>
      </c>
      <c r="N29" s="2">
        <f>IF(Data!Z29=0,"",Data!Z29)</f>
        <v>1.15602493344569E-3</v>
      </c>
      <c r="O29" s="2">
        <f>IF(Data!AA29=0,"",Data!AA29)</f>
        <v>-4.8546617391110802E-3</v>
      </c>
      <c r="P29" s="2">
        <f>IF(Data!AB29=0,"",Data!AB29)</f>
        <v>-1.17416411778885E-2</v>
      </c>
      <c r="Q29" s="2">
        <f>IF(Data!AC29=0,"",Data!AC29)</f>
        <v>-2.4451665028072202E-2</v>
      </c>
      <c r="R29" s="2" t="str">
        <f>IF(Data!AD29=0,"",Data!AD29)</f>
        <v/>
      </c>
      <c r="S29" s="2" t="str">
        <f>IF(Data!AE29=0,"",Data!AE29)</f>
        <v/>
      </c>
      <c r="T29" s="2" t="str">
        <f>IF(Data!AF29=0,"",Data!AF29)</f>
        <v/>
      </c>
      <c r="U29" s="2" t="str">
        <f>IF(Data!AG29=0,"",Data!AG29)</f>
        <v/>
      </c>
    </row>
    <row r="30" spans="1:21" x14ac:dyDescent="0.15">
      <c r="A30" s="1">
        <f>Data!A30</f>
        <v>43025</v>
      </c>
      <c r="B30" t="str">
        <f>Data!B30</f>
        <v>132009.SH</v>
      </c>
      <c r="C30" t="str">
        <f>Data!C30</f>
        <v>17中油EB</v>
      </c>
      <c r="D30" t="str">
        <f>Data!E30</f>
        <v>601857.SH</v>
      </c>
      <c r="E30" t="str">
        <f>Data!F30</f>
        <v>中国石油</v>
      </c>
      <c r="F30" s="6">
        <f>Data!D30</f>
        <v>102.15</v>
      </c>
      <c r="G30" s="6">
        <f>Data!N30</f>
        <v>96.493908560795802</v>
      </c>
      <c r="H30" s="2">
        <f t="shared" si="0"/>
        <v>5.8616046583298997E-2</v>
      </c>
      <c r="I30" s="2">
        <f>IF(Data!V30=0,"",Data!V30)</f>
        <v>5.8666949462836501E-2</v>
      </c>
      <c r="J30" s="2">
        <f>IF(Data!W30=0,"",Data!W30)</f>
        <v>1.17246821733953E-2</v>
      </c>
      <c r="K30" s="2">
        <f t="shared" si="1"/>
        <v>0.49826799168224944</v>
      </c>
      <c r="L30" s="2">
        <f>IF(Data!X30=0,"",Data!X30)</f>
        <v>5.6123823139128302E-2</v>
      </c>
      <c r="M30" s="2">
        <f>IF(Data!Y30=0,"",Data!Y30)</f>
        <v>6.2190776164863897E-2</v>
      </c>
      <c r="N30" s="2">
        <f>IF(Data!Z30=0,"",Data!Z30)</f>
        <v>6.1126650590453101E-2</v>
      </c>
      <c r="O30" s="2">
        <f>IF(Data!AA30=0,"",Data!AA30)</f>
        <v>3.6112628980476298E-2</v>
      </c>
      <c r="P30" s="2" t="str">
        <f>IF(Data!AB30=0,"",Data!AB30)</f>
        <v/>
      </c>
      <c r="Q30" s="2" t="str">
        <f>IF(Data!AC30=0,"",Data!AC30)</f>
        <v/>
      </c>
      <c r="R30" s="2" t="str">
        <f>IF(Data!AD30=0,"",Data!AD30)</f>
        <v/>
      </c>
      <c r="S30" s="2" t="str">
        <f>IF(Data!AE30=0,"",Data!AE30)</f>
        <v/>
      </c>
      <c r="T30" s="2" t="str">
        <f>IF(Data!AF30=0,"",Data!AF30)</f>
        <v/>
      </c>
      <c r="U30" s="2" t="str">
        <f>IF(Data!AG30=0,"",Data!AG30)</f>
        <v/>
      </c>
    </row>
    <row r="31" spans="1:21" x14ac:dyDescent="0.15">
      <c r="A31" s="1">
        <f>Data!A31</f>
        <v>43025</v>
      </c>
      <c r="B31" t="str">
        <f>Data!B31</f>
        <v>132010.SH</v>
      </c>
      <c r="C31" t="str">
        <f>Data!C31</f>
        <v>17桐昆EB</v>
      </c>
      <c r="D31" t="str">
        <f>Data!E31</f>
        <v>601233.SH</v>
      </c>
      <c r="E31" t="str">
        <f>Data!F31</f>
        <v>桐昆股份</v>
      </c>
      <c r="F31" s="6">
        <f>Data!D31</f>
        <v>115.9</v>
      </c>
      <c r="G31" s="6">
        <f>Data!N31</f>
        <v>119.781779541733</v>
      </c>
      <c r="H31" s="2">
        <f t="shared" si="0"/>
        <v>-3.2407095274290421E-2</v>
      </c>
      <c r="I31" s="2">
        <f>IF(Data!V31=0,"",Data!V31)</f>
        <v>-1.7291606374187401E-2</v>
      </c>
      <c r="J31" s="2">
        <f>IF(Data!W31=0,"",Data!W31)</f>
        <v>1.9446174397629301E-2</v>
      </c>
      <c r="K31" s="2">
        <f t="shared" si="1"/>
        <v>0.2184912381458001</v>
      </c>
      <c r="L31" s="2">
        <f>IF(Data!X31=0,"",Data!X31)</f>
        <v>-4.20007891958235E-2</v>
      </c>
      <c r="M31" s="2">
        <f>IF(Data!Y31=0,"",Data!Y31)</f>
        <v>-1.34289819379791E-2</v>
      </c>
      <c r="N31" s="2">
        <f>IF(Data!Z31=0,"",Data!Z31)</f>
        <v>-4.1702968611761898E-3</v>
      </c>
      <c r="O31" s="2" t="str">
        <f>IF(Data!AA31=0,"",Data!AA31)</f>
        <v/>
      </c>
      <c r="P31" s="2" t="str">
        <f>IF(Data!AB31=0,"",Data!AB31)</f>
        <v/>
      </c>
      <c r="Q31" s="2" t="str">
        <f>IF(Data!AC31=0,"",Data!AC31)</f>
        <v/>
      </c>
      <c r="R31" s="2" t="str">
        <f>IF(Data!AD31=0,"",Data!AD31)</f>
        <v/>
      </c>
      <c r="S31" s="2" t="str">
        <f>IF(Data!AE31=0,"",Data!AE31)</f>
        <v/>
      </c>
      <c r="T31" s="2" t="str">
        <f>IF(Data!AF31=0,"",Data!AF31)</f>
        <v/>
      </c>
      <c r="U31" s="2" t="str">
        <f>IF(Data!AG31=0,"",Data!AG31)</f>
        <v/>
      </c>
    </row>
    <row r="32" spans="1:21" x14ac:dyDescent="0.15">
      <c r="A32" s="1">
        <f>Data!A32</f>
        <v>43025</v>
      </c>
      <c r="B32" t="str">
        <f>Data!B32</f>
        <v>132011.SH</v>
      </c>
      <c r="C32" t="str">
        <f>Data!C32</f>
        <v>17浙报EB</v>
      </c>
      <c r="D32" t="str">
        <f>Data!E32</f>
        <v>600633.SH</v>
      </c>
      <c r="E32" t="str">
        <f>Data!F32</f>
        <v>浙数文化</v>
      </c>
      <c r="F32" s="6">
        <f>Data!D32</f>
        <v>93</v>
      </c>
      <c r="G32" s="6">
        <f>Data!N32</f>
        <v>99.036815166864699</v>
      </c>
      <c r="H32" s="2">
        <f t="shared" si="0"/>
        <v>-6.0955263521887515E-2</v>
      </c>
      <c r="I32" s="2">
        <f>IF(Data!V32=0,"",Data!V32)</f>
        <v>-5.9303264919933998E-2</v>
      </c>
      <c r="J32" s="2">
        <f>IF(Data!W32=0,"",Data!W32)</f>
        <v>1.83933085588187E-2</v>
      </c>
      <c r="K32" s="2">
        <f t="shared" si="1"/>
        <v>0.46421703641233297</v>
      </c>
      <c r="L32" s="2">
        <f>IF(Data!X32=0,"",Data!X32)</f>
        <v>-7.21053388950363E-2</v>
      </c>
      <c r="M32" s="2">
        <f>IF(Data!Y32=0,"",Data!Y32)</f>
        <v>-5.4586711350159502E-2</v>
      </c>
      <c r="N32" s="2" t="str">
        <f>IF(Data!Z32=0,"",Data!Z32)</f>
        <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x14ac:dyDescent="0.15">
      <c r="A33" s="1">
        <f>Data!A33</f>
        <v>43025</v>
      </c>
      <c r="B33" t="str">
        <f>Data!B33</f>
        <v>132012.SH</v>
      </c>
      <c r="C33" t="str">
        <f>Data!C33</f>
        <v>17巨化EB</v>
      </c>
      <c r="D33" t="str">
        <f>Data!E33</f>
        <v>600160.SH</v>
      </c>
      <c r="E33" t="str">
        <f>Data!F33</f>
        <v>巨化股份</v>
      </c>
      <c r="F33" s="6">
        <f>Data!D33</f>
        <v>103.9</v>
      </c>
      <c r="G33" s="6">
        <f>Data!N33</f>
        <v>113.535855742509</v>
      </c>
      <c r="H33" s="2">
        <f t="shared" si="0"/>
        <v>-8.4870595984782193E-2</v>
      </c>
      <c r="I33" s="2">
        <f>IF(Data!V33=0,"",Data!V33)</f>
        <v>-9.2149059524450502E-2</v>
      </c>
      <c r="J33" s="2">
        <f>IF(Data!W33=0,"",Data!W33)</f>
        <v>8.0238445907416904E-3</v>
      </c>
      <c r="K33" s="2">
        <f t="shared" si="1"/>
        <v>0.8178241649167397</v>
      </c>
      <c r="L33" s="2">
        <f>IF(Data!X33=0,"",Data!X33)</f>
        <v>-9.5412047833029701E-2</v>
      </c>
      <c r="M33" s="2">
        <f>IF(Data!Y33=0,"",Data!Y33)</f>
        <v>-8.8342239831108102E-2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3"/>
  <sheetViews>
    <sheetView workbookViewId="0">
      <selection activeCell="L8" sqref="L8"/>
    </sheetView>
  </sheetViews>
  <sheetFormatPr defaultRowHeight="13.5" x14ac:dyDescent="0.1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x14ac:dyDescent="0.15">
      <c r="A1" t="s">
        <v>158</v>
      </c>
      <c r="B1" t="s">
        <v>152</v>
      </c>
      <c r="C1" t="s">
        <v>152</v>
      </c>
      <c r="D1" t="s">
        <v>154</v>
      </c>
      <c r="E1" t="s">
        <v>155</v>
      </c>
      <c r="F1" t="s">
        <v>183</v>
      </c>
      <c r="G1" t="s">
        <v>167</v>
      </c>
      <c r="H1" s="5" t="str">
        <f>Data!P1</f>
        <v>Delta</v>
      </c>
      <c r="I1" s="4" t="str">
        <f>Data!Q1</f>
        <v>对冲比率</v>
      </c>
      <c r="J1" s="2" t="s">
        <v>185</v>
      </c>
      <c r="K1" t="str">
        <f>Data!R1</f>
        <v>Theta</v>
      </c>
      <c r="L1" t="str">
        <f>Data!S1</f>
        <v>期权流逝</v>
      </c>
      <c r="M1" t="str">
        <f>Data!T1</f>
        <v>溢价流逝</v>
      </c>
      <c r="N1" t="s">
        <v>174</v>
      </c>
      <c r="O1" t="s">
        <v>175</v>
      </c>
    </row>
    <row r="2" spans="1:15" x14ac:dyDescent="0.15">
      <c r="A2" s="1">
        <f>Data!A2</f>
        <v>43025</v>
      </c>
      <c r="B2" t="str">
        <f>Data!B2</f>
        <v>110030.SH</v>
      </c>
      <c r="C2" t="str">
        <f>Data!C2</f>
        <v>格力转债</v>
      </c>
      <c r="D2" t="str">
        <f>Data!E2</f>
        <v>600185.SH</v>
      </c>
      <c r="E2" t="str">
        <f>Data!F2</f>
        <v>格力地产</v>
      </c>
      <c r="F2" s="6">
        <f>Data!L2</f>
        <v>98.417400000000001</v>
      </c>
      <c r="G2" s="6">
        <f>Data!M2</f>
        <v>10.4956508088402</v>
      </c>
      <c r="H2" s="5">
        <f>Data!P2</f>
        <v>0.47198442987772699</v>
      </c>
      <c r="I2" s="3">
        <f>Data!Q2</f>
        <v>6.5191219596371104</v>
      </c>
      <c r="J2" t="str">
        <f>ROUND(10*Data!D2,0)&amp;":"&amp;ROUND(Data!G2*I2*10,0)</f>
        <v>1108:405</v>
      </c>
      <c r="K2">
        <f>Data!R2</f>
        <v>-0.27285682354451002</v>
      </c>
      <c r="L2" s="6">
        <f>Data!S2</f>
        <v>-2.8638099407325099</v>
      </c>
      <c r="M2" s="6">
        <f>Data!T2</f>
        <v>-5.6754151376146798</v>
      </c>
      <c r="N2" s="2">
        <f>Data!J2</f>
        <v>0.28777544315507603</v>
      </c>
      <c r="O2" s="2">
        <f>Data!K2</f>
        <v>0.34222491982710801</v>
      </c>
    </row>
    <row r="3" spans="1:15" x14ac:dyDescent="0.15">
      <c r="A3" s="1">
        <f>Data!A3</f>
        <v>43025</v>
      </c>
      <c r="B3" t="str">
        <f>Data!B3</f>
        <v>110031.SH</v>
      </c>
      <c r="C3" t="str">
        <f>Data!C3</f>
        <v>航信转债</v>
      </c>
      <c r="D3" t="str">
        <f>Data!E3</f>
        <v>600271.SH</v>
      </c>
      <c r="E3" t="str">
        <f>Data!F3</f>
        <v>航天信息</v>
      </c>
      <c r="F3" s="6">
        <f>Data!L3</f>
        <v>93.9893</v>
      </c>
      <c r="G3" s="6">
        <f>Data!M3</f>
        <v>0.74276640615148004</v>
      </c>
      <c r="H3" s="5">
        <f>Data!P3</f>
        <v>9.0213090016927802E-2</v>
      </c>
      <c r="I3" s="3">
        <f>Data!Q3</f>
        <v>0.210778247703102</v>
      </c>
      <c r="J3" t="str">
        <f>ROUND(10*Data!D3,0)&amp;":"&amp;ROUND(Data!G3*I3*10,0)</f>
        <v>1046:40</v>
      </c>
      <c r="K3">
        <f>Data!R3</f>
        <v>-0.22366250571801799</v>
      </c>
      <c r="L3" s="6">
        <f>Data!S3</f>
        <v>-0.166128995563007</v>
      </c>
      <c r="M3" s="6">
        <f>Data!T3</f>
        <v>-2.9023107669248098</v>
      </c>
      <c r="N3" s="2">
        <f>Data!J3</f>
        <v>0.25125151330315298</v>
      </c>
      <c r="O3" s="2">
        <f>Data!K3</f>
        <v>0.61800928241173803</v>
      </c>
    </row>
    <row r="4" spans="1:15" x14ac:dyDescent="0.15">
      <c r="A4" s="1">
        <f>Data!A4</f>
        <v>43025</v>
      </c>
      <c r="B4" t="str">
        <f>Data!B4</f>
        <v>110032.SH</v>
      </c>
      <c r="C4" t="str">
        <f>Data!C4</f>
        <v>三一转债</v>
      </c>
      <c r="D4" t="str">
        <f>Data!E4</f>
        <v>600031.SH</v>
      </c>
      <c r="E4" t="str">
        <f>Data!F4</f>
        <v>三一重工</v>
      </c>
      <c r="F4" s="6">
        <f>Data!L4</f>
        <v>91.244200000000006</v>
      </c>
      <c r="G4" s="6">
        <f>Data!M4</f>
        <v>30.004366184582398</v>
      </c>
      <c r="H4" s="5">
        <f>Data!P4</f>
        <v>0.69303082517829995</v>
      </c>
      <c r="I4" s="3">
        <f>Data!Q4</f>
        <v>9.3024271836013401</v>
      </c>
      <c r="J4" t="str">
        <f>ROUND(10*Data!D4,0)&amp;":"&amp;ROUND(Data!G4*I4*10,0)</f>
        <v>1200:736</v>
      </c>
      <c r="K4">
        <f>Data!R4</f>
        <v>-0.24430856633571399</v>
      </c>
      <c r="L4" s="6">
        <f>Data!S4</f>
        <v>-7.3303236863671097</v>
      </c>
      <c r="M4" s="6">
        <f>Data!T4</f>
        <v>-6.8132648777320899</v>
      </c>
      <c r="N4" s="2">
        <f>Data!J4</f>
        <v>0.28923824872665099</v>
      </c>
      <c r="O4" s="2">
        <f>Data!K4</f>
        <v>0.27826595679284</v>
      </c>
    </row>
    <row r="5" spans="1:15" x14ac:dyDescent="0.15">
      <c r="A5" s="1">
        <f>Data!A5</f>
        <v>43025</v>
      </c>
      <c r="B5" t="str">
        <f>Data!B5</f>
        <v>110033.SH</v>
      </c>
      <c r="C5" t="str">
        <f>Data!C5</f>
        <v>国贸转债</v>
      </c>
      <c r="D5" t="str">
        <f>Data!E5</f>
        <v>600755.SH</v>
      </c>
      <c r="E5" t="str">
        <f>Data!F5</f>
        <v>厦门国贸</v>
      </c>
      <c r="F5" s="6">
        <f>Data!L5</f>
        <v>92.863500000000002</v>
      </c>
      <c r="G5" s="6">
        <f>Data!M5</f>
        <v>54.466701571494298</v>
      </c>
      <c r="H5" s="5">
        <f>Data!P5</f>
        <v>0.77541126687050199</v>
      </c>
      <c r="I5" s="3">
        <f>Data!Q5</f>
        <v>8.8014899758286305</v>
      </c>
      <c r="J5" t="str">
        <f>ROUND(10*Data!D5,0)&amp;":"&amp;ROUND(Data!G5*I5*10,0)</f>
        <v>1278:958</v>
      </c>
      <c r="K5">
        <f>Data!R5</f>
        <v>-0.40450568978467899</v>
      </c>
      <c r="L5" s="6">
        <f>Data!S5</f>
        <v>-22.032090689473598</v>
      </c>
      <c r="M5" s="6">
        <f>Data!T5</f>
        <v>-8.2704469074394495</v>
      </c>
      <c r="N5" s="2">
        <f>Data!J5</f>
        <v>0.44066093070120399</v>
      </c>
      <c r="O5" s="2">
        <f>Data!K5</f>
        <v>0.186803033838603</v>
      </c>
    </row>
    <row r="6" spans="1:15" x14ac:dyDescent="0.15">
      <c r="A6" s="1">
        <f>Data!A6</f>
        <v>43025</v>
      </c>
      <c r="B6" t="str">
        <f>Data!B6</f>
        <v>110034.SH</v>
      </c>
      <c r="C6" t="str">
        <f>Data!C6</f>
        <v>九州转债</v>
      </c>
      <c r="D6" t="str">
        <f>Data!E6</f>
        <v>600998.SH</v>
      </c>
      <c r="E6" t="str">
        <f>Data!F6</f>
        <v>九州通</v>
      </c>
      <c r="F6" s="6">
        <f>Data!L6</f>
        <v>91.647800000000004</v>
      </c>
      <c r="G6" s="6">
        <f>Data!M6</f>
        <v>29.940191296586999</v>
      </c>
      <c r="H6" s="5">
        <f>Data!P6</f>
        <v>0.75988038747511699</v>
      </c>
      <c r="I6" s="3">
        <f>Data!Q6</f>
        <v>4.0744256701078596</v>
      </c>
      <c r="J6" t="str">
        <f>ROUND(10*Data!D6,0)&amp;":"&amp;ROUND(Data!G6*I6*10,0)</f>
        <v>1266:876</v>
      </c>
      <c r="K6">
        <f>Data!R6</f>
        <v>-0.48683776283897501</v>
      </c>
      <c r="L6" s="6">
        <f>Data!S6</f>
        <v>-14.5760157498014</v>
      </c>
      <c r="M6" s="6">
        <f>Data!T6</f>
        <v>-8.2347811559948401</v>
      </c>
      <c r="N6" s="2">
        <f>Data!J6</f>
        <v>0.20060361771076399</v>
      </c>
      <c r="O6" s="2">
        <f>Data!K6</f>
        <v>0.27129698805835301</v>
      </c>
    </row>
    <row r="7" spans="1:15" x14ac:dyDescent="0.15">
      <c r="A7" s="1">
        <f>Data!A7</f>
        <v>43025</v>
      </c>
      <c r="B7" t="str">
        <f>Data!B7</f>
        <v>113008.SH</v>
      </c>
      <c r="C7" t="str">
        <f>Data!C7</f>
        <v>电气转债</v>
      </c>
      <c r="D7" t="str">
        <f>Data!E7</f>
        <v>601727.SH</v>
      </c>
      <c r="E7" t="str">
        <f>Data!F7</f>
        <v>上海电气</v>
      </c>
      <c r="F7" s="6">
        <f>Data!L7</f>
        <v>95.252200000000002</v>
      </c>
      <c r="G7" s="6">
        <f>Data!M7</f>
        <v>11.623910601473</v>
      </c>
      <c r="H7" s="5">
        <f>Data!P7</f>
        <v>0.46370645346500999</v>
      </c>
      <c r="I7" s="3">
        <f>Data!Q7</f>
        <v>4.3540512062442298</v>
      </c>
      <c r="J7" t="str">
        <f>ROUND(10*Data!D7,0)&amp;":"&amp;ROUND(Data!G7*I7*10,0)</f>
        <v>1071:348</v>
      </c>
      <c r="K7">
        <f>Data!R7</f>
        <v>-0.32742055612974402</v>
      </c>
      <c r="L7" s="6">
        <f>Data!S7</f>
        <v>-3.8059072735367301</v>
      </c>
      <c r="M7" s="6">
        <f>Data!T7</f>
        <v>-3.5886783836147198</v>
      </c>
      <c r="N7" s="2">
        <f>Data!J7</f>
        <v>0.331874088611681</v>
      </c>
      <c r="O7" s="2">
        <f>Data!K7</f>
        <v>0.349240842741883</v>
      </c>
    </row>
    <row r="8" spans="1:15" x14ac:dyDescent="0.15">
      <c r="A8" s="1">
        <f>Data!A8</f>
        <v>43025</v>
      </c>
      <c r="B8" t="str">
        <f>Data!B8</f>
        <v>113009.SH</v>
      </c>
      <c r="C8" t="str">
        <f>Data!C8</f>
        <v>广汽转债</v>
      </c>
      <c r="D8" t="str">
        <f>Data!E8</f>
        <v>601238.SH</v>
      </c>
      <c r="E8" t="str">
        <f>Data!F8</f>
        <v>广汽集团</v>
      </c>
      <c r="F8" s="6">
        <f>Data!L8</f>
        <v>90.930999999999997</v>
      </c>
      <c r="G8" s="6">
        <f>Data!M8</f>
        <v>45.369124502392502</v>
      </c>
      <c r="H8" s="5">
        <f>Data!P8</f>
        <v>0.84188881510187796</v>
      </c>
      <c r="I8" s="3">
        <f>Data!Q8</f>
        <v>3.92855256697097</v>
      </c>
      <c r="J8" t="str">
        <f>ROUND(10*Data!D8,0)&amp;":"&amp;ROUND(Data!G8*I8*10,0)</f>
        <v>1336:1120</v>
      </c>
      <c r="K8">
        <f>Data!R8</f>
        <v>-0.57579336090272004</v>
      </c>
      <c r="L8" s="6">
        <f>Data!S8</f>
        <v>-26.1232406784465</v>
      </c>
      <c r="M8" s="6">
        <f>Data!T8</f>
        <v>-10.001507486631001</v>
      </c>
      <c r="N8" s="2">
        <f>Data!J8</f>
        <v>0.217251720155306</v>
      </c>
      <c r="O8" s="2">
        <f>Data!K8</f>
        <v>0.180597641328817</v>
      </c>
    </row>
    <row r="9" spans="1:15" x14ac:dyDescent="0.15">
      <c r="A9" s="1">
        <f>Data!A9</f>
        <v>43025</v>
      </c>
      <c r="B9" t="str">
        <f>Data!B9</f>
        <v>113010.SH</v>
      </c>
      <c r="C9" t="str">
        <f>Data!C9</f>
        <v>江南转债</v>
      </c>
      <c r="D9" t="str">
        <f>Data!E9</f>
        <v>601199.SH</v>
      </c>
      <c r="E9" t="str">
        <f>Data!F9</f>
        <v>江南水务</v>
      </c>
      <c r="F9" s="6">
        <f>Data!L9</f>
        <v>92.158100000000005</v>
      </c>
      <c r="G9" s="6">
        <f>Data!M9</f>
        <v>3.0621328929306699</v>
      </c>
      <c r="H9" s="5">
        <f>Data!P9</f>
        <v>0.24835626645023401</v>
      </c>
      <c r="I9" s="3">
        <f>Data!Q9</f>
        <v>2.6704974887122002</v>
      </c>
      <c r="J9" t="str">
        <f>ROUND(10*Data!D9,0)&amp;":"&amp;ROUND(Data!G9*I9*10,0)</f>
        <v>1058:172</v>
      </c>
      <c r="K9">
        <f>Data!R9</f>
        <v>-0.101102012805321</v>
      </c>
      <c r="L9" s="6">
        <f>Data!S9</f>
        <v>-0.30958779895267102</v>
      </c>
      <c r="M9" s="6">
        <f>Data!T9</f>
        <v>-3.0969269628099201</v>
      </c>
      <c r="N9" s="2">
        <f>Data!J9</f>
        <v>0.16813808207195499</v>
      </c>
      <c r="O9" s="2">
        <f>Data!K9</f>
        <v>0.36746938222345199</v>
      </c>
    </row>
    <row r="10" spans="1:15" x14ac:dyDescent="0.15">
      <c r="A10" s="1">
        <f>Data!A10</f>
        <v>43025</v>
      </c>
      <c r="B10" t="str">
        <f>Data!B10</f>
        <v>113011.SH</v>
      </c>
      <c r="C10" t="str">
        <f>Data!C10</f>
        <v>光大转债</v>
      </c>
      <c r="D10" t="str">
        <f>Data!E10</f>
        <v>601818.SH</v>
      </c>
      <c r="E10" t="str">
        <f>Data!F10</f>
        <v>光大银行</v>
      </c>
      <c r="F10" s="6">
        <f>Data!L10</f>
        <v>85.589200000000005</v>
      </c>
      <c r="G10" s="6">
        <f>Data!M10</f>
        <v>13.9260590802925</v>
      </c>
      <c r="H10" s="5">
        <f>Data!P10</f>
        <v>0.61849454680593097</v>
      </c>
      <c r="I10" s="3">
        <f>Data!Q10</f>
        <v>14.518651333472601</v>
      </c>
      <c r="J10" t="str">
        <f>ROUND(10*Data!D10,0)&amp;":"&amp;ROUND(Data!G10*I10*10,0)</f>
        <v>1127:597</v>
      </c>
      <c r="K10">
        <f>Data!R10</f>
        <v>-7.42192380385156E-2</v>
      </c>
      <c r="L10" s="6">
        <f>Data!S10</f>
        <v>-1.03358149381866</v>
      </c>
      <c r="M10" s="6">
        <f>Data!T10</f>
        <v>-4.9993063047875896</v>
      </c>
      <c r="N10" s="2">
        <f>Data!J10</f>
        <v>0.13366244312852399</v>
      </c>
      <c r="O10" s="2">
        <f>Data!K10</f>
        <v>0.28937867611759099</v>
      </c>
    </row>
    <row r="11" spans="1:15" x14ac:dyDescent="0.15">
      <c r="A11" s="1">
        <f>Data!A11</f>
        <v>43025</v>
      </c>
      <c r="B11" t="str">
        <f>Data!B11</f>
        <v>113012.SH</v>
      </c>
      <c r="C11" t="str">
        <f>Data!C11</f>
        <v>骆驼转债</v>
      </c>
      <c r="D11" t="str">
        <f>Data!E11</f>
        <v>601311.SH</v>
      </c>
      <c r="E11" t="str">
        <f>Data!F11</f>
        <v>骆驼股份</v>
      </c>
      <c r="F11" s="6">
        <f>Data!L11</f>
        <v>85.282300000000006</v>
      </c>
      <c r="G11" s="6">
        <f>Data!M11</f>
        <v>20.379589140188401</v>
      </c>
      <c r="H11" s="5">
        <f>Data!P11</f>
        <v>0.59889911752349201</v>
      </c>
      <c r="I11" s="3">
        <f>Data!Q11</f>
        <v>3.58193252107352</v>
      </c>
      <c r="J11" t="str">
        <f>ROUND(10*Data!D11,0)&amp;":"&amp;ROUND(Data!G11*I11*10,0)</f>
        <v>1128:532</v>
      </c>
      <c r="K11">
        <f>Data!R11</f>
        <v>-0.40925661292904503</v>
      </c>
      <c r="L11" s="6">
        <f>Data!S11</f>
        <v>-8.3404816243990698</v>
      </c>
      <c r="M11" s="6">
        <f>Data!T11</f>
        <v>-5.0651245590458602</v>
      </c>
      <c r="N11" s="2">
        <f>Data!J11</f>
        <v>0.26531896007091299</v>
      </c>
      <c r="O11" s="2">
        <f>Data!K11</f>
        <v>0.35792370430807702</v>
      </c>
    </row>
    <row r="12" spans="1:15" x14ac:dyDescent="0.15">
      <c r="A12" s="1">
        <f>Data!A12</f>
        <v>43025</v>
      </c>
      <c r="B12" t="str">
        <f>Data!B12</f>
        <v>113013.SH</v>
      </c>
      <c r="C12" t="str">
        <f>Data!C12</f>
        <v>国君转债</v>
      </c>
      <c r="D12" t="str">
        <f>Data!E12</f>
        <v>601211.SH</v>
      </c>
      <c r="E12" t="str">
        <f>Data!F12</f>
        <v>国泰君安</v>
      </c>
      <c r="F12" s="6">
        <f>Data!L12</f>
        <v>84.276200000000003</v>
      </c>
      <c r="G12" s="6">
        <f>Data!M12</f>
        <v>25.517490104488701</v>
      </c>
      <c r="H12" s="5">
        <f>Data!P12</f>
        <v>0.69163356559107902</v>
      </c>
      <c r="I12" s="3">
        <f>Data!Q12</f>
        <v>3.4239285425301</v>
      </c>
      <c r="J12" t="str">
        <f>ROUND(10*Data!D12,0)&amp;":"&amp;ROUND(Data!G12*I12*10,0)</f>
        <v>1244:719</v>
      </c>
      <c r="K12">
        <f>Data!R12</f>
        <v>-0.454714603404482</v>
      </c>
      <c r="L12" s="6">
        <f>Data!S12</f>
        <v>-11.6031753927404</v>
      </c>
      <c r="M12" s="6">
        <f>Data!T12</f>
        <v>-7.0204793296089401</v>
      </c>
      <c r="N12" s="2">
        <f>Data!J12</f>
        <v>0.20316940511124201</v>
      </c>
      <c r="O12" s="2">
        <f>Data!K12</f>
        <v>0.373897140914146</v>
      </c>
    </row>
    <row r="13" spans="1:15" x14ac:dyDescent="0.15">
      <c r="A13" s="1">
        <f>Data!A13</f>
        <v>43025</v>
      </c>
      <c r="B13" t="str">
        <f>Data!B13</f>
        <v>120001.SZ</v>
      </c>
      <c r="C13" t="str">
        <f>Data!C13</f>
        <v>16以岭EB</v>
      </c>
      <c r="D13" t="str">
        <f>Data!E13</f>
        <v>002603.SZ</v>
      </c>
      <c r="E13" t="str">
        <f>Data!F13</f>
        <v>以岭药业</v>
      </c>
      <c r="F13" s="6">
        <f>Data!L13</f>
        <v>94.605500000000006</v>
      </c>
      <c r="G13" s="6">
        <f>Data!M13</f>
        <v>11.139185754916999</v>
      </c>
      <c r="H13" s="5">
        <f>Data!P13</f>
        <v>0.54000000741799004</v>
      </c>
      <c r="I13" s="3">
        <f>Data!Q13</f>
        <v>3.0337079068426398</v>
      </c>
      <c r="J13" t="str">
        <f>ROUND(10*Data!D13,0)&amp;":"&amp;ROUND(Data!G13*I13*10,0)</f>
        <v>1073:502</v>
      </c>
      <c r="K13">
        <f>Data!R13</f>
        <v>-0.40688260263461101</v>
      </c>
      <c r="L13" s="6">
        <f>Data!S13</f>
        <v>-4.5323408911909997</v>
      </c>
      <c r="M13" s="6">
        <f>Data!T13</f>
        <v>-3.6214029442417899</v>
      </c>
      <c r="N13" s="2">
        <f>Data!J13</f>
        <v>0.17230736827773599</v>
      </c>
      <c r="O13" s="2">
        <f>Data!K13</f>
        <v>0.20213653238881901</v>
      </c>
    </row>
    <row r="14" spans="1:15" x14ac:dyDescent="0.15">
      <c r="A14" s="1">
        <f>Data!A14</f>
        <v>43025</v>
      </c>
      <c r="B14" t="str">
        <f>Data!B14</f>
        <v>123001.SZ</v>
      </c>
      <c r="C14" t="str">
        <f>Data!C14</f>
        <v>蓝标转债</v>
      </c>
      <c r="D14" t="str">
        <f>Data!E14</f>
        <v>300058.SZ</v>
      </c>
      <c r="E14" t="str">
        <f>Data!F14</f>
        <v>蓝色光标</v>
      </c>
      <c r="F14" s="6">
        <f>Data!L14</f>
        <v>93.562899999999999</v>
      </c>
      <c r="G14" s="6">
        <f>Data!M14</f>
        <v>9.2225551276770297</v>
      </c>
      <c r="H14" s="5">
        <f>Data!P14</f>
        <v>0.42675910603147399</v>
      </c>
      <c r="I14" s="3">
        <f>Data!Q14</f>
        <v>4.3680563565145798</v>
      </c>
      <c r="J14" t="str">
        <f>ROUND(10*Data!D14,0)&amp;":"&amp;ROUND(Data!G14*I14*10,0)</f>
        <v>1043:318</v>
      </c>
      <c r="K14">
        <f>Data!R14</f>
        <v>-0.21114137586234299</v>
      </c>
      <c r="L14" s="6">
        <f>Data!S14</f>
        <v>-1.9472629786240401</v>
      </c>
      <c r="M14" s="6">
        <f>Data!T14</f>
        <v>-2.5647679431072201</v>
      </c>
      <c r="N14" s="2">
        <f>Data!J14</f>
        <v>0.254797921952298</v>
      </c>
      <c r="O14" s="2">
        <f>Data!K14</f>
        <v>0.28772517131500303</v>
      </c>
    </row>
    <row r="15" spans="1:15" x14ac:dyDescent="0.15">
      <c r="A15" s="1">
        <f>Data!A15</f>
        <v>43025</v>
      </c>
      <c r="B15" t="str">
        <f>Data!B15</f>
        <v>127003.SZ</v>
      </c>
      <c r="C15" t="str">
        <f>Data!C15</f>
        <v>海印转债</v>
      </c>
      <c r="D15" t="str">
        <f>Data!E15</f>
        <v>000861.SZ</v>
      </c>
      <c r="E15" t="str">
        <f>Data!F15</f>
        <v>海印股份</v>
      </c>
      <c r="F15" s="6">
        <f>Data!L15</f>
        <v>92.960599999999999</v>
      </c>
      <c r="G15" s="6">
        <f>Data!M15</f>
        <v>5.8075782078848697</v>
      </c>
      <c r="H15" s="5">
        <f>Data!P15</f>
        <v>0.34621063586685602</v>
      </c>
      <c r="I15" s="3">
        <f>Data!Q15</f>
        <v>6.59448830222584</v>
      </c>
      <c r="J15" t="str">
        <f>ROUND(10*Data!D15,0)&amp;":"&amp;ROUND(Data!G15*I15*10,0)</f>
        <v>1017:247</v>
      </c>
      <c r="K15">
        <f>Data!R15</f>
        <v>-7.9956085778835895E-2</v>
      </c>
      <c r="L15" s="6">
        <f>Data!S15</f>
        <v>-0.46435122135694101</v>
      </c>
      <c r="M15" s="6">
        <f>Data!T15</f>
        <v>-1.89164156508061</v>
      </c>
      <c r="N15" s="2">
        <f>Data!J15</f>
        <v>0.20339324582597401</v>
      </c>
      <c r="O15" s="2">
        <f>Data!K15</f>
        <v>0.25543437608904201</v>
      </c>
    </row>
    <row r="16" spans="1:15" x14ac:dyDescent="0.15">
      <c r="A16" s="1">
        <f>Data!A16</f>
        <v>43025</v>
      </c>
      <c r="B16" t="str">
        <f>Data!B16</f>
        <v>127004.SZ</v>
      </c>
      <c r="C16" t="str">
        <f>Data!C16</f>
        <v>模塑转债</v>
      </c>
      <c r="D16" t="str">
        <f>Data!E16</f>
        <v>000700.SZ</v>
      </c>
      <c r="E16" t="str">
        <f>Data!F16</f>
        <v>模塑科技</v>
      </c>
      <c r="F16" s="6">
        <f>Data!L16</f>
        <v>89.078500000000005</v>
      </c>
      <c r="G16" s="6">
        <f>Data!M16</f>
        <v>22.754167932285402</v>
      </c>
      <c r="H16" s="5">
        <f>Data!P16</f>
        <v>0.61163986232382295</v>
      </c>
      <c r="I16" s="3">
        <f>Data!Q16</f>
        <v>7.6454982790477901</v>
      </c>
      <c r="J16" t="str">
        <f>ROUND(10*Data!D16,0)&amp;":"&amp;ROUND(Data!G16*I16*10,0)</f>
        <v>1092:532</v>
      </c>
      <c r="K16">
        <f>Data!R16</f>
        <v>-0.20705596661276299</v>
      </c>
      <c r="L16" s="6">
        <f>Data!S16</f>
        <v>-4.7113862356884901</v>
      </c>
      <c r="M16" s="6">
        <f>Data!T16</f>
        <v>-3.5770059224403701</v>
      </c>
      <c r="N16" s="2">
        <f>Data!J16</f>
        <v>0.30332148688218302</v>
      </c>
      <c r="O16" s="2">
        <f>Data!K16</f>
        <v>0.27275240916169402</v>
      </c>
    </row>
    <row r="17" spans="1:15" x14ac:dyDescent="0.15">
      <c r="A17" s="1">
        <f>Data!A17</f>
        <v>43025</v>
      </c>
      <c r="B17" t="str">
        <f>Data!B17</f>
        <v>128010.SZ</v>
      </c>
      <c r="C17" t="str">
        <f>Data!C17</f>
        <v>顺昌转债</v>
      </c>
      <c r="D17" t="str">
        <f>Data!E17</f>
        <v>002245.SZ</v>
      </c>
      <c r="E17" t="str">
        <f>Data!F17</f>
        <v>澳洋顺昌</v>
      </c>
      <c r="F17" s="6">
        <f>Data!L17</f>
        <v>92.943600000000004</v>
      </c>
      <c r="G17" s="6">
        <f>Data!M17</f>
        <v>23.449268799485399</v>
      </c>
      <c r="H17" s="5">
        <f>Data!P17</f>
        <v>0.62905483358393399</v>
      </c>
      <c r="I17" s="3">
        <f>Data!Q17</f>
        <v>6.7495153818018698</v>
      </c>
      <c r="J17" t="str">
        <f>ROUND(10*Data!D17,0)&amp;":"&amp;ROUND(Data!G17*I17*10,0)</f>
        <v>1171:598</v>
      </c>
      <c r="K17">
        <f>Data!R17</f>
        <v>-0.291976149527511</v>
      </c>
      <c r="L17" s="6">
        <f>Data!S17</f>
        <v>-6.8466272133093504</v>
      </c>
      <c r="M17" s="6">
        <f>Data!T17</f>
        <v>-5.6493802139037399</v>
      </c>
      <c r="N17" s="2">
        <f>Data!J17</f>
        <v>0.29766239112889598</v>
      </c>
      <c r="O17" s="2">
        <f>Data!K17</f>
        <v>0.313702805175536</v>
      </c>
    </row>
    <row r="18" spans="1:15" x14ac:dyDescent="0.15">
      <c r="A18" s="1">
        <f>Data!A18</f>
        <v>43025</v>
      </c>
      <c r="B18" t="str">
        <f>Data!B18</f>
        <v>128012.SZ</v>
      </c>
      <c r="C18" t="str">
        <f>Data!C18</f>
        <v>辉丰转债</v>
      </c>
      <c r="D18" t="str">
        <f>Data!E18</f>
        <v>002496.SZ</v>
      </c>
      <c r="E18" t="str">
        <f>Data!F18</f>
        <v>辉丰股份</v>
      </c>
      <c r="F18" s="6">
        <f>Data!L18</f>
        <v>87.282499999999999</v>
      </c>
      <c r="G18" s="6">
        <f>Data!M18</f>
        <v>11.068414981287299</v>
      </c>
      <c r="H18" s="5">
        <f>Data!P18</f>
        <v>0.458038438941135</v>
      </c>
      <c r="I18" s="3">
        <f>Data!Q18</f>
        <v>5.9178092886451603</v>
      </c>
      <c r="J18" t="str">
        <f>ROUND(10*Data!D18,0)&amp;":"&amp;ROUND(Data!G18*I18*10,0)</f>
        <v>1046:337</v>
      </c>
      <c r="K18">
        <f>Data!R18</f>
        <v>-0.174847268784906</v>
      </c>
      <c r="L18" s="6">
        <f>Data!S18</f>
        <v>-1.9352821292560101</v>
      </c>
      <c r="M18" s="6">
        <f>Data!T18</f>
        <v>-3.8301291987049799</v>
      </c>
      <c r="N18" s="2">
        <f>Data!J18</f>
        <v>0.27908124321689698</v>
      </c>
      <c r="O18" s="2">
        <f>Data!K18</f>
        <v>0.38448610924196802</v>
      </c>
    </row>
    <row r="19" spans="1:15" x14ac:dyDescent="0.15">
      <c r="A19" s="1">
        <f>Data!A19</f>
        <v>43025</v>
      </c>
      <c r="B19" t="str">
        <f>Data!B19</f>
        <v>128013.SZ</v>
      </c>
      <c r="C19" t="str">
        <f>Data!C19</f>
        <v>洪涛转债</v>
      </c>
      <c r="D19" t="str">
        <f>Data!E19</f>
        <v>002325.SZ</v>
      </c>
      <c r="E19" t="str">
        <f>Data!F19</f>
        <v>洪涛股份</v>
      </c>
      <c r="F19" s="6">
        <f>Data!L19</f>
        <v>90.717100000000002</v>
      </c>
      <c r="G19" s="6">
        <f>Data!M19</f>
        <v>9.6412886964272797</v>
      </c>
      <c r="H19" s="5">
        <f>Data!P19</f>
        <v>0.42310407168679598</v>
      </c>
      <c r="I19" s="3">
        <f>Data!Q19</f>
        <v>4.2183855601874001</v>
      </c>
      <c r="J19" t="str">
        <f>ROUND(10*Data!D19,0)&amp;":"&amp;ROUND(Data!G19*I19*10,0)</f>
        <v>1015:263</v>
      </c>
      <c r="K19">
        <f>Data!R19</f>
        <v>-0.21011255811462101</v>
      </c>
      <c r="L19" s="6">
        <f>Data!S19</f>
        <v>-2.02575583152792</v>
      </c>
      <c r="M19" s="6">
        <f>Data!T19</f>
        <v>-2.2630905707196001</v>
      </c>
      <c r="N19" s="2">
        <f>Data!J19</f>
        <v>0.33195161338766399</v>
      </c>
      <c r="O19" s="2">
        <f>Data!K19</f>
        <v>0.35662070878265401</v>
      </c>
    </row>
    <row r="20" spans="1:15" x14ac:dyDescent="0.15">
      <c r="A20" s="1">
        <f>Data!A20</f>
        <v>43025</v>
      </c>
      <c r="B20" t="str">
        <f>Data!B20</f>
        <v>128014.SZ</v>
      </c>
      <c r="C20" t="str">
        <f>Data!C20</f>
        <v>永东转债</v>
      </c>
      <c r="D20" t="str">
        <f>Data!E20</f>
        <v>002753.SZ</v>
      </c>
      <c r="E20" t="str">
        <f>Data!F20</f>
        <v>永东股份</v>
      </c>
      <c r="F20" s="6">
        <f>Data!L20</f>
        <v>88.097700000000003</v>
      </c>
      <c r="G20" s="6">
        <f>Data!M20</f>
        <v>56.619628045084298</v>
      </c>
      <c r="H20" s="5">
        <f>Data!P20</f>
        <v>0.78062832153650097</v>
      </c>
      <c r="I20" s="3">
        <f>Data!Q20</f>
        <v>3.8153876907942399</v>
      </c>
      <c r="J20" t="str">
        <f>ROUND(10*Data!D20,0)&amp;":"&amp;ROUND(Data!G20*I20*10,0)</f>
        <v>1165:835</v>
      </c>
      <c r="K20">
        <f>Data!R20</f>
        <v>-0.85960124944428995</v>
      </c>
      <c r="L20" s="6">
        <f>Data!S20</f>
        <v>-48.670303010625403</v>
      </c>
      <c r="M20" s="6">
        <f>Data!T20</f>
        <v>-5.1658919502074703</v>
      </c>
      <c r="N20" s="2">
        <f>Data!J20</f>
        <v>0.56336196616023704</v>
      </c>
      <c r="O20" s="2">
        <f>Data!K20</f>
        <v>0.22195262548599801</v>
      </c>
    </row>
    <row r="21" spans="1:15" x14ac:dyDescent="0.15">
      <c r="A21" s="1">
        <f>Data!A21</f>
        <v>43025</v>
      </c>
      <c r="B21" t="str">
        <f>Data!B21</f>
        <v>128015.SZ</v>
      </c>
      <c r="C21" t="str">
        <f>Data!C21</f>
        <v>久其转债</v>
      </c>
      <c r="D21" t="str">
        <f>Data!E21</f>
        <v>002279.SZ</v>
      </c>
      <c r="E21" t="str">
        <f>Data!F21</f>
        <v>久其软件</v>
      </c>
      <c r="F21" s="6">
        <f>Data!L21</f>
        <v>86.601500000000001</v>
      </c>
      <c r="G21" s="6">
        <f>Data!M21</f>
        <v>28.843633401457598</v>
      </c>
      <c r="H21" s="5">
        <f>Data!P21</f>
        <v>0.667085019854192</v>
      </c>
      <c r="I21" s="3">
        <f>Data!Q21</f>
        <v>5.1712017042960596</v>
      </c>
      <c r="J21" t="str">
        <f>ROUND(10*Data!D21,0)&amp;":"&amp;ROUND(Data!G21*I21*10,0)</f>
        <v>1148:647</v>
      </c>
      <c r="K21">
        <f>Data!R21</f>
        <v>-0.355345224524935</v>
      </c>
      <c r="L21" s="6">
        <f>Data!S21</f>
        <v>-10.2494473871559</v>
      </c>
      <c r="M21" s="6">
        <f>Data!T21</f>
        <v>-4.9922504449118303</v>
      </c>
      <c r="N21" s="2">
        <f>Data!J21</f>
        <v>0.298553615502132</v>
      </c>
      <c r="O21" s="2">
        <f>Data!K21</f>
        <v>0.292017690898558</v>
      </c>
    </row>
    <row r="22" spans="1:15" x14ac:dyDescent="0.15">
      <c r="A22" s="1">
        <f>Data!A22</f>
        <v>43025</v>
      </c>
      <c r="B22" t="str">
        <f>Data!B22</f>
        <v>132001.SH</v>
      </c>
      <c r="C22" t="str">
        <f>Data!C22</f>
        <v>14宝钢EB</v>
      </c>
      <c r="D22" t="str">
        <f>Data!E22</f>
        <v>601336.SH</v>
      </c>
      <c r="E22" t="str">
        <f>Data!F22</f>
        <v>新华保险</v>
      </c>
      <c r="F22" s="6">
        <f>Data!L22</f>
        <v>102.4066</v>
      </c>
      <c r="G22" s="6">
        <f>Data!M22</f>
        <v>37.876437762969999</v>
      </c>
      <c r="H22" s="5">
        <f>Data!P22</f>
        <v>0.99227148197203197</v>
      </c>
      <c r="I22" s="3">
        <f>Data!Q22</f>
        <v>2.3452410351501598</v>
      </c>
      <c r="J22" t="str">
        <f>ROUND(10*Data!D22,0)&amp;":"&amp;ROUND(Data!G22*I22*10,0)</f>
        <v>1390:1365</v>
      </c>
      <c r="K22">
        <f>Data!R22</f>
        <v>-1.1941725408730799</v>
      </c>
      <c r="L22" s="6">
        <f>Data!S22</f>
        <v>-45.231001922626902</v>
      </c>
      <c r="M22" s="6">
        <f>Data!T22</f>
        <v>-245.692472392638</v>
      </c>
      <c r="N22" s="2">
        <f>Data!J22</f>
        <v>0.35404111372896901</v>
      </c>
      <c r="O22" s="2">
        <f>Data!K22</f>
        <v>0.35196739649209502</v>
      </c>
    </row>
    <row r="23" spans="1:15" x14ac:dyDescent="0.15">
      <c r="A23" s="1">
        <f>Data!A23</f>
        <v>43025</v>
      </c>
      <c r="B23" t="str">
        <f>Data!B23</f>
        <v>132002.SH</v>
      </c>
      <c r="C23" t="str">
        <f>Data!C23</f>
        <v>15天集EB</v>
      </c>
      <c r="D23" t="str">
        <f>Data!E23</f>
        <v>600535.SH</v>
      </c>
      <c r="E23" t="str">
        <f>Data!F23</f>
        <v>天士力</v>
      </c>
      <c r="F23" s="6">
        <f>Data!L23</f>
        <v>91.350499999999997</v>
      </c>
      <c r="G23" s="6">
        <f>Data!M23</f>
        <v>0.570298545707555</v>
      </c>
      <c r="H23" s="5">
        <f>Data!P23</f>
        <v>8.1623996585282105E-2</v>
      </c>
      <c r="I23" s="3">
        <f>Data!Q23</f>
        <v>0.14570509922399499</v>
      </c>
      <c r="J23" t="str">
        <f>ROUND(10*Data!D23,0)&amp;":"&amp;ROUND(Data!G23*I23*10,0)</f>
        <v>1037:52</v>
      </c>
      <c r="K23">
        <f>Data!R23</f>
        <v>-0.31107857566307001</v>
      </c>
      <c r="L23" s="6">
        <f>Data!S23</f>
        <v>-0.17740765930142599</v>
      </c>
      <c r="M23" s="6">
        <f>Data!T23</f>
        <v>-4.6694414709944798</v>
      </c>
      <c r="N23" s="2">
        <f>Data!J23</f>
        <v>0.16321528454013201</v>
      </c>
      <c r="O23" s="2">
        <f>Data!K23</f>
        <v>0.51401292791278597</v>
      </c>
    </row>
    <row r="24" spans="1:15" x14ac:dyDescent="0.15">
      <c r="A24" s="1">
        <f>Data!A24</f>
        <v>43025</v>
      </c>
      <c r="B24" t="str">
        <f>Data!B24</f>
        <v>132003.SH</v>
      </c>
      <c r="C24" t="str">
        <f>Data!C24</f>
        <v>15清控EB</v>
      </c>
      <c r="D24" t="str">
        <f>Data!E24</f>
        <v>600109.SH</v>
      </c>
      <c r="E24" t="str">
        <f>Data!F24</f>
        <v>国金证券</v>
      </c>
      <c r="F24" s="6">
        <f>Data!L24</f>
        <v>97.451999999999998</v>
      </c>
      <c r="G24" s="6">
        <f>Data!M24</f>
        <v>0.81457301608168597</v>
      </c>
      <c r="H24" s="5">
        <f>Data!P24</f>
        <v>0.10484962934118899</v>
      </c>
      <c r="I24" s="3">
        <f>Data!Q24</f>
        <v>0.62596793636531001</v>
      </c>
      <c r="J24" t="str">
        <f>ROUND(10*Data!D24,0)&amp;":"&amp;ROUND(Data!G24*I24*10,0)</f>
        <v>1024:71</v>
      </c>
      <c r="K24">
        <f>Data!R24</f>
        <v>-0.28400151556946901</v>
      </c>
      <c r="L24" s="6">
        <f>Data!S24</f>
        <v>-0.23133997110919199</v>
      </c>
      <c r="M24" s="6">
        <f>Data!T24</f>
        <v>-4.8246304541407001</v>
      </c>
      <c r="N24" s="2">
        <f>Data!J24</f>
        <v>0.26175471215098201</v>
      </c>
      <c r="O24" s="2">
        <f>Data!K24</f>
        <v>0.51475641689337703</v>
      </c>
    </row>
    <row r="25" spans="1:15" x14ac:dyDescent="0.15">
      <c r="A25" s="1">
        <f>Data!A25</f>
        <v>43025</v>
      </c>
      <c r="B25" t="str">
        <f>Data!B25</f>
        <v>132004.SH</v>
      </c>
      <c r="C25" t="str">
        <f>Data!C25</f>
        <v>15国盛EB</v>
      </c>
      <c r="D25" t="str">
        <f>Data!E25</f>
        <v>600170.SH</v>
      </c>
      <c r="E25" t="str">
        <f>Data!F25</f>
        <v>上海建工</v>
      </c>
      <c r="F25" s="6">
        <f>Data!L25</f>
        <v>89.828800000000001</v>
      </c>
      <c r="G25" s="6">
        <f>Data!M25</f>
        <v>0.43899725492798602</v>
      </c>
      <c r="H25" s="5">
        <f>Data!P25</f>
        <v>6.4753664014687906E-2</v>
      </c>
      <c r="I25" s="3">
        <f>Data!Q25</f>
        <v>0.95789443808709995</v>
      </c>
      <c r="J25" t="str">
        <f>ROUND(10*Data!D25,0)&amp;":"&amp;ROUND(Data!G25*I25*10,0)</f>
        <v>930:36</v>
      </c>
      <c r="K25">
        <f>Data!R25</f>
        <v>-2.15950887320959E-2</v>
      </c>
      <c r="L25" s="6">
        <f>Data!S25</f>
        <v>-9.4801846733163896E-3</v>
      </c>
      <c r="M25" s="6">
        <f>Data!T25</f>
        <v>-0.77204773699617002</v>
      </c>
      <c r="N25" s="2">
        <f>Data!J25</f>
        <v>0.15531419692689899</v>
      </c>
      <c r="O25" s="2">
        <f>Data!K25</f>
        <v>0.28833258656969901</v>
      </c>
    </row>
    <row r="26" spans="1:15" x14ac:dyDescent="0.15">
      <c r="A26" s="1">
        <f>Data!A26</f>
        <v>43025</v>
      </c>
      <c r="B26" t="str">
        <f>Data!B26</f>
        <v>132005.SH</v>
      </c>
      <c r="C26" t="str">
        <f>Data!C26</f>
        <v>15国资EB</v>
      </c>
      <c r="D26" t="str">
        <f>Data!E26</f>
        <v>601601.SH</v>
      </c>
      <c r="E26" t="str">
        <f>Data!F26</f>
        <v>中国太保</v>
      </c>
      <c r="F26" s="6">
        <f>Data!L26</f>
        <v>99.270099999999999</v>
      </c>
      <c r="G26" s="6">
        <f>Data!M26</f>
        <v>23.5324160994025</v>
      </c>
      <c r="H26" s="5">
        <f>Data!P26</f>
        <v>0.65723994707892397</v>
      </c>
      <c r="I26" s="3">
        <f>Data!Q26</f>
        <v>1.7489088533233701</v>
      </c>
      <c r="J26" t="str">
        <f>ROUND(10*Data!D26,0)&amp;":"&amp;ROUND(Data!G26*I26*10,0)</f>
        <v>1228:678</v>
      </c>
      <c r="K26">
        <f>Data!R26</f>
        <v>-1.37185435558314</v>
      </c>
      <c r="L26" s="6">
        <f>Data!S26</f>
        <v>-32.283047523360302</v>
      </c>
      <c r="M26" s="6">
        <f>Data!T26</f>
        <v>-7.47902481857765</v>
      </c>
      <c r="N26" s="2">
        <f>Data!J26</f>
        <v>0.27959155042219302</v>
      </c>
      <c r="O26" s="2">
        <f>Data!K26</f>
        <v>0.30139554300473698</v>
      </c>
    </row>
    <row r="27" spans="1:15" x14ac:dyDescent="0.15">
      <c r="A27" s="1">
        <f>Data!A27</f>
        <v>43025</v>
      </c>
      <c r="B27" t="str">
        <f>Data!B27</f>
        <v>132006.SH</v>
      </c>
      <c r="C27" t="str">
        <f>Data!C27</f>
        <v>16皖新EB</v>
      </c>
      <c r="D27" t="str">
        <f>Data!E27</f>
        <v>601801.SH</v>
      </c>
      <c r="E27" t="str">
        <f>Data!F27</f>
        <v>皖新传媒</v>
      </c>
      <c r="F27" s="6">
        <f>Data!L27</f>
        <v>97.166399999999996</v>
      </c>
      <c r="G27" s="6">
        <f>Data!M27</f>
        <v>11.7714415908105</v>
      </c>
      <c r="H27" s="5">
        <f>Data!P27</f>
        <v>0.46914154275543102</v>
      </c>
      <c r="I27" s="3">
        <f>Data!Q27</f>
        <v>2.8977241677296499</v>
      </c>
      <c r="J27" t="str">
        <f>ROUND(10*Data!D27,0)&amp;":"&amp;ROUND(Data!G27*I27*10,0)</f>
        <v>1023:356</v>
      </c>
      <c r="K27">
        <f>Data!R27</f>
        <v>-0.44972446197690102</v>
      </c>
      <c r="L27" s="6">
        <f>Data!S27</f>
        <v>-5.2939052361197598</v>
      </c>
      <c r="M27" s="6">
        <f>Data!T27</f>
        <v>-1.38736174430129</v>
      </c>
      <c r="N27" s="2">
        <f>Data!J27</f>
        <v>0.30777313499472903</v>
      </c>
      <c r="O27" s="2">
        <f>Data!K27</f>
        <v>0.19563482452881101</v>
      </c>
    </row>
    <row r="28" spans="1:15" x14ac:dyDescent="0.15">
      <c r="A28" s="1">
        <f>Data!A28</f>
        <v>43025</v>
      </c>
      <c r="B28" t="str">
        <f>Data!B28</f>
        <v>132007.SH</v>
      </c>
      <c r="C28" t="str">
        <f>Data!C28</f>
        <v>16凤凰EB</v>
      </c>
      <c r="D28" t="str">
        <f>Data!E28</f>
        <v>601928.SH</v>
      </c>
      <c r="E28" t="str">
        <f>Data!F28</f>
        <v>凤凰传媒</v>
      </c>
      <c r="F28" s="6">
        <f>Data!L28</f>
        <v>91.562299999999993</v>
      </c>
      <c r="G28" s="6">
        <f>Data!M28</f>
        <v>0.264157293386868</v>
      </c>
      <c r="H28" s="5">
        <f>Data!P28</f>
        <v>4.6058518392449802E-2</v>
      </c>
      <c r="I28" s="3">
        <f>Data!Q28</f>
        <v>0.29243503741237897</v>
      </c>
      <c r="J28" t="str">
        <f>ROUND(10*Data!D28,0)&amp;":"&amp;ROUND(Data!G28*I28*10,0)</f>
        <v>930:27</v>
      </c>
      <c r="K28">
        <f>Data!R28</f>
        <v>-3.4466321485032099E-2</v>
      </c>
      <c r="L28" s="6">
        <f>Data!S28</f>
        <v>-9.1045301964877302E-3</v>
      </c>
      <c r="M28" s="6">
        <f>Data!T28</f>
        <v>-0.35568944871215702</v>
      </c>
      <c r="N28" s="2">
        <f>Data!J28</f>
        <v>0.12901033030074899</v>
      </c>
      <c r="O28" s="2">
        <f>Data!K28</f>
        <v>0.22070077695499701</v>
      </c>
    </row>
    <row r="29" spans="1:15" x14ac:dyDescent="0.15">
      <c r="A29" s="1">
        <f>Data!A29</f>
        <v>43025</v>
      </c>
      <c r="B29" t="str">
        <f>Data!B29</f>
        <v>132008.SH</v>
      </c>
      <c r="C29" t="str">
        <f>Data!C29</f>
        <v>17山高EB</v>
      </c>
      <c r="D29" t="str">
        <f>Data!E29</f>
        <v>600350.SH</v>
      </c>
      <c r="E29" t="str">
        <f>Data!F29</f>
        <v>山东高速</v>
      </c>
      <c r="F29" s="6">
        <f>Data!L29</f>
        <v>93.483099999999993</v>
      </c>
      <c r="G29" s="6">
        <f>Data!M29</f>
        <v>1.9821990826957001</v>
      </c>
      <c r="H29" s="5">
        <f>Data!P29</f>
        <v>0.182354100007141</v>
      </c>
      <c r="I29" s="3">
        <f>Data!Q29</f>
        <v>1.8607561225218501</v>
      </c>
      <c r="J29" t="str">
        <f>ROUND(10*Data!D29,0)&amp;":"&amp;ROUND(Data!G29*I29*10,0)</f>
        <v>955:111</v>
      </c>
      <c r="K29">
        <f>Data!R29</f>
        <v>-8.1208525408200297E-2</v>
      </c>
      <c r="L29" s="6">
        <f>Data!S29</f>
        <v>-0.16097146457120501</v>
      </c>
      <c r="M29" s="6">
        <f>Data!T29</f>
        <v>-0.43722591395677701</v>
      </c>
      <c r="N29" s="2">
        <f>Data!J29</f>
        <v>0.18216981751229899</v>
      </c>
      <c r="O29" s="2">
        <f>Data!K29</f>
        <v>0.20481051579735299</v>
      </c>
    </row>
    <row r="30" spans="1:15" x14ac:dyDescent="0.15">
      <c r="A30" s="1">
        <f>Data!A30</f>
        <v>43025</v>
      </c>
      <c r="B30" t="str">
        <f>Data!B30</f>
        <v>132009.SH</v>
      </c>
      <c r="C30" t="str">
        <f>Data!C30</f>
        <v>17中油EB</v>
      </c>
      <c r="D30" t="str">
        <f>Data!E30</f>
        <v>601857.SH</v>
      </c>
      <c r="E30" t="str">
        <f>Data!F30</f>
        <v>中国石油</v>
      </c>
      <c r="F30" s="6">
        <f>Data!L30</f>
        <v>88.4983</v>
      </c>
      <c r="G30" s="6">
        <f>Data!M30</f>
        <v>7.99560856079583</v>
      </c>
      <c r="H30" s="5">
        <f>Data!P30</f>
        <v>0.50229174274838595</v>
      </c>
      <c r="I30" s="3">
        <f>Data!Q30</f>
        <v>5.6310733491971501</v>
      </c>
      <c r="J30" t="str">
        <f>ROUND(10*Data!D30,0)&amp;":"&amp;ROUND(Data!G30*I30*10,0)</f>
        <v>1022:453</v>
      </c>
      <c r="K30">
        <f>Data!R30</f>
        <v>-0.136957165152401</v>
      </c>
      <c r="L30" s="6">
        <f>Data!S30</f>
        <v>-1.0950558821548599</v>
      </c>
      <c r="M30" s="6">
        <f>Data!T30</f>
        <v>-2.87971710653053</v>
      </c>
      <c r="N30" s="2">
        <f>Data!J30</f>
        <v>0.117974107623333</v>
      </c>
      <c r="O30" s="2">
        <f>Data!K30</f>
        <v>0.193780878462946</v>
      </c>
    </row>
    <row r="31" spans="1:15" x14ac:dyDescent="0.15">
      <c r="A31" s="1">
        <f>Data!A31</f>
        <v>43025</v>
      </c>
      <c r="B31" t="str">
        <f>Data!B31</f>
        <v>132010.SH</v>
      </c>
      <c r="C31" t="str">
        <f>Data!C31</f>
        <v>17桐昆EB</v>
      </c>
      <c r="D31" t="str">
        <f>Data!E31</f>
        <v>601233.SH</v>
      </c>
      <c r="E31" t="str">
        <f>Data!F31</f>
        <v>桐昆股份</v>
      </c>
      <c r="F31" s="6">
        <f>Data!L31</f>
        <v>92.434799999999996</v>
      </c>
      <c r="G31" s="6">
        <f>Data!M31</f>
        <v>27.346979541732502</v>
      </c>
      <c r="H31" s="5">
        <f>Data!P31</f>
        <v>0.64687746155857795</v>
      </c>
      <c r="I31" s="3">
        <f>Data!Q31</f>
        <v>3.7784898455524401</v>
      </c>
      <c r="J31" t="str">
        <f>ROUND(10*Data!D31,0)&amp;":"&amp;ROUND(Data!G31*I31*10,0)</f>
        <v>1159:633</v>
      </c>
      <c r="K31">
        <f>Data!R31</f>
        <v>-0.86635220423627601</v>
      </c>
      <c r="L31" s="6">
        <f>Data!S31</f>
        <v>-23.6921160051843</v>
      </c>
      <c r="M31" s="6">
        <f>Data!T31</f>
        <v>-8.3858988250652793</v>
      </c>
      <c r="N31" s="2">
        <f>Data!J31</f>
        <v>0.41606324464942701</v>
      </c>
      <c r="O31" s="2">
        <f>Data!K31</f>
        <v>0.35593017936572702</v>
      </c>
    </row>
    <row r="32" spans="1:15" x14ac:dyDescent="0.15">
      <c r="A32" s="1">
        <f>Data!A32</f>
        <v>43025</v>
      </c>
      <c r="B32" t="str">
        <f>Data!B32</f>
        <v>132011.SH</v>
      </c>
      <c r="C32" t="str">
        <f>Data!C32</f>
        <v>17浙报EB</v>
      </c>
      <c r="D32" t="str">
        <f>Data!E32</f>
        <v>600633.SH</v>
      </c>
      <c r="E32" t="str">
        <f>Data!F32</f>
        <v>浙数文化</v>
      </c>
      <c r="F32" s="6">
        <f>Data!L32</f>
        <v>86.487399999999994</v>
      </c>
      <c r="G32" s="6">
        <f>Data!M32</f>
        <v>12.5494151668647</v>
      </c>
      <c r="H32" s="5">
        <f>Data!P32</f>
        <v>0.478045688318117</v>
      </c>
      <c r="I32" s="3">
        <f>Data!Q32</f>
        <v>1.91218275327247</v>
      </c>
      <c r="J32" t="str">
        <f>ROUND(10*Data!D32,0)&amp;":"&amp;ROUND(Data!G32*I32*10,0)</f>
        <v>930:335</v>
      </c>
      <c r="K32">
        <f>Data!R32</f>
        <v>-0.58344218359531497</v>
      </c>
      <c r="L32" s="6">
        <f>Data!S32</f>
        <v>-7.3218581877996902</v>
      </c>
      <c r="M32" s="6">
        <f>Data!T32</f>
        <v>-1.3465439954682801</v>
      </c>
      <c r="N32" s="2">
        <f>Data!J32</f>
        <v>0.31864844108854901</v>
      </c>
      <c r="O32" s="2">
        <f>Data!K32</f>
        <v>0.22112088188145901</v>
      </c>
    </row>
    <row r="33" spans="1:15" x14ac:dyDescent="0.15">
      <c r="A33" s="1">
        <f>Data!A33</f>
        <v>43025</v>
      </c>
      <c r="B33" t="str">
        <f>Data!B33</f>
        <v>132012.SH</v>
      </c>
      <c r="C33" t="str">
        <f>Data!C33</f>
        <v>17巨化EB</v>
      </c>
      <c r="D33" t="str">
        <f>Data!E33</f>
        <v>600160.SH</v>
      </c>
      <c r="E33" t="str">
        <f>Data!F33</f>
        <v>巨化股份</v>
      </c>
      <c r="F33" s="6">
        <f>Data!L33</f>
        <v>92.046800000000005</v>
      </c>
      <c r="G33" s="6">
        <f>Data!M33</f>
        <v>21.489055742509201</v>
      </c>
      <c r="H33" s="5">
        <f>Data!P33</f>
        <v>0.59392428611188597</v>
      </c>
      <c r="I33" s="3">
        <f>Data!Q33</f>
        <v>4.3670903390579898</v>
      </c>
      <c r="J33" t="str">
        <f>ROUND(10*Data!D33,0)&amp;":"&amp;ROUND(Data!G33*I33*10,0)</f>
        <v>1039:531</v>
      </c>
      <c r="K33">
        <f>Data!R33</f>
        <v>-0.61734769912834797</v>
      </c>
      <c r="L33" s="6">
        <f>Data!S33</f>
        <v>-13.266219119078899</v>
      </c>
      <c r="M33" s="6">
        <f>Data!T33</f>
        <v>-4.10735886075949</v>
      </c>
      <c r="N33" s="2">
        <f>Data!J33</f>
        <v>0.39789644816283898</v>
      </c>
      <c r="O33" s="2">
        <f>Data!K33</f>
        <v>0.23928297796516401</v>
      </c>
    </row>
  </sheetData>
  <phoneticPr fontId="1" type="noConversion"/>
  <conditionalFormatting sqref="H2:H33">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24"/>
  <sheetViews>
    <sheetView workbookViewId="0">
      <selection activeCell="E20" sqref="E20"/>
    </sheetView>
  </sheetViews>
  <sheetFormatPr defaultRowHeight="13.5" x14ac:dyDescent="0.1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x14ac:dyDescent="0.2"/>
    <row r="2" spans="2:7" x14ac:dyDescent="0.15">
      <c r="B2" s="39" t="s">
        <v>250</v>
      </c>
      <c r="C2" s="40"/>
      <c r="E2" s="39" t="s">
        <v>250</v>
      </c>
      <c r="F2" s="40"/>
    </row>
    <row r="3" spans="2:7" x14ac:dyDescent="0.15">
      <c r="B3" s="23" t="s">
        <v>233</v>
      </c>
      <c r="C3" s="19" t="s">
        <v>234</v>
      </c>
      <c r="E3" s="23" t="s">
        <v>230</v>
      </c>
      <c r="F3" s="19">
        <v>41.5</v>
      </c>
    </row>
    <row r="4" spans="2:7" x14ac:dyDescent="0.15">
      <c r="B4" s="23" t="s">
        <v>236</v>
      </c>
      <c r="C4" s="19" t="s">
        <v>237</v>
      </c>
      <c r="E4" s="23" t="s">
        <v>232</v>
      </c>
      <c r="F4" s="19">
        <v>38.479999999999997</v>
      </c>
    </row>
    <row r="5" spans="2:7" ht="14.25" thickBot="1" x14ac:dyDescent="0.2">
      <c r="B5" s="23" t="s">
        <v>239</v>
      </c>
      <c r="C5" s="20">
        <v>1.4999999999999999E-2</v>
      </c>
      <c r="E5" s="23" t="s">
        <v>239</v>
      </c>
      <c r="F5" s="19">
        <v>1.4999999999999999E-2</v>
      </c>
    </row>
    <row r="6" spans="2:7" x14ac:dyDescent="0.15">
      <c r="B6" s="39" t="s">
        <v>251</v>
      </c>
      <c r="C6" s="40"/>
      <c r="E6" s="23" t="s">
        <v>242</v>
      </c>
      <c r="F6" s="21">
        <v>0.35</v>
      </c>
    </row>
    <row r="7" spans="2:7" ht="14.25" thickBot="1" x14ac:dyDescent="0.2">
      <c r="B7" s="23" t="s">
        <v>235</v>
      </c>
      <c r="C7" s="24" t="str">
        <f>[1]!S_Info_Name(C3)</f>
        <v>东方雨虹</v>
      </c>
      <c r="E7" s="25" t="s">
        <v>241</v>
      </c>
      <c r="F7" s="22">
        <v>5.94</v>
      </c>
    </row>
    <row r="8" spans="2:7" x14ac:dyDescent="0.15">
      <c r="B8" s="23" t="s">
        <v>231</v>
      </c>
      <c r="C8" s="24">
        <f>RTD("wdf.rtq", ,C3, "LastPrice","RT_Price")</f>
        <v>41.44</v>
      </c>
      <c r="E8" s="39" t="s">
        <v>253</v>
      </c>
      <c r="F8" s="40"/>
    </row>
    <row r="9" spans="2:7" ht="14.25" thickBot="1" x14ac:dyDescent="0.2">
      <c r="B9" s="25" t="s">
        <v>242</v>
      </c>
      <c r="C9" s="26">
        <f>[1]!s_risk_stdevr100(C3,"")/100</f>
        <v>0.35249309539794921</v>
      </c>
      <c r="E9" s="23" t="s">
        <v>255</v>
      </c>
      <c r="F9" s="29">
        <f>BlackScholes(F3,F4,F5,F7,0,F6,"C",0,0)</f>
        <v>16.0364369314429</v>
      </c>
      <c r="G9" t="s">
        <v>256</v>
      </c>
    </row>
    <row r="10" spans="2:7" x14ac:dyDescent="0.15">
      <c r="B10" s="39" t="s">
        <v>252</v>
      </c>
      <c r="C10" s="40"/>
      <c r="E10" s="23" t="s">
        <v>254</v>
      </c>
      <c r="F10" s="29">
        <f>BlackScholes(F3,F4,F5,F7,0,F6,"C",0,0)*100/F4</f>
        <v>41.674732150319386</v>
      </c>
      <c r="G10" t="s">
        <v>257</v>
      </c>
    </row>
    <row r="11" spans="2:7" x14ac:dyDescent="0.15">
      <c r="B11" s="23" t="s">
        <v>152</v>
      </c>
      <c r="C11" s="24" t="str">
        <f>[1]!S_Info_Name(C4)</f>
        <v>雨虹转债</v>
      </c>
      <c r="E11" s="23" t="s">
        <v>246</v>
      </c>
      <c r="F11" s="31">
        <f>BlackScholes(F3,F4,F5,F7,0,F6,"C",0,1)</f>
        <v>0.73221861513268105</v>
      </c>
    </row>
    <row r="12" spans="2:7" ht="14.25" thickBot="1" x14ac:dyDescent="0.2">
      <c r="B12" s="23" t="s">
        <v>168</v>
      </c>
      <c r="C12" s="24">
        <f>IF(RTD("wdf.rtq", ,C4, "LastPrice","RT_Price")=0,100,RTD("wdf.rtq", ,C4, "LastPrice","RT_Price"))</f>
        <v>100</v>
      </c>
      <c r="E12" s="25" t="s">
        <v>247</v>
      </c>
      <c r="F12" s="33">
        <f>BlackScholes(F3,F4,F5,F7,0,F6,"C",0,2)</f>
        <v>9.3015210176909113E-3</v>
      </c>
    </row>
    <row r="13" spans="2:7" x14ac:dyDescent="0.15">
      <c r="B13" s="23" t="s">
        <v>243</v>
      </c>
      <c r="C13" s="27">
        <f>[1]!cb_anal_straightbondvalue(C4,"")</f>
        <v>83.819100000000006</v>
      </c>
    </row>
    <row r="14" spans="2:7" x14ac:dyDescent="0.15">
      <c r="B14" s="23" t="s">
        <v>238</v>
      </c>
      <c r="C14" s="27">
        <f>[1]!cb_clause_conversion2_swapshareprice(C4,"")</f>
        <v>38.479999999999997</v>
      </c>
    </row>
    <row r="15" spans="2:7" x14ac:dyDescent="0.15">
      <c r="B15" s="23" t="s">
        <v>240</v>
      </c>
      <c r="C15" s="24" t="str">
        <f>[1]!cb_info_maturitydate(C4)</f>
        <v>2023-09-25</v>
      </c>
    </row>
    <row r="16" spans="2:7" ht="14.25" thickBot="1" x14ac:dyDescent="0.2">
      <c r="B16" s="25" t="s">
        <v>241</v>
      </c>
      <c r="C16" s="28">
        <f ca="1">(C15-TODAY())/365</f>
        <v>5.9397260273972599</v>
      </c>
    </row>
    <row r="17" spans="2:3" x14ac:dyDescent="0.15">
      <c r="B17" s="39" t="s">
        <v>258</v>
      </c>
      <c r="C17" s="40"/>
    </row>
    <row r="18" spans="2:3" x14ac:dyDescent="0.15">
      <c r="B18" s="23" t="s">
        <v>167</v>
      </c>
      <c r="C18" s="29">
        <f ca="1">BlackScholes(C8,C14,C5,C16,0,C9,"C",0,0)*100/C14</f>
        <v>41.775330241437551</v>
      </c>
    </row>
    <row r="19" spans="2:3" x14ac:dyDescent="0.15">
      <c r="B19" s="23" t="s">
        <v>244</v>
      </c>
      <c r="C19" s="29">
        <f ca="1">C18+C13</f>
        <v>125.59443024143755</v>
      </c>
    </row>
    <row r="20" spans="2:3" x14ac:dyDescent="0.15">
      <c r="B20" s="23" t="s">
        <v>245</v>
      </c>
      <c r="C20" s="30">
        <f ca="1">C12/C19-1</f>
        <v>-0.20378634778816129</v>
      </c>
    </row>
    <row r="21" spans="2:3" x14ac:dyDescent="0.15">
      <c r="B21" s="23" t="s">
        <v>246</v>
      </c>
      <c r="C21" s="31">
        <f ca="1">BlackScholes(C8,C14,C5,C16,0,C9,"C",0,1)</f>
        <v>0.73221152044464577</v>
      </c>
    </row>
    <row r="22" spans="2:3" x14ac:dyDescent="0.15">
      <c r="B22" s="23" t="s">
        <v>247</v>
      </c>
      <c r="C22" s="31">
        <f ca="1">BlackScholes(C8,C14,C5,C16,0,C9,"C",0,2)</f>
        <v>9.2494426608449795E-3</v>
      </c>
    </row>
    <row r="23" spans="2:3" x14ac:dyDescent="0.15">
      <c r="B23" s="23" t="s">
        <v>248</v>
      </c>
      <c r="C23" s="31">
        <f ca="1">C21*100/C14</f>
        <v>1.9028365915921148</v>
      </c>
    </row>
    <row r="24" spans="2:3" ht="14.25" thickBot="1" x14ac:dyDescent="0.2">
      <c r="B24" s="25" t="s">
        <v>249</v>
      </c>
      <c r="C24" s="32" t="str">
        <f ca="1">ROUND(10*C12,0)&amp;":"&amp;ROUND(C8*C23*10,0)</f>
        <v>1000:789</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3"/>
  <sheetViews>
    <sheetView topLeftCell="N1" workbookViewId="0">
      <selection activeCell="AC1" sqref="AC1"/>
    </sheetView>
  </sheetViews>
  <sheetFormatPr defaultRowHeight="13.5" x14ac:dyDescent="0.15"/>
  <sheetData>
    <row r="1" spans="1:33" x14ac:dyDescent="0.15">
      <c r="A1" t="s">
        <v>144</v>
      </c>
      <c r="B1" t="s">
        <v>0</v>
      </c>
      <c r="C1" t="s">
        <v>1</v>
      </c>
      <c r="D1" t="s">
        <v>2</v>
      </c>
      <c r="E1" t="s">
        <v>3</v>
      </c>
      <c r="F1" t="s">
        <v>4</v>
      </c>
      <c r="G1" t="s">
        <v>5</v>
      </c>
      <c r="H1" t="s">
        <v>6</v>
      </c>
      <c r="I1" t="s">
        <v>7</v>
      </c>
      <c r="J1" t="s">
        <v>8</v>
      </c>
      <c r="K1" t="s">
        <v>145</v>
      </c>
      <c r="L1" t="s">
        <v>9</v>
      </c>
      <c r="M1" t="s">
        <v>146</v>
      </c>
      <c r="N1" t="s">
        <v>10</v>
      </c>
      <c r="O1" t="s">
        <v>147</v>
      </c>
      <c r="P1" t="s">
        <v>11</v>
      </c>
      <c r="Q1" t="s">
        <v>13</v>
      </c>
      <c r="R1" t="s">
        <v>12</v>
      </c>
      <c r="S1" t="s">
        <v>14</v>
      </c>
      <c r="T1" t="s">
        <v>15</v>
      </c>
      <c r="U1" t="s">
        <v>148</v>
      </c>
      <c r="V1" t="s">
        <v>160</v>
      </c>
      <c r="W1" t="s">
        <v>161</v>
      </c>
      <c r="X1" t="s">
        <v>149</v>
      </c>
      <c r="Y1" t="s">
        <v>150</v>
      </c>
      <c r="Z1" t="s">
        <v>151</v>
      </c>
      <c r="AA1" t="s">
        <v>162</v>
      </c>
      <c r="AB1" t="s">
        <v>163</v>
      </c>
      <c r="AC1" t="s">
        <v>223</v>
      </c>
      <c r="AD1" t="s">
        <v>224</v>
      </c>
      <c r="AE1" t="s">
        <v>225</v>
      </c>
      <c r="AF1" t="s">
        <v>226</v>
      </c>
      <c r="AG1" t="s">
        <v>227</v>
      </c>
    </row>
    <row r="2" spans="1:33" x14ac:dyDescent="0.15">
      <c r="A2" s="1">
        <v>43025</v>
      </c>
      <c r="B2" t="s">
        <v>33</v>
      </c>
      <c r="C2" t="s">
        <v>65</v>
      </c>
      <c r="D2">
        <v>110.8463</v>
      </c>
      <c r="E2" t="s">
        <v>97</v>
      </c>
      <c r="F2" t="s">
        <v>129</v>
      </c>
      <c r="G2">
        <v>6.21</v>
      </c>
      <c r="H2">
        <v>7.24</v>
      </c>
      <c r="I2">
        <v>2.1899543378995401</v>
      </c>
      <c r="J2">
        <v>0.28777544315507603</v>
      </c>
      <c r="K2">
        <v>0.34222491982710801</v>
      </c>
      <c r="L2">
        <v>98.417400000000001</v>
      </c>
      <c r="M2">
        <v>10.4956508088402</v>
      </c>
      <c r="N2">
        <v>108.91305080884</v>
      </c>
      <c r="O2">
        <v>108.94873096143699</v>
      </c>
      <c r="P2">
        <v>0.47198442987772699</v>
      </c>
      <c r="Q2">
        <v>6.5191219596371104</v>
      </c>
      <c r="R2">
        <v>-0.27285682354451002</v>
      </c>
      <c r="S2">
        <v>-2.8638099407325099</v>
      </c>
      <c r="T2">
        <v>-5.6754151376146798</v>
      </c>
      <c r="U2">
        <v>1.7750390580399102E-2</v>
      </c>
      <c r="V2">
        <v>2.9955503795949901E-2</v>
      </c>
      <c r="W2">
        <v>5.3654539912387701E-2</v>
      </c>
      <c r="X2">
        <v>7.5235191361399702E-3</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x14ac:dyDescent="0.15">
      <c r="A3" s="1">
        <v>43025</v>
      </c>
      <c r="B3" t="s">
        <v>47</v>
      </c>
      <c r="C3" t="s">
        <v>79</v>
      </c>
      <c r="D3">
        <v>104.5993</v>
      </c>
      <c r="E3" t="s">
        <v>111</v>
      </c>
      <c r="F3" t="s">
        <v>143</v>
      </c>
      <c r="G3">
        <v>18.97</v>
      </c>
      <c r="H3">
        <v>42.8</v>
      </c>
      <c r="I3">
        <v>3.6557077625570802</v>
      </c>
      <c r="J3">
        <v>0.25125151330315298</v>
      </c>
      <c r="K3">
        <v>0.61800928241173803</v>
      </c>
      <c r="L3">
        <v>93.9893</v>
      </c>
      <c r="M3">
        <v>0.74276640615148004</v>
      </c>
      <c r="N3">
        <v>94.732066406151503</v>
      </c>
      <c r="O3">
        <v>94.697002288640704</v>
      </c>
      <c r="P3">
        <v>9.0213090016927802E-2</v>
      </c>
      <c r="Q3">
        <v>0.210778247703102</v>
      </c>
      <c r="R3">
        <v>-0.22366250571801799</v>
      </c>
      <c r="S3">
        <v>-0.166128995563007</v>
      </c>
      <c r="T3">
        <v>-2.9023107669248098</v>
      </c>
      <c r="U3">
        <v>0.104159383070396</v>
      </c>
      <c r="V3">
        <v>0.116559090665005</v>
      </c>
      <c r="W3">
        <v>2.6087357525188998E-2</v>
      </c>
      <c r="X3">
        <v>0.100541208930524</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x14ac:dyDescent="0.15">
      <c r="A4" s="1">
        <v>43025</v>
      </c>
      <c r="B4" t="s">
        <v>26</v>
      </c>
      <c r="C4" t="s">
        <v>58</v>
      </c>
      <c r="D4">
        <v>119.99679999999999</v>
      </c>
      <c r="E4" t="s">
        <v>90</v>
      </c>
      <c r="F4" t="s">
        <v>122</v>
      </c>
      <c r="G4">
        <v>7.91</v>
      </c>
      <c r="H4">
        <v>7.45</v>
      </c>
      <c r="I4">
        <v>4.2200913242009097</v>
      </c>
      <c r="J4">
        <v>0.28923824872665099</v>
      </c>
      <c r="K4">
        <v>0.27826595679284</v>
      </c>
      <c r="L4">
        <v>91.244200000000006</v>
      </c>
      <c r="M4">
        <v>30.004366184582398</v>
      </c>
      <c r="N4">
        <v>121.248566184582</v>
      </c>
      <c r="O4">
        <v>121.33604270835301</v>
      </c>
      <c r="P4">
        <v>0.69303082517829995</v>
      </c>
      <c r="Q4">
        <v>9.3024271836013401</v>
      </c>
      <c r="R4">
        <v>-0.24430856633571399</v>
      </c>
      <c r="S4">
        <v>-7.3303236863671097</v>
      </c>
      <c r="T4">
        <v>-6.8132648777320899</v>
      </c>
      <c r="U4">
        <v>-1.03239669051166E-2</v>
      </c>
      <c r="V4">
        <v>8.0595002973728198E-3</v>
      </c>
      <c r="W4">
        <v>3.6008905242553103E-2</v>
      </c>
      <c r="X4">
        <v>-9.0190389955989402E-3</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x14ac:dyDescent="0.15">
      <c r="A5" s="1">
        <v>43025</v>
      </c>
      <c r="B5" t="s">
        <v>23</v>
      </c>
      <c r="C5" t="s">
        <v>55</v>
      </c>
      <c r="D5">
        <v>127.7882</v>
      </c>
      <c r="E5" t="s">
        <v>87</v>
      </c>
      <c r="F5" t="s">
        <v>119</v>
      </c>
      <c r="G5">
        <v>10.89</v>
      </c>
      <c r="H5">
        <v>8.81</v>
      </c>
      <c r="I5">
        <v>4.2228310502283097</v>
      </c>
      <c r="J5">
        <v>0.44066093070120399</v>
      </c>
      <c r="K5">
        <v>0.186803033838603</v>
      </c>
      <c r="L5">
        <v>92.863500000000002</v>
      </c>
      <c r="M5">
        <v>54.466701571494298</v>
      </c>
      <c r="N5">
        <v>147.330201571494</v>
      </c>
      <c r="O5">
        <v>147.34405639365201</v>
      </c>
      <c r="P5">
        <v>0.77541126687050199</v>
      </c>
      <c r="Q5">
        <v>8.8014899758286305</v>
      </c>
      <c r="R5">
        <v>-0.40450568978467899</v>
      </c>
      <c r="S5">
        <v>-22.032090689473598</v>
      </c>
      <c r="T5">
        <v>-8.2704469074394495</v>
      </c>
      <c r="U5">
        <v>-0.13264083916976999</v>
      </c>
      <c r="V5">
        <v>-2.3187198012618E-2</v>
      </c>
      <c r="W5">
        <v>5.15526931635664E-2</v>
      </c>
      <c r="X5">
        <v>-0.12278912366202401</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x14ac:dyDescent="0.15">
      <c r="A6" s="1">
        <v>43025</v>
      </c>
      <c r="B6" t="s">
        <v>24</v>
      </c>
      <c r="C6" t="s">
        <v>56</v>
      </c>
      <c r="D6">
        <v>126.64749999999999</v>
      </c>
      <c r="E6" t="s">
        <v>88</v>
      </c>
      <c r="F6" t="s">
        <v>120</v>
      </c>
      <c r="G6">
        <v>21.51</v>
      </c>
      <c r="H6">
        <v>18.649999999999999</v>
      </c>
      <c r="I6">
        <v>4.2502283105022798</v>
      </c>
      <c r="J6">
        <v>0.20060361771076399</v>
      </c>
      <c r="K6">
        <v>0.27129698805835301</v>
      </c>
      <c r="L6">
        <v>91.647800000000004</v>
      </c>
      <c r="M6">
        <v>29.940191296586999</v>
      </c>
      <c r="N6">
        <v>121.58799129658701</v>
      </c>
      <c r="O6">
        <v>121.609792958041</v>
      </c>
      <c r="P6">
        <v>0.75988038747511699</v>
      </c>
      <c r="Q6">
        <v>4.0744256701078596</v>
      </c>
      <c r="R6">
        <v>-0.48683776283897501</v>
      </c>
      <c r="S6">
        <v>-14.5760157498014</v>
      </c>
      <c r="T6">
        <v>-8.2347811559948401</v>
      </c>
      <c r="U6">
        <v>4.1611911254224601E-2</v>
      </c>
      <c r="V6">
        <v>6.3813712127018E-3</v>
      </c>
      <c r="W6">
        <v>5.1674146311372501E-2</v>
      </c>
      <c r="X6">
        <v>4.5783214631617802E-2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x14ac:dyDescent="0.15">
      <c r="A7" s="1">
        <v>43025</v>
      </c>
      <c r="B7" t="s">
        <v>37</v>
      </c>
      <c r="C7" t="s">
        <v>69</v>
      </c>
      <c r="D7">
        <v>107.0932</v>
      </c>
      <c r="E7" t="s">
        <v>101</v>
      </c>
      <c r="F7" t="s">
        <v>133</v>
      </c>
      <c r="G7">
        <v>8</v>
      </c>
      <c r="H7">
        <v>10.65</v>
      </c>
      <c r="I7">
        <v>3.29954337899543</v>
      </c>
      <c r="J7">
        <v>0.331874088611681</v>
      </c>
      <c r="K7">
        <v>0.349240842741883</v>
      </c>
      <c r="L7">
        <v>95.252200000000002</v>
      </c>
      <c r="M7">
        <v>11.623910601473</v>
      </c>
      <c r="N7">
        <v>106.876110601473</v>
      </c>
      <c r="O7">
        <v>106.93305341263699</v>
      </c>
      <c r="P7">
        <v>0.46370645346500999</v>
      </c>
      <c r="Q7">
        <v>4.3540512062442298</v>
      </c>
      <c r="R7">
        <v>-0.32742055612974402</v>
      </c>
      <c r="S7">
        <v>-3.8059072735367301</v>
      </c>
      <c r="T7">
        <v>-3.5886783836147198</v>
      </c>
      <c r="U7">
        <v>2.0312247265104099E-3</v>
      </c>
      <c r="V7">
        <v>-6.6449537088008603E-2</v>
      </c>
      <c r="W7">
        <v>7.7228303039779206E-2</v>
      </c>
      <c r="X7">
        <v>-4.3642991357486999E-3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x14ac:dyDescent="0.15">
      <c r="A8" s="1">
        <v>43025</v>
      </c>
      <c r="B8" t="s">
        <v>20</v>
      </c>
      <c r="C8" t="s">
        <v>52</v>
      </c>
      <c r="D8">
        <v>133.63149999999999</v>
      </c>
      <c r="E8" t="s">
        <v>84</v>
      </c>
      <c r="F8" t="s">
        <v>116</v>
      </c>
      <c r="G8">
        <v>28.5</v>
      </c>
      <c r="H8">
        <v>21.43</v>
      </c>
      <c r="I8">
        <v>4.2694063926940604</v>
      </c>
      <c r="J8">
        <v>0.217251720155306</v>
      </c>
      <c r="K8">
        <v>0.180597641328817</v>
      </c>
      <c r="L8">
        <v>90.930999999999997</v>
      </c>
      <c r="M8">
        <v>45.369124502392502</v>
      </c>
      <c r="N8">
        <v>136.30012450239201</v>
      </c>
      <c r="O8">
        <v>136.32300249021401</v>
      </c>
      <c r="P8">
        <v>0.84188881510187796</v>
      </c>
      <c r="Q8">
        <v>3.92855256697097</v>
      </c>
      <c r="R8">
        <v>-0.57579336090272004</v>
      </c>
      <c r="S8">
        <v>-26.1232406784465</v>
      </c>
      <c r="T8">
        <v>-10.001507486631001</v>
      </c>
      <c r="U8">
        <v>-1.95790320231559E-2</v>
      </c>
      <c r="V8">
        <v>-4.3892526700329802E-2</v>
      </c>
      <c r="W8">
        <v>2.89177230182107E-2</v>
      </c>
      <c r="X8">
        <v>-2.2554933725551E-2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x14ac:dyDescent="0.15">
      <c r="A9" s="1">
        <v>43025</v>
      </c>
      <c r="B9" t="s">
        <v>41</v>
      </c>
      <c r="C9" t="s">
        <v>73</v>
      </c>
      <c r="D9">
        <v>105.8468</v>
      </c>
      <c r="E9" t="s">
        <v>105</v>
      </c>
      <c r="F9" t="s">
        <v>137</v>
      </c>
      <c r="G9">
        <v>6.43</v>
      </c>
      <c r="H9">
        <v>9.3000000000000007</v>
      </c>
      <c r="I9">
        <v>4.4200913242009099</v>
      </c>
      <c r="J9">
        <v>0.16813808207195499</v>
      </c>
      <c r="K9">
        <v>0.36746938222345199</v>
      </c>
      <c r="L9">
        <v>92.158100000000005</v>
      </c>
      <c r="M9">
        <v>3.0621328929306699</v>
      </c>
      <c r="N9">
        <v>95.220232892930696</v>
      </c>
      <c r="O9">
        <v>95.228868375379804</v>
      </c>
      <c r="P9">
        <v>0.24835626645023401</v>
      </c>
      <c r="Q9">
        <v>2.6704974887122002</v>
      </c>
      <c r="R9">
        <v>-0.101102012805321</v>
      </c>
      <c r="S9">
        <v>-0.30958779895267102</v>
      </c>
      <c r="T9">
        <v>-3.0969269628099201</v>
      </c>
      <c r="U9">
        <v>0.111599885698854</v>
      </c>
      <c r="V9">
        <v>4.6830902166884701E-2</v>
      </c>
      <c r="W9">
        <v>4.5104240814646403E-2</v>
      </c>
      <c r="X9">
        <v>0.106132482921346</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x14ac:dyDescent="0.15">
      <c r="A10" s="1">
        <v>43025</v>
      </c>
      <c r="B10" t="s">
        <v>16</v>
      </c>
      <c r="C10" t="s">
        <v>48</v>
      </c>
      <c r="D10">
        <v>112.6722</v>
      </c>
      <c r="E10" t="s">
        <v>80</v>
      </c>
      <c r="F10" t="s">
        <v>112</v>
      </c>
      <c r="G10">
        <v>4.1100000000000003</v>
      </c>
      <c r="H10">
        <v>4.26</v>
      </c>
      <c r="I10">
        <v>5.4173515981735196</v>
      </c>
      <c r="J10">
        <v>0.13366244312852399</v>
      </c>
      <c r="K10">
        <v>0.28937867611759099</v>
      </c>
      <c r="L10">
        <v>85.589200000000005</v>
      </c>
      <c r="M10">
        <v>13.9260590802925</v>
      </c>
      <c r="N10">
        <v>99.515259080292495</v>
      </c>
      <c r="O10">
        <v>99.563167763610096</v>
      </c>
      <c r="P10">
        <v>0.61849454680593097</v>
      </c>
      <c r="Q10">
        <v>14.518651333472601</v>
      </c>
      <c r="R10">
        <v>-7.42192380385156E-2</v>
      </c>
      <c r="S10">
        <v>-1.03358149381866</v>
      </c>
      <c r="T10">
        <v>-4.9993063047875896</v>
      </c>
      <c r="U10">
        <v>0.132210286556075</v>
      </c>
      <c r="V10">
        <v>9.3555735231634504E-2</v>
      </c>
      <c r="W10">
        <v>3.5068352284490102E-2</v>
      </c>
      <c r="X10">
        <v>0.128082411572223</v>
      </c>
      <c r="Y10">
        <v>0.13321494833849801</v>
      </c>
      <c r="Z10">
        <v>0.13208369335046699</v>
      </c>
      <c r="AA10">
        <v>9.1085643393975596E-2</v>
      </c>
      <c r="AB10">
        <v>7.7866759994920001E-2</v>
      </c>
      <c r="AC10">
        <v>5.7427387060726101E-2</v>
      </c>
      <c r="AD10">
        <v>4.6829240834708498E-2</v>
      </c>
    </row>
    <row r="11" spans="1:33" x14ac:dyDescent="0.15">
      <c r="A11" s="1">
        <v>43025</v>
      </c>
      <c r="B11" t="s">
        <v>19</v>
      </c>
      <c r="C11" t="s">
        <v>51</v>
      </c>
      <c r="D11">
        <v>112.819</v>
      </c>
      <c r="E11" t="s">
        <v>83</v>
      </c>
      <c r="F11" t="s">
        <v>115</v>
      </c>
      <c r="G11">
        <v>14.86</v>
      </c>
      <c r="H11">
        <v>16.72</v>
      </c>
      <c r="I11">
        <v>5.4365296803653003</v>
      </c>
      <c r="J11">
        <v>0.26531896007091299</v>
      </c>
      <c r="K11">
        <v>0.35792370430807702</v>
      </c>
      <c r="L11">
        <v>85.282300000000006</v>
      </c>
      <c r="M11">
        <v>20.379589140188401</v>
      </c>
      <c r="N11">
        <v>105.66188914018799</v>
      </c>
      <c r="O11">
        <v>105.734611288274</v>
      </c>
      <c r="P11">
        <v>0.59889911752349201</v>
      </c>
      <c r="Q11">
        <v>3.58193252107352</v>
      </c>
      <c r="R11">
        <v>-0.40925661292904503</v>
      </c>
      <c r="S11">
        <v>-8.3404816243990698</v>
      </c>
      <c r="T11">
        <v>-5.0651245590458602</v>
      </c>
      <c r="U11">
        <v>6.7735972904249001E-2</v>
      </c>
      <c r="V11">
        <v>7.0521203815083006E-2</v>
      </c>
      <c r="W11">
        <v>4.0352493948598397E-2</v>
      </c>
      <c r="X11">
        <v>4.3894663202166603E-2</v>
      </c>
      <c r="Y11">
        <v>7.5637317905815404E-2</v>
      </c>
      <c r="Z11">
        <v>0.125736381760509</v>
      </c>
      <c r="AA11">
        <v>8.9843198757404402E-2</v>
      </c>
      <c r="AB11">
        <v>6.2598078292151096E-2</v>
      </c>
      <c r="AC11">
        <v>4.2383159961842103E-2</v>
      </c>
      <c r="AD11">
        <v>-1.11995948318255E-3</v>
      </c>
    </row>
    <row r="12" spans="1:33" x14ac:dyDescent="0.15">
      <c r="A12" s="1">
        <v>43025</v>
      </c>
      <c r="B12" t="s">
        <v>18</v>
      </c>
      <c r="C12" t="s">
        <v>50</v>
      </c>
      <c r="D12">
        <v>124.4436</v>
      </c>
      <c r="E12" t="s">
        <v>82</v>
      </c>
      <c r="F12" t="s">
        <v>114</v>
      </c>
      <c r="G12">
        <v>21.01</v>
      </c>
      <c r="H12">
        <v>20.2</v>
      </c>
      <c r="I12">
        <v>5.7214611872146097</v>
      </c>
      <c r="J12">
        <v>0.20316940511124201</v>
      </c>
      <c r="K12">
        <v>0.373897140914146</v>
      </c>
      <c r="L12">
        <v>84.276200000000003</v>
      </c>
      <c r="M12">
        <v>25.517490104488701</v>
      </c>
      <c r="N12">
        <v>109.793690104489</v>
      </c>
      <c r="O12">
        <v>109.844750941645</v>
      </c>
      <c r="P12">
        <v>0.69163356559107902</v>
      </c>
      <c r="Q12">
        <v>3.4239285425301</v>
      </c>
      <c r="R12">
        <v>-0.454714603404482</v>
      </c>
      <c r="S12">
        <v>-11.6031753927404</v>
      </c>
      <c r="T12">
        <v>-7.0204793296089401</v>
      </c>
      <c r="U12">
        <v>0.133431255307743</v>
      </c>
      <c r="V12">
        <v>0.14718155484840001</v>
      </c>
      <c r="W12">
        <v>2.21144440657874E-2</v>
      </c>
      <c r="X12">
        <v>0.13151756368953799</v>
      </c>
      <c r="Y12">
        <v>0.134608717884694</v>
      </c>
      <c r="Z12">
        <v>0.16742923392798301</v>
      </c>
      <c r="AA12">
        <v>0.128777733952289</v>
      </c>
    </row>
    <row r="13" spans="1:33" x14ac:dyDescent="0.15">
      <c r="A13" s="1">
        <v>43025</v>
      </c>
      <c r="B13" t="s">
        <v>28</v>
      </c>
      <c r="C13" t="s">
        <v>60</v>
      </c>
      <c r="D13">
        <v>107.29859999999999</v>
      </c>
      <c r="E13" t="s">
        <v>92</v>
      </c>
      <c r="F13" t="s">
        <v>124</v>
      </c>
      <c r="G13">
        <v>16.559999999999999</v>
      </c>
      <c r="H13">
        <v>17.8</v>
      </c>
      <c r="I13">
        <v>3.5050228310502298</v>
      </c>
      <c r="J13">
        <v>0.17230736827773599</v>
      </c>
      <c r="K13">
        <v>0.20213653238881901</v>
      </c>
      <c r="L13">
        <v>94.605500000000006</v>
      </c>
      <c r="M13">
        <v>11.139185754916999</v>
      </c>
      <c r="N13">
        <v>105.744685754917</v>
      </c>
      <c r="O13">
        <v>105.75950227830501</v>
      </c>
      <c r="P13">
        <v>0.54000000741799004</v>
      </c>
      <c r="Q13">
        <v>3.0337079068426398</v>
      </c>
      <c r="R13">
        <v>-0.40688260263461101</v>
      </c>
      <c r="S13">
        <v>-4.5323408911909997</v>
      </c>
      <c r="T13">
        <v>-3.6214029442417899</v>
      </c>
      <c r="U13">
        <v>1.46949630044246E-2</v>
      </c>
      <c r="V13">
        <v>-1.05033758473693E-3</v>
      </c>
      <c r="W13">
        <v>2.0379870482582999E-2</v>
      </c>
      <c r="X13">
        <v>1.06474789536218E-2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x14ac:dyDescent="0.15">
      <c r="A14" s="1">
        <v>43025</v>
      </c>
      <c r="B14" t="s">
        <v>36</v>
      </c>
      <c r="C14" t="s">
        <v>68</v>
      </c>
      <c r="D14">
        <v>104.267</v>
      </c>
      <c r="E14" t="s">
        <v>100</v>
      </c>
      <c r="F14" t="s">
        <v>132</v>
      </c>
      <c r="G14">
        <v>7.28</v>
      </c>
      <c r="H14">
        <v>9.77</v>
      </c>
      <c r="I14">
        <v>4.1735159817351599</v>
      </c>
      <c r="J14">
        <v>0.254797921952298</v>
      </c>
      <c r="K14">
        <v>0.28772517131500303</v>
      </c>
      <c r="L14">
        <v>93.562899999999999</v>
      </c>
      <c r="M14">
        <v>9.2225551276770297</v>
      </c>
      <c r="N14">
        <v>102.785455127677</v>
      </c>
      <c r="O14">
        <v>102.696172766031</v>
      </c>
      <c r="P14">
        <v>0.42675910603147399</v>
      </c>
      <c r="Q14">
        <v>4.3680563565145798</v>
      </c>
      <c r="R14">
        <v>-0.21114137586234299</v>
      </c>
      <c r="S14">
        <v>-1.9472629786240401</v>
      </c>
      <c r="T14">
        <v>-2.5647679431072201</v>
      </c>
      <c r="U14">
        <v>1.44139544888198E-2</v>
      </c>
      <c r="V14">
        <v>3.6466526380744303E-2</v>
      </c>
      <c r="W14">
        <v>3.2794118852470501E-2</v>
      </c>
      <c r="X14">
        <v>1.1026418980406599E-2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x14ac:dyDescent="0.15">
      <c r="A15" s="1">
        <v>43025</v>
      </c>
      <c r="B15" t="s">
        <v>38</v>
      </c>
      <c r="C15" t="s">
        <v>70</v>
      </c>
      <c r="D15">
        <v>101.74679999999999</v>
      </c>
      <c r="E15" t="s">
        <v>102</v>
      </c>
      <c r="F15" t="s">
        <v>134</v>
      </c>
      <c r="G15">
        <v>3.74</v>
      </c>
      <c r="H15">
        <v>5.25</v>
      </c>
      <c r="I15">
        <v>4.6447488584474899</v>
      </c>
      <c r="J15">
        <v>0.20339324582597401</v>
      </c>
      <c r="K15">
        <v>0.25543437608904201</v>
      </c>
      <c r="L15">
        <v>92.960599999999999</v>
      </c>
      <c r="M15">
        <v>5.8075782078848697</v>
      </c>
      <c r="N15">
        <v>98.768178207884901</v>
      </c>
      <c r="O15">
        <v>98.7841652723842</v>
      </c>
      <c r="P15">
        <v>0.34621063586685602</v>
      </c>
      <c r="Q15">
        <v>6.59448830222584</v>
      </c>
      <c r="R15">
        <v>-7.9956085778835895E-2</v>
      </c>
      <c r="S15">
        <v>-0.46435122135694101</v>
      </c>
      <c r="T15">
        <v>-1.89164156508061</v>
      </c>
      <c r="U15">
        <v>3.0157707129575599E-2</v>
      </c>
      <c r="V15">
        <v>1.1454171679533399E-2</v>
      </c>
      <c r="W15">
        <v>3.6986577569998701E-2</v>
      </c>
      <c r="X15">
        <v>2.5968868831617101E-2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x14ac:dyDescent="0.15">
      <c r="A16" s="1">
        <v>43025</v>
      </c>
      <c r="B16" t="s">
        <v>31</v>
      </c>
      <c r="C16" t="s">
        <v>63</v>
      </c>
      <c r="D16">
        <v>109.211</v>
      </c>
      <c r="E16" t="s">
        <v>95</v>
      </c>
      <c r="F16" t="s">
        <v>127</v>
      </c>
      <c r="G16">
        <v>6.96</v>
      </c>
      <c r="H16">
        <v>8</v>
      </c>
      <c r="I16">
        <v>5.6283105022831101</v>
      </c>
      <c r="J16">
        <v>0.30332148688218302</v>
      </c>
      <c r="K16">
        <v>0.27275240916169402</v>
      </c>
      <c r="L16">
        <v>89.078500000000005</v>
      </c>
      <c r="M16">
        <v>22.754167932285402</v>
      </c>
      <c r="N16">
        <v>111.83266793228501</v>
      </c>
      <c r="O16">
        <v>111.910591356873</v>
      </c>
      <c r="P16">
        <v>0.61163986232382295</v>
      </c>
      <c r="Q16">
        <v>7.6454982790477901</v>
      </c>
      <c r="R16">
        <v>-0.20705596661276299</v>
      </c>
      <c r="S16">
        <v>-4.7113862356884901</v>
      </c>
      <c r="T16">
        <v>-3.5770059224403701</v>
      </c>
      <c r="U16">
        <v>-2.34427737508047E-2</v>
      </c>
      <c r="V16">
        <v>-1.9634603836758802E-2</v>
      </c>
      <c r="W16">
        <v>1.4237023938130099E-2</v>
      </c>
      <c r="X16">
        <v>-3.3808769861591398E-2</v>
      </c>
      <c r="Y16">
        <v>-1.8704850753078098E-2</v>
      </c>
      <c r="Z16">
        <v>-1.3703943676797101E-2</v>
      </c>
      <c r="AA16">
        <v>-1.53713910882614E-2</v>
      </c>
    </row>
    <row r="17" spans="1:33" x14ac:dyDescent="0.15">
      <c r="A17" s="1">
        <v>43025</v>
      </c>
      <c r="B17" t="s">
        <v>27</v>
      </c>
      <c r="C17" t="s">
        <v>59</v>
      </c>
      <c r="D17">
        <v>117.06310000000001</v>
      </c>
      <c r="E17" t="s">
        <v>91</v>
      </c>
      <c r="F17" t="s">
        <v>123</v>
      </c>
      <c r="G17">
        <v>8.86</v>
      </c>
      <c r="H17">
        <v>9.32</v>
      </c>
      <c r="I17">
        <v>4.2694063926940604</v>
      </c>
      <c r="J17">
        <v>0.29766239112889598</v>
      </c>
      <c r="K17">
        <v>0.313702805175536</v>
      </c>
      <c r="L17">
        <v>92.943600000000004</v>
      </c>
      <c r="M17">
        <v>23.449268799485399</v>
      </c>
      <c r="N17">
        <v>116.392868799485</v>
      </c>
      <c r="O17">
        <v>116.45943193358799</v>
      </c>
      <c r="P17">
        <v>0.62905483358393399</v>
      </c>
      <c r="Q17">
        <v>6.7495153818018698</v>
      </c>
      <c r="R17">
        <v>-0.291976149527511</v>
      </c>
      <c r="S17">
        <v>-6.8466272133093504</v>
      </c>
      <c r="T17">
        <v>-5.6493802139037399</v>
      </c>
      <c r="U17">
        <v>5.7583527876539104E-3</v>
      </c>
      <c r="V17">
        <v>-4.39329518253802E-2</v>
      </c>
      <c r="W17">
        <v>4.9162032053867197E-2</v>
      </c>
      <c r="X17">
        <v>-4.4867987424727397E-3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x14ac:dyDescent="0.15">
      <c r="A18" s="1">
        <v>43025</v>
      </c>
      <c r="B18" t="s">
        <v>39</v>
      </c>
      <c r="C18" t="s">
        <v>71</v>
      </c>
      <c r="D18">
        <v>104.5688</v>
      </c>
      <c r="E18" t="s">
        <v>103</v>
      </c>
      <c r="F18" t="s">
        <v>135</v>
      </c>
      <c r="G18">
        <v>5.7</v>
      </c>
      <c r="H18">
        <v>7.74</v>
      </c>
      <c r="I18">
        <v>4.5132420091324201</v>
      </c>
      <c r="J18">
        <v>0.27908124321689698</v>
      </c>
      <c r="K18">
        <v>0.38448610924196802</v>
      </c>
      <c r="L18">
        <v>87.282499999999999</v>
      </c>
      <c r="M18">
        <v>11.068414981287299</v>
      </c>
      <c r="N18">
        <v>98.350914981287204</v>
      </c>
      <c r="O18">
        <v>98.352305865689104</v>
      </c>
      <c r="P18">
        <v>0.458038438941135</v>
      </c>
      <c r="Q18">
        <v>5.9178092886451603</v>
      </c>
      <c r="R18">
        <v>-0.174847268784906</v>
      </c>
      <c r="S18">
        <v>-1.9352821292560101</v>
      </c>
      <c r="T18">
        <v>-3.8301291987049799</v>
      </c>
      <c r="U18">
        <v>6.3221425239366594E-2</v>
      </c>
      <c r="V18">
        <v>0.11982661797218799</v>
      </c>
      <c r="W18">
        <v>4.1336250974250303E-2</v>
      </c>
      <c r="X18">
        <v>5.7652771529647498E-2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x14ac:dyDescent="0.15">
      <c r="A19" s="1">
        <v>43025</v>
      </c>
      <c r="B19" t="s">
        <v>45</v>
      </c>
      <c r="C19" t="s">
        <v>77</v>
      </c>
      <c r="D19">
        <v>101.5448</v>
      </c>
      <c r="E19" t="s">
        <v>109</v>
      </c>
      <c r="F19" t="s">
        <v>141</v>
      </c>
      <c r="G19">
        <v>6.23</v>
      </c>
      <c r="H19">
        <v>10.029999999999999</v>
      </c>
      <c r="I19">
        <v>4.7844748858447499</v>
      </c>
      <c r="J19">
        <v>0.33195161338766399</v>
      </c>
      <c r="K19">
        <v>0.35662070878265401</v>
      </c>
      <c r="L19">
        <v>90.717100000000002</v>
      </c>
      <c r="M19">
        <v>9.6412886964272797</v>
      </c>
      <c r="N19">
        <v>100.358388696427</v>
      </c>
      <c r="O19">
        <v>100.399574177224</v>
      </c>
      <c r="P19">
        <v>0.42310407168679598</v>
      </c>
      <c r="Q19">
        <v>4.2183855601874001</v>
      </c>
      <c r="R19">
        <v>-0.21011255811462101</v>
      </c>
      <c r="S19">
        <v>-2.02575583152792</v>
      </c>
      <c r="T19">
        <v>-2.2630905707196001</v>
      </c>
      <c r="U19">
        <v>1.1821745237077E-2</v>
      </c>
      <c r="V19">
        <v>1.4010454152848901E-2</v>
      </c>
      <c r="W19">
        <v>2.6119543725401699E-2</v>
      </c>
      <c r="X19">
        <v>8.2151498072928104E-3</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x14ac:dyDescent="0.15">
      <c r="A20" s="1">
        <v>43025</v>
      </c>
      <c r="B20" t="s">
        <v>22</v>
      </c>
      <c r="C20" t="s">
        <v>54</v>
      </c>
      <c r="D20">
        <v>116.5219</v>
      </c>
      <c r="E20" t="s">
        <v>86</v>
      </c>
      <c r="F20" t="s">
        <v>118</v>
      </c>
      <c r="G20">
        <v>21.89</v>
      </c>
      <c r="H20">
        <v>20.46</v>
      </c>
      <c r="I20">
        <v>5.5022831050228298</v>
      </c>
      <c r="J20">
        <v>0.56336196616023704</v>
      </c>
      <c r="K20">
        <v>0.22195262548599801</v>
      </c>
      <c r="L20">
        <v>88.097700000000003</v>
      </c>
      <c r="M20">
        <v>56.619628045084298</v>
      </c>
      <c r="N20">
        <v>144.717328045084</v>
      </c>
      <c r="O20">
        <v>144.72332201624201</v>
      </c>
      <c r="P20">
        <v>0.78062832153650097</v>
      </c>
      <c r="Q20">
        <v>3.8153876907942399</v>
      </c>
      <c r="R20">
        <v>-0.85960124944428995</v>
      </c>
      <c r="S20">
        <v>-48.670303010625403</v>
      </c>
      <c r="T20">
        <v>-5.1658919502074703</v>
      </c>
      <c r="U20">
        <v>-0.19483104356584299</v>
      </c>
      <c r="V20">
        <v>-0.167205229511529</v>
      </c>
      <c r="W20">
        <v>4.3752045950692001E-2</v>
      </c>
      <c r="X20">
        <v>-0.20707495672208601</v>
      </c>
      <c r="Y20">
        <v>-0.21759444487021901</v>
      </c>
      <c r="Z20">
        <v>-0.199816698163991</v>
      </c>
      <c r="AA20">
        <v>-0.14598764499892999</v>
      </c>
      <c r="AB20">
        <v>-0.11432852003251399</v>
      </c>
      <c r="AC20">
        <v>-0.12733285378568601</v>
      </c>
    </row>
    <row r="21" spans="1:33" x14ac:dyDescent="0.15">
      <c r="A21" s="1">
        <v>43025</v>
      </c>
      <c r="B21" t="s">
        <v>29</v>
      </c>
      <c r="C21" t="s">
        <v>61</v>
      </c>
      <c r="D21">
        <v>114.78149999999999</v>
      </c>
      <c r="E21" t="s">
        <v>93</v>
      </c>
      <c r="F21" t="s">
        <v>125</v>
      </c>
      <c r="G21">
        <v>12.52</v>
      </c>
      <c r="H21">
        <v>12.9</v>
      </c>
      <c r="I21">
        <v>5.6447488584474899</v>
      </c>
      <c r="J21">
        <v>0.298553615502132</v>
      </c>
      <c r="K21">
        <v>0.292017690898558</v>
      </c>
      <c r="L21">
        <v>86.601500000000001</v>
      </c>
      <c r="M21">
        <v>28.843633401457598</v>
      </c>
      <c r="N21">
        <v>115.44513340145799</v>
      </c>
      <c r="O21">
        <v>115.440097767732</v>
      </c>
      <c r="P21">
        <v>0.667085019854192</v>
      </c>
      <c r="Q21">
        <v>5.1712017042960596</v>
      </c>
      <c r="R21">
        <v>-0.355345224524935</v>
      </c>
      <c r="S21">
        <v>-10.2494473871559</v>
      </c>
      <c r="T21">
        <v>-4.9922504449118303</v>
      </c>
      <c r="U21">
        <v>-5.7484744649202203E-3</v>
      </c>
      <c r="V21">
        <v>-8.6273716944768302E-3</v>
      </c>
      <c r="W21">
        <v>2.1702845166473798E-2</v>
      </c>
      <c r="X21">
        <v>-1.5880162798485201E-2</v>
      </c>
      <c r="Y21">
        <v>-3.4469756736107801E-3</v>
      </c>
      <c r="Z21">
        <v>9.8117099410860303E-3</v>
      </c>
      <c r="AA21">
        <v>-2.5139678070061899E-2</v>
      </c>
      <c r="AB21">
        <v>-4.2467177304673899E-2</v>
      </c>
    </row>
    <row r="22" spans="1:33" x14ac:dyDescent="0.15">
      <c r="A22" s="1">
        <v>43025</v>
      </c>
      <c r="B22" t="s">
        <v>21</v>
      </c>
      <c r="C22" t="s">
        <v>53</v>
      </c>
      <c r="D22">
        <v>138.97999999999999</v>
      </c>
      <c r="E22" t="s">
        <v>85</v>
      </c>
      <c r="F22" t="s">
        <v>117</v>
      </c>
      <c r="G22">
        <v>58.22</v>
      </c>
      <c r="H22">
        <v>42.31</v>
      </c>
      <c r="I22">
        <v>0.14885844748858401</v>
      </c>
      <c r="J22">
        <v>0.35404111372896901</v>
      </c>
      <c r="K22">
        <v>0.35196739649209502</v>
      </c>
      <c r="L22">
        <v>102.4066</v>
      </c>
      <c r="M22">
        <v>37.876437762969999</v>
      </c>
      <c r="N22">
        <v>140.28303776297</v>
      </c>
      <c r="O22">
        <v>140.28017519557599</v>
      </c>
      <c r="P22">
        <v>0.99227148197203197</v>
      </c>
      <c r="Q22">
        <v>2.3452410351501598</v>
      </c>
      <c r="R22">
        <v>-1.1941725408730799</v>
      </c>
      <c r="S22">
        <v>-45.231001922626902</v>
      </c>
      <c r="T22">
        <v>-245.692472392638</v>
      </c>
      <c r="U22">
        <v>-9.2886337774613602E-3</v>
      </c>
      <c r="V22">
        <v>5.6325254001265701E-3</v>
      </c>
      <c r="W22">
        <v>2.73877655503297E-2</v>
      </c>
      <c r="X22">
        <v>-4.1863345573790603E-3</v>
      </c>
      <c r="Y22">
        <v>1.1920721362155299E-2</v>
      </c>
      <c r="Z22">
        <v>-1.55475431791728E-2</v>
      </c>
      <c r="AA22">
        <v>-1.30285291955022E-2</v>
      </c>
      <c r="AB22">
        <v>-3.4033998743630599E-3</v>
      </c>
      <c r="AC22">
        <v>-3.2247200402337001E-2</v>
      </c>
      <c r="AD22">
        <v>-9.3154701821644894E-3</v>
      </c>
      <c r="AE22">
        <v>-4.8814367035250898E-4</v>
      </c>
      <c r="AF22">
        <v>-1.80834911250936E-3</v>
      </c>
      <c r="AG22">
        <v>1.20222737112645E-2</v>
      </c>
    </row>
    <row r="23" spans="1:33" x14ac:dyDescent="0.15">
      <c r="A23" s="1">
        <v>43025</v>
      </c>
      <c r="B23" t="s">
        <v>46</v>
      </c>
      <c r="C23" t="s">
        <v>78</v>
      </c>
      <c r="D23">
        <v>103.7</v>
      </c>
      <c r="E23" t="s">
        <v>110</v>
      </c>
      <c r="F23" t="s">
        <v>142</v>
      </c>
      <c r="G23">
        <v>35.9</v>
      </c>
      <c r="H23">
        <v>56.02</v>
      </c>
      <c r="I23">
        <v>2.6447488584474899</v>
      </c>
      <c r="J23">
        <v>0.16321528454013201</v>
      </c>
      <c r="K23">
        <v>0.51401292791278597</v>
      </c>
      <c r="L23">
        <v>91.350499999999997</v>
      </c>
      <c r="M23">
        <v>0.570298545707555</v>
      </c>
      <c r="N23">
        <v>91.920798545707598</v>
      </c>
      <c r="O23">
        <v>91.9011253357301</v>
      </c>
      <c r="P23">
        <v>8.1623996585282105E-2</v>
      </c>
      <c r="Q23">
        <v>0.14570509922399499</v>
      </c>
      <c r="R23">
        <v>-0.31107857566307001</v>
      </c>
      <c r="S23">
        <v>-0.17740765930142599</v>
      </c>
      <c r="T23">
        <v>-4.6694414709944798</v>
      </c>
      <c r="U23">
        <v>0.12814511667275399</v>
      </c>
      <c r="V23">
        <v>0.11067692139391901</v>
      </c>
      <c r="W23">
        <v>1.6936702853744202E-2</v>
      </c>
      <c r="X23">
        <v>0.12189978960579299</v>
      </c>
      <c r="Y23">
        <v>0.13047197333649099</v>
      </c>
      <c r="Z23">
        <v>0.12811014658498901</v>
      </c>
      <c r="AA23">
        <v>0.122106794087927</v>
      </c>
      <c r="AB23">
        <v>0.13006389583709399</v>
      </c>
      <c r="AC23">
        <v>0.11111255248416101</v>
      </c>
      <c r="AD23">
        <v>9.9558537784547901E-2</v>
      </c>
      <c r="AE23">
        <v>0.10569657143412001</v>
      </c>
      <c r="AF23">
        <v>0.114844734761814</v>
      </c>
      <c r="AG23">
        <v>9.50945281834744E-2</v>
      </c>
    </row>
    <row r="24" spans="1:33" x14ac:dyDescent="0.15">
      <c r="A24" s="1">
        <v>43025</v>
      </c>
      <c r="B24" t="s">
        <v>40</v>
      </c>
      <c r="C24" t="s">
        <v>72</v>
      </c>
      <c r="D24">
        <v>102.4</v>
      </c>
      <c r="E24" t="s">
        <v>104</v>
      </c>
      <c r="F24" t="s">
        <v>136</v>
      </c>
      <c r="G24">
        <v>11.42</v>
      </c>
      <c r="H24">
        <v>16.75</v>
      </c>
      <c r="I24">
        <v>1.02557077625571</v>
      </c>
      <c r="J24">
        <v>0.26175471215098201</v>
      </c>
      <c r="K24">
        <v>0.51475641689337703</v>
      </c>
      <c r="L24">
        <v>97.451999999999998</v>
      </c>
      <c r="M24">
        <v>0.81457301608168597</v>
      </c>
      <c r="N24">
        <v>98.266573016081693</v>
      </c>
      <c r="O24">
        <v>98.249005568040204</v>
      </c>
      <c r="P24">
        <v>0.10484962934118899</v>
      </c>
      <c r="Q24">
        <v>0.62596793636531001</v>
      </c>
      <c r="R24">
        <v>-0.28400151556946901</v>
      </c>
      <c r="S24">
        <v>-0.23133997110919199</v>
      </c>
      <c r="T24">
        <v>-4.8246304541407001</v>
      </c>
      <c r="U24">
        <v>4.20634083091702E-2</v>
      </c>
      <c r="V24">
        <v>8.7888033730941006E-2</v>
      </c>
      <c r="W24">
        <v>3.7756495584386499E-2</v>
      </c>
      <c r="X24">
        <v>4.25382236585366E-2</v>
      </c>
      <c r="Y24">
        <v>5.1694659833360197E-2</v>
      </c>
      <c r="Z24">
        <v>6.8642226312463694E-2</v>
      </c>
      <c r="AA24">
        <v>6.9274509947361507E-2</v>
      </c>
      <c r="AB24">
        <v>5.64202278022886E-2</v>
      </c>
      <c r="AC24">
        <v>4.6074026708987803E-2</v>
      </c>
      <c r="AD24">
        <v>5.8520006370922202E-2</v>
      </c>
      <c r="AE24">
        <v>9.8222245283364804E-2</v>
      </c>
      <c r="AF24">
        <v>0.119216721471503</v>
      </c>
      <c r="AG24">
        <v>0.11675218909893</v>
      </c>
    </row>
    <row r="25" spans="1:33" x14ac:dyDescent="0.15">
      <c r="A25" s="1">
        <v>43025</v>
      </c>
      <c r="B25" t="s">
        <v>44</v>
      </c>
      <c r="C25" t="s">
        <v>76</v>
      </c>
      <c r="D25">
        <v>92.96</v>
      </c>
      <c r="E25" t="s">
        <v>108</v>
      </c>
      <c r="F25" t="s">
        <v>140</v>
      </c>
      <c r="G25">
        <v>3.77</v>
      </c>
      <c r="H25">
        <v>6.76</v>
      </c>
      <c r="I25">
        <v>4.0557077625570797</v>
      </c>
      <c r="J25">
        <v>0.15531419692689899</v>
      </c>
      <c r="K25">
        <v>0.28833258656969901</v>
      </c>
      <c r="L25">
        <v>89.828800000000001</v>
      </c>
      <c r="M25">
        <v>0.43899725492798602</v>
      </c>
      <c r="N25">
        <v>90.267797254927999</v>
      </c>
      <c r="O25">
        <v>90.262496599097901</v>
      </c>
      <c r="P25">
        <v>6.4753664014687906E-2</v>
      </c>
      <c r="Q25">
        <v>0.95789443808709995</v>
      </c>
      <c r="R25">
        <v>-2.15950887320959E-2</v>
      </c>
      <c r="S25">
        <v>-9.4801846733163896E-3</v>
      </c>
      <c r="T25">
        <v>-0.77204773699617002</v>
      </c>
      <c r="U25">
        <v>2.9824619930282299E-2</v>
      </c>
      <c r="V25">
        <v>4.5740177224014002E-2</v>
      </c>
      <c r="W25">
        <v>1.2257466006222901E-2</v>
      </c>
      <c r="X25">
        <v>2.6752893583747401E-2</v>
      </c>
      <c r="Y25">
        <v>3.2268087996484902E-2</v>
      </c>
      <c r="Z25">
        <v>4.3778004845818501E-2</v>
      </c>
      <c r="AA25">
        <v>3.91908602366784E-2</v>
      </c>
      <c r="AB25">
        <v>4.3298993303570801E-2</v>
      </c>
      <c r="AC25">
        <v>3.3890391339799097E-2</v>
      </c>
      <c r="AD25">
        <v>4.15225101551484E-2</v>
      </c>
      <c r="AE25">
        <v>6.4566577364887107E-2</v>
      </c>
      <c r="AF25">
        <v>5.7415856721002002E-2</v>
      </c>
      <c r="AG25">
        <v>4.2834995431012102E-2</v>
      </c>
    </row>
    <row r="26" spans="1:33" x14ac:dyDescent="0.15">
      <c r="A26" s="1">
        <v>43025</v>
      </c>
      <c r="B26" t="s">
        <v>32</v>
      </c>
      <c r="C26" t="s">
        <v>64</v>
      </c>
      <c r="D26">
        <v>122.8</v>
      </c>
      <c r="E26" t="s">
        <v>96</v>
      </c>
      <c r="F26" t="s">
        <v>128</v>
      </c>
      <c r="G26">
        <v>38.75</v>
      </c>
      <c r="H26">
        <v>37.58</v>
      </c>
      <c r="I26">
        <v>3.1461187214611899</v>
      </c>
      <c r="J26">
        <v>0.27959155042219302</v>
      </c>
      <c r="K26">
        <v>0.30139554300473698</v>
      </c>
      <c r="L26">
        <v>99.270099999999999</v>
      </c>
      <c r="M26">
        <v>23.5324160994025</v>
      </c>
      <c r="N26">
        <v>122.80251609940299</v>
      </c>
      <c r="O26">
        <v>122.833379985118</v>
      </c>
      <c r="P26">
        <v>0.65723994707892397</v>
      </c>
      <c r="Q26">
        <v>1.7489088533233701</v>
      </c>
      <c r="R26">
        <v>-1.37185435558314</v>
      </c>
      <c r="S26">
        <v>-32.283047523360302</v>
      </c>
      <c r="T26">
        <v>-7.47902481857765</v>
      </c>
      <c r="U26">
        <v>-2.04889890081938E-5</v>
      </c>
      <c r="V26">
        <v>4.5763182576397797E-2</v>
      </c>
      <c r="W26">
        <v>2.35363697540526E-2</v>
      </c>
      <c r="X26">
        <v>1.02220235591696E-3</v>
      </c>
      <c r="Y26">
        <v>2.4977574481994801E-2</v>
      </c>
      <c r="Z26">
        <v>3.0169425658020999E-2</v>
      </c>
      <c r="AA26">
        <v>2.80064704348136E-2</v>
      </c>
      <c r="AB26">
        <v>1.9210297244119798E-2</v>
      </c>
      <c r="AC26">
        <v>3.2513837368254403E-2</v>
      </c>
      <c r="AD26">
        <v>3.3362227751618602E-2</v>
      </c>
      <c r="AE26">
        <v>5.9441082552434001E-2</v>
      </c>
      <c r="AF26">
        <v>7.4860244802746195E-2</v>
      </c>
      <c r="AG26">
        <v>7.2305340338014404E-2</v>
      </c>
    </row>
    <row r="27" spans="1:33" x14ac:dyDescent="0.15">
      <c r="A27" s="1">
        <v>43025</v>
      </c>
      <c r="B27" t="s">
        <v>35</v>
      </c>
      <c r="C27" t="s">
        <v>67</v>
      </c>
      <c r="D27">
        <v>102.28</v>
      </c>
      <c r="E27" t="s">
        <v>99</v>
      </c>
      <c r="F27" t="s">
        <v>131</v>
      </c>
      <c r="G27">
        <v>12.29</v>
      </c>
      <c r="H27">
        <v>16.190000000000001</v>
      </c>
      <c r="I27">
        <v>3.6858447488584498</v>
      </c>
      <c r="J27">
        <v>0.30777313499472903</v>
      </c>
      <c r="K27">
        <v>0.19563482452881101</v>
      </c>
      <c r="L27">
        <v>97.166399999999996</v>
      </c>
      <c r="M27">
        <v>11.7714415908105</v>
      </c>
      <c r="N27">
        <v>108.93784159081</v>
      </c>
      <c r="O27">
        <v>109.000624853752</v>
      </c>
      <c r="P27">
        <v>0.46914154275543102</v>
      </c>
      <c r="Q27">
        <v>2.8977241677296499</v>
      </c>
      <c r="R27">
        <v>-0.44972446197690102</v>
      </c>
      <c r="S27">
        <v>-5.2939052361197598</v>
      </c>
      <c r="T27">
        <v>-1.38736174430129</v>
      </c>
      <c r="U27">
        <v>-6.11159675424678E-2</v>
      </c>
      <c r="V27">
        <v>-0.13817442943783101</v>
      </c>
      <c r="W27">
        <v>6.5632175028284001E-2</v>
      </c>
      <c r="X27">
        <v>-6.7486952541001996E-2</v>
      </c>
      <c r="Y27">
        <v>-7.0258105786472E-2</v>
      </c>
      <c r="Z27">
        <v>-8.5604903438311702E-2</v>
      </c>
      <c r="AA27">
        <v>-0.12764772860677701</v>
      </c>
      <c r="AB27">
        <v>-0.16515116679133501</v>
      </c>
      <c r="AC27">
        <v>-0.219735845191359</v>
      </c>
      <c r="AD27">
        <v>-0.22692635197402</v>
      </c>
      <c r="AE27">
        <v>-0.227860274054241</v>
      </c>
      <c r="AF27">
        <v>-0.21502503963231501</v>
      </c>
      <c r="AG27">
        <v>-0.18730770497707799</v>
      </c>
    </row>
    <row r="28" spans="1:33" x14ac:dyDescent="0.15">
      <c r="A28" s="1">
        <v>43025</v>
      </c>
      <c r="B28" t="s">
        <v>43</v>
      </c>
      <c r="C28" t="s">
        <v>75</v>
      </c>
      <c r="D28">
        <v>93</v>
      </c>
      <c r="E28" t="s">
        <v>107</v>
      </c>
      <c r="F28" t="s">
        <v>139</v>
      </c>
      <c r="G28">
        <v>9.26</v>
      </c>
      <c r="H28">
        <v>15.75</v>
      </c>
      <c r="I28">
        <v>4.0420091324200902</v>
      </c>
      <c r="J28">
        <v>0.12901033030074899</v>
      </c>
      <c r="K28">
        <v>0.22070077695499701</v>
      </c>
      <c r="L28">
        <v>91.562299999999993</v>
      </c>
      <c r="M28">
        <v>0.264157293386868</v>
      </c>
      <c r="N28">
        <v>91.826457293386895</v>
      </c>
      <c r="O28">
        <v>91.815694889784893</v>
      </c>
      <c r="P28">
        <v>4.6058518392449802E-2</v>
      </c>
      <c r="Q28">
        <v>0.29243503741237897</v>
      </c>
      <c r="R28">
        <v>-3.4466321485032099E-2</v>
      </c>
      <c r="S28">
        <v>-9.1045301964877302E-3</v>
      </c>
      <c r="T28">
        <v>-0.35568944871215702</v>
      </c>
      <c r="U28">
        <v>1.2780006342438401E-2</v>
      </c>
      <c r="V28">
        <v>5.9193283559891202E-2</v>
      </c>
      <c r="W28">
        <v>3.57139611566153E-2</v>
      </c>
      <c r="X28">
        <v>1.3228613515065501E-2</v>
      </c>
      <c r="Y28">
        <v>2.4012563559759999E-2</v>
      </c>
      <c r="Z28">
        <v>3.0496358545474299E-2</v>
      </c>
      <c r="AA28">
        <v>2.5970334716573201E-2</v>
      </c>
      <c r="AB28">
        <v>2.87096233099251E-2</v>
      </c>
      <c r="AC28">
        <v>3.9894816718214501E-2</v>
      </c>
      <c r="AD28">
        <v>6.2616010554276E-2</v>
      </c>
      <c r="AE28">
        <v>9.3069509008616699E-2</v>
      </c>
      <c r="AF28">
        <v>0.103628665102124</v>
      </c>
      <c r="AG28">
        <v>9.3497913727799295E-2</v>
      </c>
    </row>
    <row r="29" spans="1:33" x14ac:dyDescent="0.15">
      <c r="A29" s="1">
        <v>43025</v>
      </c>
      <c r="B29" t="s">
        <v>42</v>
      </c>
      <c r="C29" t="s">
        <v>74</v>
      </c>
      <c r="D29">
        <v>95.46</v>
      </c>
      <c r="E29" t="s">
        <v>106</v>
      </c>
      <c r="F29" t="s">
        <v>138</v>
      </c>
      <c r="G29">
        <v>5.98</v>
      </c>
      <c r="H29">
        <v>9.8000000000000007</v>
      </c>
      <c r="I29">
        <v>4.5214611872146104</v>
      </c>
      <c r="J29">
        <v>0.18216981751229899</v>
      </c>
      <c r="K29">
        <v>0.20481051579735299</v>
      </c>
      <c r="L29">
        <v>93.483099999999993</v>
      </c>
      <c r="M29">
        <v>1.9821990826957001</v>
      </c>
      <c r="N29">
        <v>95.465299082695694</v>
      </c>
      <c r="O29">
        <v>95.473764362795905</v>
      </c>
      <c r="P29">
        <v>0.182354100007141</v>
      </c>
      <c r="Q29">
        <v>1.8607561225218501</v>
      </c>
      <c r="R29">
        <v>-8.1208525408200297E-2</v>
      </c>
      <c r="S29">
        <v>-0.16097146457120501</v>
      </c>
      <c r="T29">
        <v>-0.43722591395677701</v>
      </c>
      <c r="U29">
        <v>-5.5507946307376002E-5</v>
      </c>
      <c r="V29">
        <v>-6.192698027365E-3</v>
      </c>
      <c r="W29">
        <v>9.4799494772166096E-3</v>
      </c>
      <c r="X29">
        <v>-1.8099371646091401E-3</v>
      </c>
      <c r="Y29">
        <v>7.6092645465502298E-5</v>
      </c>
      <c r="Z29">
        <v>1.15602493344569E-3</v>
      </c>
      <c r="AA29">
        <v>-4.8546617391110802E-3</v>
      </c>
      <c r="AB29">
        <v>-1.17416411778885E-2</v>
      </c>
      <c r="AC29">
        <v>-2.4451665028072202E-2</v>
      </c>
    </row>
    <row r="30" spans="1:33" x14ac:dyDescent="0.15">
      <c r="A30" s="1">
        <v>43025</v>
      </c>
      <c r="B30" t="s">
        <v>25</v>
      </c>
      <c r="C30" t="s">
        <v>57</v>
      </c>
      <c r="D30">
        <v>102.15</v>
      </c>
      <c r="E30" t="s">
        <v>89</v>
      </c>
      <c r="F30" t="s">
        <v>121</v>
      </c>
      <c r="G30">
        <v>8.0500000000000007</v>
      </c>
      <c r="H30">
        <v>8.92</v>
      </c>
      <c r="I30">
        <v>4.7406392694063904</v>
      </c>
      <c r="J30">
        <v>0.117974107623333</v>
      </c>
      <c r="K30">
        <v>0.193780878462946</v>
      </c>
      <c r="L30">
        <v>88.4983</v>
      </c>
      <c r="M30">
        <v>7.99560856079583</v>
      </c>
      <c r="N30">
        <v>96.493908560795802</v>
      </c>
      <c r="O30">
        <v>96.527604539720201</v>
      </c>
      <c r="P30">
        <v>0.50229174274838595</v>
      </c>
      <c r="Q30">
        <v>5.6310733491971501</v>
      </c>
      <c r="R30">
        <v>-0.136957165152401</v>
      </c>
      <c r="S30">
        <v>-1.0950558821548599</v>
      </c>
      <c r="T30">
        <v>-2.87971710653053</v>
      </c>
      <c r="U30">
        <v>5.8616046583298803E-2</v>
      </c>
      <c r="V30">
        <v>5.8666949462836501E-2</v>
      </c>
      <c r="W30">
        <v>1.17246821733953E-2</v>
      </c>
      <c r="X30">
        <v>5.6123823139128302E-2</v>
      </c>
      <c r="Y30">
        <v>6.2190776164863897E-2</v>
      </c>
      <c r="Z30">
        <v>6.1126650590453101E-2</v>
      </c>
      <c r="AA30">
        <v>3.6112628980476298E-2</v>
      </c>
    </row>
    <row r="31" spans="1:33" x14ac:dyDescent="0.15">
      <c r="A31" s="1">
        <v>43025</v>
      </c>
      <c r="B31" t="s">
        <v>17</v>
      </c>
      <c r="C31" t="s">
        <v>49</v>
      </c>
      <c r="D31">
        <v>115.9</v>
      </c>
      <c r="E31" t="s">
        <v>81</v>
      </c>
      <c r="F31" t="s">
        <v>113</v>
      </c>
      <c r="G31">
        <v>16.75</v>
      </c>
      <c r="H31">
        <v>17.12</v>
      </c>
      <c r="I31">
        <v>2.7981735159817398</v>
      </c>
      <c r="J31">
        <v>0.41606324464942701</v>
      </c>
      <c r="K31">
        <v>0.35593017936572702</v>
      </c>
      <c r="L31">
        <v>92.434799999999996</v>
      </c>
      <c r="M31">
        <v>27.346979541732502</v>
      </c>
      <c r="N31">
        <v>119.781779541733</v>
      </c>
      <c r="O31">
        <v>119.74960800976901</v>
      </c>
      <c r="P31">
        <v>0.64687746155857795</v>
      </c>
      <c r="Q31">
        <v>3.7784898455524401</v>
      </c>
      <c r="R31">
        <v>-0.86635220423627601</v>
      </c>
      <c r="S31">
        <v>-23.6921160051843</v>
      </c>
      <c r="T31">
        <v>-8.3858988250652793</v>
      </c>
      <c r="U31">
        <v>-3.2407095274286403E-2</v>
      </c>
      <c r="V31">
        <v>-1.7291606374187401E-2</v>
      </c>
      <c r="W31">
        <v>1.9446174397629301E-2</v>
      </c>
      <c r="X31">
        <v>-4.20007891958235E-2</v>
      </c>
      <c r="Y31">
        <v>-1.34289819379791E-2</v>
      </c>
      <c r="Z31">
        <v>-4.1702968611761898E-3</v>
      </c>
    </row>
    <row r="32" spans="1:33" x14ac:dyDescent="0.15">
      <c r="A32" s="1">
        <v>43025</v>
      </c>
      <c r="B32" t="s">
        <v>34</v>
      </c>
      <c r="C32" t="s">
        <v>66</v>
      </c>
      <c r="D32">
        <v>93</v>
      </c>
      <c r="E32" t="s">
        <v>98</v>
      </c>
      <c r="F32" t="s">
        <v>130</v>
      </c>
      <c r="G32">
        <v>17.5</v>
      </c>
      <c r="H32">
        <v>25</v>
      </c>
      <c r="I32">
        <v>4.8365296803652997</v>
      </c>
      <c r="J32">
        <v>0.31864844108854901</v>
      </c>
      <c r="K32">
        <v>0.22112088188145901</v>
      </c>
      <c r="L32">
        <v>86.487399999999994</v>
      </c>
      <c r="M32">
        <v>12.5494151668647</v>
      </c>
      <c r="N32">
        <v>99.036815166864699</v>
      </c>
      <c r="O32">
        <v>99.050361996056495</v>
      </c>
      <c r="P32">
        <v>0.478045688318117</v>
      </c>
      <c r="Q32">
        <v>1.91218275327247</v>
      </c>
      <c r="R32">
        <v>-0.58344218359531497</v>
      </c>
      <c r="S32">
        <v>-7.3218581877996902</v>
      </c>
      <c r="T32">
        <v>-1.3465439954682801</v>
      </c>
      <c r="U32">
        <v>-6.0955263521887203E-2</v>
      </c>
      <c r="V32">
        <v>-5.9303264919933998E-2</v>
      </c>
      <c r="W32">
        <v>1.83933085588187E-2</v>
      </c>
      <c r="X32">
        <v>-7.21053388950363E-2</v>
      </c>
      <c r="Y32">
        <v>-5.4586711350159502E-2</v>
      </c>
    </row>
    <row r="33" spans="1:25" x14ac:dyDescent="0.15">
      <c r="A33" s="1">
        <v>43025</v>
      </c>
      <c r="B33" t="s">
        <v>30</v>
      </c>
      <c r="C33" t="s">
        <v>62</v>
      </c>
      <c r="D33">
        <v>103.9</v>
      </c>
      <c r="E33" t="s">
        <v>94</v>
      </c>
      <c r="F33" t="s">
        <v>126</v>
      </c>
      <c r="G33">
        <v>12.17</v>
      </c>
      <c r="H33">
        <v>13.6</v>
      </c>
      <c r="I33">
        <v>2.88584474885845</v>
      </c>
      <c r="J33">
        <v>0.39789644816283898</v>
      </c>
      <c r="K33">
        <v>0.23928297796516401</v>
      </c>
      <c r="L33">
        <v>92.046800000000005</v>
      </c>
      <c r="M33">
        <v>21.489055742509201</v>
      </c>
      <c r="N33">
        <v>113.535855742509</v>
      </c>
      <c r="O33">
        <v>113.640741004866</v>
      </c>
      <c r="P33">
        <v>0.59392428611188597</v>
      </c>
      <c r="Q33">
        <v>4.3670903390579898</v>
      </c>
      <c r="R33">
        <v>-0.61734769912834797</v>
      </c>
      <c r="S33">
        <v>-13.266219119078899</v>
      </c>
      <c r="T33">
        <v>-4.10735886075949</v>
      </c>
      <c r="U33">
        <v>-8.4870595984783706E-2</v>
      </c>
      <c r="V33">
        <v>-9.2149059524450502E-2</v>
      </c>
      <c r="W33">
        <v>8.0238445907416904E-3</v>
      </c>
      <c r="X33">
        <v>-9.5412047833029701E-2</v>
      </c>
      <c r="Y33">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2017-10-17T03:32:25Z</dcterms:created>
  <dcterms:modified xsi:type="dcterms:W3CDTF">2017-10-18T03:38:33Z</dcterms:modified>
</cp:coreProperties>
</file>