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olatileDependencies.xml" ContentType="application/vnd.openxmlformats-officedocument.spreadsheetml.volatileDependenc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R\055ConvertableBond\"/>
    </mc:Choice>
  </mc:AlternateContent>
  <bookViews>
    <workbookView xWindow="0" yWindow="0" windowWidth="24000" windowHeight="9195"/>
  </bookViews>
  <sheets>
    <sheet name="使用说明" sheetId="5" r:id="rId1"/>
    <sheet name="实时溢价率" sheetId="4" r:id="rId2"/>
    <sheet name="历史溢价率" sheetId="1" r:id="rId3"/>
    <sheet name="期权价值" sheetId="3" r:id="rId4"/>
    <sheet name="个券试算" sheetId="6" r:id="rId5"/>
    <sheet name="Data" sheetId="2" state="hidden" r:id="rId6"/>
  </sheets>
  <functionGroups builtInGroupCount="18"/>
  <externalReferences>
    <externalReference r:id="rId7"/>
  </externalReferences>
  <calcPr calcId="152511"/>
  <fileRecoveryPr autoRecover="0"/>
</workbook>
</file>

<file path=xl/calcChain.xml><?xml version="1.0" encoding="utf-8"?>
<calcChain xmlns="http://schemas.openxmlformats.org/spreadsheetml/2006/main">
  <c r="V2" i="1" l="1"/>
  <c r="W2" i="1"/>
  <c r="V3" i="1"/>
  <c r="W3" i="1"/>
  <c r="V4" i="1"/>
  <c r="W4" i="1"/>
  <c r="V5" i="1"/>
  <c r="W5" i="1"/>
  <c r="V6" i="1"/>
  <c r="W6" i="1"/>
  <c r="V7" i="1"/>
  <c r="W7" i="1"/>
  <c r="V8" i="1"/>
  <c r="W8" i="1"/>
  <c r="V9" i="1"/>
  <c r="W9" i="1"/>
  <c r="V10" i="1"/>
  <c r="W10" i="1"/>
  <c r="V11" i="1"/>
  <c r="W11" i="1"/>
  <c r="V12" i="1"/>
  <c r="W12" i="1"/>
  <c r="V13" i="1"/>
  <c r="W13" i="1"/>
  <c r="V14" i="1"/>
  <c r="W14" i="1"/>
  <c r="V15" i="1"/>
  <c r="W15" i="1"/>
  <c r="V16" i="1"/>
  <c r="W16" i="1"/>
  <c r="V17" i="1"/>
  <c r="W17" i="1"/>
  <c r="V18" i="1"/>
  <c r="W18" i="1"/>
  <c r="V19" i="1"/>
  <c r="W19" i="1"/>
  <c r="V20" i="1"/>
  <c r="W20" i="1"/>
  <c r="V21" i="1"/>
  <c r="W21" i="1"/>
  <c r="V22" i="1"/>
  <c r="W22" i="1"/>
  <c r="V23" i="1"/>
  <c r="W23" i="1"/>
  <c r="V24" i="1"/>
  <c r="W24" i="1"/>
  <c r="V25" i="1"/>
  <c r="W25" i="1"/>
  <c r="V26" i="1"/>
  <c r="W26" i="1"/>
  <c r="V27" i="1"/>
  <c r="W27" i="1"/>
  <c r="V28" i="1"/>
  <c r="W28" i="1"/>
  <c r="V29" i="1"/>
  <c r="W29" i="1"/>
  <c r="V30" i="1"/>
  <c r="W30" i="1"/>
  <c r="V31" i="1"/>
  <c r="W31" i="1"/>
  <c r="V32" i="1"/>
  <c r="W32" i="1"/>
  <c r="V33" i="1"/>
  <c r="W33" i="1"/>
  <c r="V34" i="1"/>
  <c r="W34" i="1"/>
  <c r="V1" i="1"/>
  <c r="W1" i="1"/>
  <c r="M1" i="1"/>
  <c r="N1" i="1"/>
  <c r="O1" i="1"/>
  <c r="P1" i="1"/>
  <c r="Q1" i="1"/>
  <c r="R1" i="1"/>
  <c r="S1" i="1"/>
  <c r="T1" i="1"/>
  <c r="U1" i="1"/>
  <c r="L1" i="1"/>
  <c r="P23" i="6" l="1"/>
  <c r="I8" i="6"/>
  <c r="L9" i="6"/>
  <c r="L7" i="6"/>
  <c r="L8" i="6"/>
  <c r="A3" i="4" l="1"/>
  <c r="B3" i="4"/>
  <c r="E3" i="4"/>
  <c r="F3" i="4"/>
  <c r="I3" i="4"/>
  <c r="J3" i="4" s="1"/>
  <c r="O3" i="4"/>
  <c r="P3" i="4"/>
  <c r="A4" i="4"/>
  <c r="B4" i="4"/>
  <c r="E4" i="4"/>
  <c r="F4" i="4"/>
  <c r="I4" i="4"/>
  <c r="J4" i="4" s="1"/>
  <c r="O4" i="4"/>
  <c r="P4" i="4"/>
  <c r="A5" i="4"/>
  <c r="B5" i="4"/>
  <c r="E5" i="4"/>
  <c r="F5" i="4"/>
  <c r="I5" i="4"/>
  <c r="J5" i="4" s="1"/>
  <c r="O5" i="4"/>
  <c r="P5" i="4"/>
  <c r="A6" i="4"/>
  <c r="B6" i="4"/>
  <c r="E6" i="4"/>
  <c r="F6" i="4"/>
  <c r="I6" i="4"/>
  <c r="J6" i="4" s="1"/>
  <c r="O6" i="4"/>
  <c r="P6" i="4"/>
  <c r="A7" i="4"/>
  <c r="B7" i="4"/>
  <c r="E7" i="4"/>
  <c r="F7" i="4"/>
  <c r="I7" i="4"/>
  <c r="J7" i="4" s="1"/>
  <c r="O7" i="4"/>
  <c r="P7" i="4"/>
  <c r="A8" i="4"/>
  <c r="B8" i="4"/>
  <c r="E8" i="4"/>
  <c r="F8" i="4"/>
  <c r="I8" i="4"/>
  <c r="J8" i="4" s="1"/>
  <c r="O8" i="4"/>
  <c r="P8" i="4"/>
  <c r="A9" i="4"/>
  <c r="B9" i="4"/>
  <c r="E9" i="4"/>
  <c r="F9" i="4"/>
  <c r="I9" i="4"/>
  <c r="J9" i="4" s="1"/>
  <c r="O9" i="4"/>
  <c r="P9" i="4"/>
  <c r="A10" i="4"/>
  <c r="B10" i="4"/>
  <c r="E10" i="4"/>
  <c r="F10" i="4"/>
  <c r="I10" i="4"/>
  <c r="J10" i="4" s="1"/>
  <c r="O10" i="4"/>
  <c r="P10" i="4"/>
  <c r="A11" i="4"/>
  <c r="B11" i="4"/>
  <c r="E11" i="4"/>
  <c r="F11" i="4"/>
  <c r="I11" i="4"/>
  <c r="J11" i="4" s="1"/>
  <c r="O11" i="4"/>
  <c r="P11" i="4"/>
  <c r="A12" i="4"/>
  <c r="B12" i="4"/>
  <c r="E12" i="4"/>
  <c r="F12" i="4"/>
  <c r="I12" i="4"/>
  <c r="J12" i="4" s="1"/>
  <c r="O12" i="4"/>
  <c r="P12" i="4"/>
  <c r="A13" i="4"/>
  <c r="B13" i="4"/>
  <c r="E13" i="4"/>
  <c r="F13" i="4"/>
  <c r="I13" i="4"/>
  <c r="J13" i="4" s="1"/>
  <c r="O13" i="4"/>
  <c r="P13" i="4"/>
  <c r="A14" i="4"/>
  <c r="B14" i="4"/>
  <c r="E14" i="4"/>
  <c r="F14" i="4"/>
  <c r="I14" i="4"/>
  <c r="J14" i="4" s="1"/>
  <c r="O14" i="4"/>
  <c r="P14" i="4"/>
  <c r="A15" i="4"/>
  <c r="B15" i="4"/>
  <c r="E15" i="4"/>
  <c r="F15" i="4"/>
  <c r="I15" i="4"/>
  <c r="J15" i="4" s="1"/>
  <c r="O15" i="4"/>
  <c r="P15" i="4"/>
  <c r="A16" i="4"/>
  <c r="B16" i="4"/>
  <c r="E16" i="4"/>
  <c r="F16" i="4"/>
  <c r="I16" i="4"/>
  <c r="J16" i="4" s="1"/>
  <c r="O16" i="4"/>
  <c r="P16" i="4"/>
  <c r="A17" i="4"/>
  <c r="B17" i="4"/>
  <c r="E17" i="4"/>
  <c r="F17" i="4"/>
  <c r="I17" i="4"/>
  <c r="J17" i="4" s="1"/>
  <c r="O17" i="4"/>
  <c r="P17" i="4"/>
  <c r="A18" i="4"/>
  <c r="B18" i="4"/>
  <c r="E18" i="4"/>
  <c r="F18" i="4"/>
  <c r="I18" i="4"/>
  <c r="J18" i="4" s="1"/>
  <c r="O18" i="4"/>
  <c r="P18" i="4"/>
  <c r="A19" i="4"/>
  <c r="B19" i="4"/>
  <c r="E19" i="4"/>
  <c r="F19" i="4"/>
  <c r="I19" i="4"/>
  <c r="J19" i="4" s="1"/>
  <c r="O19" i="4"/>
  <c r="P19" i="4"/>
  <c r="A20" i="4"/>
  <c r="B20" i="4"/>
  <c r="E20" i="4"/>
  <c r="F20" i="4"/>
  <c r="I20" i="4"/>
  <c r="J20" i="4" s="1"/>
  <c r="O20" i="4"/>
  <c r="P20" i="4"/>
  <c r="A21" i="4"/>
  <c r="B21" i="4"/>
  <c r="E21" i="4"/>
  <c r="F21" i="4"/>
  <c r="I21" i="4"/>
  <c r="J21" i="4" s="1"/>
  <c r="O21" i="4"/>
  <c r="P21" i="4"/>
  <c r="A22" i="4"/>
  <c r="B22" i="4"/>
  <c r="E22" i="4"/>
  <c r="F22" i="4"/>
  <c r="I22" i="4"/>
  <c r="J22" i="4" s="1"/>
  <c r="O22" i="4"/>
  <c r="P22" i="4"/>
  <c r="A23" i="4"/>
  <c r="B23" i="4"/>
  <c r="E23" i="4"/>
  <c r="F23" i="4"/>
  <c r="I23" i="4"/>
  <c r="J23" i="4" s="1"/>
  <c r="O23" i="4"/>
  <c r="P23" i="4"/>
  <c r="A24" i="4"/>
  <c r="B24" i="4"/>
  <c r="E24" i="4"/>
  <c r="F24" i="4"/>
  <c r="I24" i="4"/>
  <c r="J24" i="4" s="1"/>
  <c r="O24" i="4"/>
  <c r="P24" i="4"/>
  <c r="A25" i="4"/>
  <c r="B25" i="4"/>
  <c r="E25" i="4"/>
  <c r="F25" i="4"/>
  <c r="I25" i="4"/>
  <c r="J25" i="4" s="1"/>
  <c r="O25" i="4"/>
  <c r="P25" i="4"/>
  <c r="A26" i="4"/>
  <c r="B26" i="4"/>
  <c r="E26" i="4"/>
  <c r="F26" i="4"/>
  <c r="I26" i="4"/>
  <c r="J26" i="4" s="1"/>
  <c r="O26" i="4"/>
  <c r="P26" i="4"/>
  <c r="A27" i="4"/>
  <c r="B27" i="4"/>
  <c r="E27" i="4"/>
  <c r="F27" i="4"/>
  <c r="I27" i="4"/>
  <c r="J27" i="4" s="1"/>
  <c r="O27" i="4"/>
  <c r="P27" i="4"/>
  <c r="A28" i="4"/>
  <c r="B28" i="4"/>
  <c r="E28" i="4"/>
  <c r="F28" i="4"/>
  <c r="I28" i="4"/>
  <c r="J28" i="4" s="1"/>
  <c r="O28" i="4"/>
  <c r="P28" i="4"/>
  <c r="A29" i="4"/>
  <c r="B29" i="4"/>
  <c r="E29" i="4"/>
  <c r="F29" i="4"/>
  <c r="I29" i="4"/>
  <c r="J29" i="4" s="1"/>
  <c r="O29" i="4"/>
  <c r="P29" i="4"/>
  <c r="A30" i="4"/>
  <c r="B30" i="4"/>
  <c r="E30" i="4"/>
  <c r="F30" i="4"/>
  <c r="I30" i="4"/>
  <c r="J30" i="4" s="1"/>
  <c r="O30" i="4"/>
  <c r="P30" i="4"/>
  <c r="A31" i="4"/>
  <c r="B31" i="4"/>
  <c r="E31" i="4"/>
  <c r="F31" i="4"/>
  <c r="I31" i="4"/>
  <c r="J31" i="4" s="1"/>
  <c r="O31" i="4"/>
  <c r="P31" i="4"/>
  <c r="A32" i="4"/>
  <c r="B32" i="4"/>
  <c r="E32" i="4"/>
  <c r="F32" i="4"/>
  <c r="I32" i="4"/>
  <c r="J32" i="4" s="1"/>
  <c r="O32" i="4"/>
  <c r="P32" i="4"/>
  <c r="A33" i="4"/>
  <c r="B33" i="4"/>
  <c r="E33" i="4"/>
  <c r="F33" i="4"/>
  <c r="I33" i="4"/>
  <c r="J33" i="4" s="1"/>
  <c r="O33" i="4"/>
  <c r="P33" i="4"/>
  <c r="A34" i="4"/>
  <c r="B34" i="4"/>
  <c r="E34" i="4"/>
  <c r="F34" i="4"/>
  <c r="I34" i="4"/>
  <c r="J34" i="4" s="1"/>
  <c r="O34" i="4"/>
  <c r="P34" i="4"/>
  <c r="A3" i="3"/>
  <c r="B3" i="3"/>
  <c r="C3" i="3"/>
  <c r="D3" i="3"/>
  <c r="E3" i="3"/>
  <c r="F3" i="3"/>
  <c r="G3" i="3"/>
  <c r="H3" i="3"/>
  <c r="I3" i="3"/>
  <c r="J3" i="3" s="1"/>
  <c r="K3" i="3"/>
  <c r="L3" i="3"/>
  <c r="M3" i="3"/>
  <c r="N3" i="3"/>
  <c r="O3" i="3"/>
  <c r="A4" i="3"/>
  <c r="B4" i="3"/>
  <c r="C4" i="3"/>
  <c r="D4" i="3"/>
  <c r="E4" i="3"/>
  <c r="F4" i="3"/>
  <c r="G4" i="3"/>
  <c r="H4" i="3"/>
  <c r="I4" i="3"/>
  <c r="J4" i="3" s="1"/>
  <c r="K4" i="3"/>
  <c r="L4" i="3"/>
  <c r="M4" i="3"/>
  <c r="N4" i="3"/>
  <c r="O4" i="3"/>
  <c r="A5" i="3"/>
  <c r="B5" i="3"/>
  <c r="C5" i="3"/>
  <c r="D5" i="3"/>
  <c r="E5" i="3"/>
  <c r="F5" i="3"/>
  <c r="G5" i="3"/>
  <c r="H5" i="3"/>
  <c r="I5" i="3"/>
  <c r="J5" i="3" s="1"/>
  <c r="K5" i="3"/>
  <c r="L5" i="3"/>
  <c r="M5" i="3"/>
  <c r="N5" i="3"/>
  <c r="O5" i="3"/>
  <c r="A6" i="3"/>
  <c r="B6" i="3"/>
  <c r="C6" i="3"/>
  <c r="D6" i="3"/>
  <c r="E6" i="3"/>
  <c r="F6" i="3"/>
  <c r="G6" i="3"/>
  <c r="H6" i="3"/>
  <c r="I6" i="3"/>
  <c r="J6" i="3" s="1"/>
  <c r="K6" i="3"/>
  <c r="L6" i="3"/>
  <c r="M6" i="3"/>
  <c r="N6" i="3"/>
  <c r="O6" i="3"/>
  <c r="A7" i="3"/>
  <c r="B7" i="3"/>
  <c r="C7" i="3"/>
  <c r="D7" i="3"/>
  <c r="E7" i="3"/>
  <c r="F7" i="3"/>
  <c r="G7" i="3"/>
  <c r="H7" i="3"/>
  <c r="I7" i="3"/>
  <c r="J7" i="3" s="1"/>
  <c r="K7" i="3"/>
  <c r="L7" i="3"/>
  <c r="M7" i="3"/>
  <c r="N7" i="3"/>
  <c r="O7" i="3"/>
  <c r="A8" i="3"/>
  <c r="B8" i="3"/>
  <c r="C8" i="3"/>
  <c r="D8" i="3"/>
  <c r="E8" i="3"/>
  <c r="F8" i="3"/>
  <c r="G8" i="3"/>
  <c r="H8" i="3"/>
  <c r="I8" i="3"/>
  <c r="J8" i="3" s="1"/>
  <c r="K8" i="3"/>
  <c r="L8" i="3"/>
  <c r="M8" i="3"/>
  <c r="N8" i="3"/>
  <c r="O8" i="3"/>
  <c r="A9" i="3"/>
  <c r="B9" i="3"/>
  <c r="C9" i="3"/>
  <c r="D9" i="3"/>
  <c r="E9" i="3"/>
  <c r="F9" i="3"/>
  <c r="G9" i="3"/>
  <c r="H9" i="3"/>
  <c r="I9" i="3"/>
  <c r="J9" i="3" s="1"/>
  <c r="K9" i="3"/>
  <c r="L9" i="3"/>
  <c r="M9" i="3"/>
  <c r="N9" i="3"/>
  <c r="O9" i="3"/>
  <c r="A10" i="3"/>
  <c r="B10" i="3"/>
  <c r="C10" i="3"/>
  <c r="D10" i="3"/>
  <c r="E10" i="3"/>
  <c r="F10" i="3"/>
  <c r="G10" i="3"/>
  <c r="H10" i="3"/>
  <c r="I10" i="3"/>
  <c r="J10" i="3" s="1"/>
  <c r="K10" i="3"/>
  <c r="L10" i="3"/>
  <c r="M10" i="3"/>
  <c r="N10" i="3"/>
  <c r="O10" i="3"/>
  <c r="A11" i="3"/>
  <c r="B11" i="3"/>
  <c r="C11" i="3"/>
  <c r="D11" i="3"/>
  <c r="E11" i="3"/>
  <c r="F11" i="3"/>
  <c r="G11" i="3"/>
  <c r="H11" i="3"/>
  <c r="I11" i="3"/>
  <c r="J11" i="3" s="1"/>
  <c r="K11" i="3"/>
  <c r="L11" i="3"/>
  <c r="M11" i="3"/>
  <c r="N11" i="3"/>
  <c r="O11" i="3"/>
  <c r="A12" i="3"/>
  <c r="B12" i="3"/>
  <c r="C12" i="3"/>
  <c r="D12" i="3"/>
  <c r="E12" i="3"/>
  <c r="F12" i="3"/>
  <c r="G12" i="3"/>
  <c r="H12" i="3"/>
  <c r="I12" i="3"/>
  <c r="J12" i="3" s="1"/>
  <c r="K12" i="3"/>
  <c r="L12" i="3"/>
  <c r="M12" i="3"/>
  <c r="N12" i="3"/>
  <c r="O12" i="3"/>
  <c r="A13" i="3"/>
  <c r="B13" i="3"/>
  <c r="C13" i="3"/>
  <c r="D13" i="3"/>
  <c r="E13" i="3"/>
  <c r="F13" i="3"/>
  <c r="G13" i="3"/>
  <c r="H13" i="3"/>
  <c r="I13" i="3"/>
  <c r="J13" i="3" s="1"/>
  <c r="K13" i="3"/>
  <c r="L13" i="3"/>
  <c r="M13" i="3"/>
  <c r="N13" i="3"/>
  <c r="O13" i="3"/>
  <c r="A14" i="3"/>
  <c r="B14" i="3"/>
  <c r="C14" i="3"/>
  <c r="D14" i="3"/>
  <c r="E14" i="3"/>
  <c r="F14" i="3"/>
  <c r="G14" i="3"/>
  <c r="H14" i="3"/>
  <c r="I14" i="3"/>
  <c r="J14" i="3" s="1"/>
  <c r="K14" i="3"/>
  <c r="L14" i="3"/>
  <c r="M14" i="3"/>
  <c r="N14" i="3"/>
  <c r="O14" i="3"/>
  <c r="A15" i="3"/>
  <c r="B15" i="3"/>
  <c r="C15" i="3"/>
  <c r="D15" i="3"/>
  <c r="E15" i="3"/>
  <c r="F15" i="3"/>
  <c r="G15" i="3"/>
  <c r="H15" i="3"/>
  <c r="I15" i="3"/>
  <c r="J15" i="3" s="1"/>
  <c r="K15" i="3"/>
  <c r="L15" i="3"/>
  <c r="M15" i="3"/>
  <c r="N15" i="3"/>
  <c r="O15" i="3"/>
  <c r="A16" i="3"/>
  <c r="B16" i="3"/>
  <c r="C16" i="3"/>
  <c r="D16" i="3"/>
  <c r="E16" i="3"/>
  <c r="F16" i="3"/>
  <c r="G16" i="3"/>
  <c r="H16" i="3"/>
  <c r="I16" i="3"/>
  <c r="J16" i="3" s="1"/>
  <c r="K16" i="3"/>
  <c r="L16" i="3"/>
  <c r="M16" i="3"/>
  <c r="N16" i="3"/>
  <c r="O16" i="3"/>
  <c r="A17" i="3"/>
  <c r="B17" i="3"/>
  <c r="C17" i="3"/>
  <c r="D17" i="3"/>
  <c r="E17" i="3"/>
  <c r="F17" i="3"/>
  <c r="G17" i="3"/>
  <c r="H17" i="3"/>
  <c r="I17" i="3"/>
  <c r="J17" i="3" s="1"/>
  <c r="K17" i="3"/>
  <c r="L17" i="3"/>
  <c r="M17" i="3"/>
  <c r="N17" i="3"/>
  <c r="O17" i="3"/>
  <c r="A18" i="3"/>
  <c r="B18" i="3"/>
  <c r="C18" i="3"/>
  <c r="D18" i="3"/>
  <c r="E18" i="3"/>
  <c r="F18" i="3"/>
  <c r="G18" i="3"/>
  <c r="H18" i="3"/>
  <c r="I18" i="3"/>
  <c r="J18" i="3" s="1"/>
  <c r="K18" i="3"/>
  <c r="L18" i="3"/>
  <c r="M18" i="3"/>
  <c r="N18" i="3"/>
  <c r="O18" i="3"/>
  <c r="A19" i="3"/>
  <c r="B19" i="3"/>
  <c r="C19" i="3"/>
  <c r="D19" i="3"/>
  <c r="E19" i="3"/>
  <c r="F19" i="3"/>
  <c r="G19" i="3"/>
  <c r="H19" i="3"/>
  <c r="I19" i="3"/>
  <c r="J19" i="3" s="1"/>
  <c r="K19" i="3"/>
  <c r="L19" i="3"/>
  <c r="M19" i="3"/>
  <c r="N19" i="3"/>
  <c r="O19" i="3"/>
  <c r="A20" i="3"/>
  <c r="B20" i="3"/>
  <c r="C20" i="3"/>
  <c r="D20" i="3"/>
  <c r="E20" i="3"/>
  <c r="F20" i="3"/>
  <c r="G20" i="3"/>
  <c r="H20" i="3"/>
  <c r="I20" i="3"/>
  <c r="J20" i="3" s="1"/>
  <c r="K20" i="3"/>
  <c r="L20" i="3"/>
  <c r="M20" i="3"/>
  <c r="N20" i="3"/>
  <c r="O20" i="3"/>
  <c r="A21" i="3"/>
  <c r="B21" i="3"/>
  <c r="C21" i="3"/>
  <c r="D21" i="3"/>
  <c r="E21" i="3"/>
  <c r="F21" i="3"/>
  <c r="G21" i="3"/>
  <c r="H21" i="3"/>
  <c r="I21" i="3"/>
  <c r="J21" i="3" s="1"/>
  <c r="K21" i="3"/>
  <c r="L21" i="3"/>
  <c r="M21" i="3"/>
  <c r="N21" i="3"/>
  <c r="O21" i="3"/>
  <c r="A22" i="3"/>
  <c r="B22" i="3"/>
  <c r="C22" i="3"/>
  <c r="D22" i="3"/>
  <c r="E22" i="3"/>
  <c r="F22" i="3"/>
  <c r="G22" i="3"/>
  <c r="H22" i="3"/>
  <c r="I22" i="3"/>
  <c r="J22" i="3" s="1"/>
  <c r="K22" i="3"/>
  <c r="L22" i="3"/>
  <c r="M22" i="3"/>
  <c r="N22" i="3"/>
  <c r="O22" i="3"/>
  <c r="A23" i="3"/>
  <c r="B23" i="3"/>
  <c r="C23" i="3"/>
  <c r="D23" i="3"/>
  <c r="E23" i="3"/>
  <c r="F23" i="3"/>
  <c r="G23" i="3"/>
  <c r="H23" i="3"/>
  <c r="I23" i="3"/>
  <c r="J23" i="3" s="1"/>
  <c r="K23" i="3"/>
  <c r="L23" i="3"/>
  <c r="M23" i="3"/>
  <c r="N23" i="3"/>
  <c r="O23" i="3"/>
  <c r="A24" i="3"/>
  <c r="B24" i="3"/>
  <c r="C24" i="3"/>
  <c r="D24" i="3"/>
  <c r="E24" i="3"/>
  <c r="F24" i="3"/>
  <c r="G24" i="3"/>
  <c r="H24" i="3"/>
  <c r="I24" i="3"/>
  <c r="J24" i="3" s="1"/>
  <c r="K24" i="3"/>
  <c r="L24" i="3"/>
  <c r="M24" i="3"/>
  <c r="N24" i="3"/>
  <c r="O24" i="3"/>
  <c r="A25" i="3"/>
  <c r="B25" i="3"/>
  <c r="C25" i="3"/>
  <c r="D25" i="3"/>
  <c r="E25" i="3"/>
  <c r="F25" i="3"/>
  <c r="G25" i="3"/>
  <c r="H25" i="3"/>
  <c r="I25" i="3"/>
  <c r="J25" i="3" s="1"/>
  <c r="K25" i="3"/>
  <c r="L25" i="3"/>
  <c r="M25" i="3"/>
  <c r="N25" i="3"/>
  <c r="O25" i="3"/>
  <c r="A26" i="3"/>
  <c r="B26" i="3"/>
  <c r="C26" i="3"/>
  <c r="D26" i="3"/>
  <c r="E26" i="3"/>
  <c r="F26" i="3"/>
  <c r="G26" i="3"/>
  <c r="H26" i="3"/>
  <c r="I26" i="3"/>
  <c r="J26" i="3" s="1"/>
  <c r="K26" i="3"/>
  <c r="L26" i="3"/>
  <c r="M26" i="3"/>
  <c r="N26" i="3"/>
  <c r="O26" i="3"/>
  <c r="A27" i="3"/>
  <c r="B27" i="3"/>
  <c r="C27" i="3"/>
  <c r="D27" i="3"/>
  <c r="E27" i="3"/>
  <c r="F27" i="3"/>
  <c r="G27" i="3"/>
  <c r="H27" i="3"/>
  <c r="I27" i="3"/>
  <c r="J27" i="3" s="1"/>
  <c r="K27" i="3"/>
  <c r="L27" i="3"/>
  <c r="M27" i="3"/>
  <c r="N27" i="3"/>
  <c r="O27" i="3"/>
  <c r="A28" i="3"/>
  <c r="B28" i="3"/>
  <c r="C28" i="3"/>
  <c r="D28" i="3"/>
  <c r="E28" i="3"/>
  <c r="F28" i="3"/>
  <c r="G28" i="3"/>
  <c r="H28" i="3"/>
  <c r="I28" i="3"/>
  <c r="J28" i="3" s="1"/>
  <c r="K28" i="3"/>
  <c r="L28" i="3"/>
  <c r="M28" i="3"/>
  <c r="N28" i="3"/>
  <c r="O28" i="3"/>
  <c r="A29" i="3"/>
  <c r="B29" i="3"/>
  <c r="C29" i="3"/>
  <c r="D29" i="3"/>
  <c r="E29" i="3"/>
  <c r="F29" i="3"/>
  <c r="G29" i="3"/>
  <c r="H29" i="3"/>
  <c r="I29" i="3"/>
  <c r="J29" i="3" s="1"/>
  <c r="K29" i="3"/>
  <c r="L29" i="3"/>
  <c r="M29" i="3"/>
  <c r="N29" i="3"/>
  <c r="O29" i="3"/>
  <c r="A30" i="3"/>
  <c r="B30" i="3"/>
  <c r="C30" i="3"/>
  <c r="D30" i="3"/>
  <c r="E30" i="3"/>
  <c r="F30" i="3"/>
  <c r="G30" i="3"/>
  <c r="H30" i="3"/>
  <c r="I30" i="3"/>
  <c r="J30" i="3" s="1"/>
  <c r="K30" i="3"/>
  <c r="L30" i="3"/>
  <c r="M30" i="3"/>
  <c r="N30" i="3"/>
  <c r="O30" i="3"/>
  <c r="A31" i="3"/>
  <c r="B31" i="3"/>
  <c r="C31" i="3"/>
  <c r="D31" i="3"/>
  <c r="E31" i="3"/>
  <c r="F31" i="3"/>
  <c r="G31" i="3"/>
  <c r="H31" i="3"/>
  <c r="I31" i="3"/>
  <c r="J31" i="3" s="1"/>
  <c r="K31" i="3"/>
  <c r="L31" i="3"/>
  <c r="M31" i="3"/>
  <c r="N31" i="3"/>
  <c r="O31" i="3"/>
  <c r="A32" i="3"/>
  <c r="B32" i="3"/>
  <c r="C32" i="3"/>
  <c r="D32" i="3"/>
  <c r="E32" i="3"/>
  <c r="F32" i="3"/>
  <c r="G32" i="3"/>
  <c r="H32" i="3"/>
  <c r="I32" i="3"/>
  <c r="J32" i="3" s="1"/>
  <c r="K32" i="3"/>
  <c r="L32" i="3"/>
  <c r="M32" i="3"/>
  <c r="N32" i="3"/>
  <c r="O32" i="3"/>
  <c r="A33" i="3"/>
  <c r="B33" i="3"/>
  <c r="C33" i="3"/>
  <c r="D33" i="3"/>
  <c r="E33" i="3"/>
  <c r="F33" i="3"/>
  <c r="G33" i="3"/>
  <c r="H33" i="3"/>
  <c r="I33" i="3"/>
  <c r="J33" i="3" s="1"/>
  <c r="K33" i="3"/>
  <c r="L33" i="3"/>
  <c r="M33" i="3"/>
  <c r="N33" i="3"/>
  <c r="O33" i="3"/>
  <c r="A34" i="3"/>
  <c r="B34" i="3"/>
  <c r="C34" i="3"/>
  <c r="D34" i="3"/>
  <c r="E34" i="3"/>
  <c r="F34" i="3"/>
  <c r="G34" i="3"/>
  <c r="H34" i="3"/>
  <c r="I34" i="3"/>
  <c r="J34" i="3" s="1"/>
  <c r="K34" i="3"/>
  <c r="L34" i="3"/>
  <c r="M34" i="3"/>
  <c r="N34" i="3"/>
  <c r="O34" i="3"/>
  <c r="A3" i="1"/>
  <c r="B3" i="1"/>
  <c r="C3" i="1"/>
  <c r="D3" i="1"/>
  <c r="E3" i="1"/>
  <c r="F3" i="1"/>
  <c r="G3" i="1"/>
  <c r="I3" i="1"/>
  <c r="J3" i="1"/>
  <c r="L3" i="1"/>
  <c r="M3" i="1"/>
  <c r="N3" i="1"/>
  <c r="O3" i="1"/>
  <c r="P3" i="1"/>
  <c r="Q3" i="1"/>
  <c r="R3" i="1"/>
  <c r="S3" i="1"/>
  <c r="T3" i="1"/>
  <c r="U3" i="1"/>
  <c r="A4" i="1"/>
  <c r="B4" i="1"/>
  <c r="C4" i="1"/>
  <c r="D4" i="1"/>
  <c r="E4" i="1"/>
  <c r="F4" i="1"/>
  <c r="G4" i="1"/>
  <c r="I4" i="1"/>
  <c r="J4" i="1"/>
  <c r="L4" i="1"/>
  <c r="M4" i="1"/>
  <c r="N4" i="1"/>
  <c r="O4" i="1"/>
  <c r="P4" i="1"/>
  <c r="Q4" i="1"/>
  <c r="R4" i="1"/>
  <c r="S4" i="1"/>
  <c r="T4" i="1"/>
  <c r="U4" i="1"/>
  <c r="A5" i="1"/>
  <c r="B5" i="1"/>
  <c r="C5" i="1"/>
  <c r="D5" i="1"/>
  <c r="E5" i="1"/>
  <c r="F5" i="1"/>
  <c r="G5" i="1"/>
  <c r="I5" i="1"/>
  <c r="J5" i="1"/>
  <c r="L5" i="1"/>
  <c r="M5" i="1"/>
  <c r="N5" i="1"/>
  <c r="O5" i="1"/>
  <c r="P5" i="1"/>
  <c r="Q5" i="1"/>
  <c r="R5" i="1"/>
  <c r="S5" i="1"/>
  <c r="T5" i="1"/>
  <c r="U5" i="1"/>
  <c r="A6" i="1"/>
  <c r="B6" i="1"/>
  <c r="C6" i="1"/>
  <c r="D6" i="1"/>
  <c r="E6" i="1"/>
  <c r="F6" i="1"/>
  <c r="G6" i="1"/>
  <c r="I6" i="1"/>
  <c r="J6" i="1"/>
  <c r="L6" i="1"/>
  <c r="M6" i="1"/>
  <c r="N6" i="1"/>
  <c r="O6" i="1"/>
  <c r="P6" i="1"/>
  <c r="Q6" i="1"/>
  <c r="R6" i="1"/>
  <c r="S6" i="1"/>
  <c r="T6" i="1"/>
  <c r="U6" i="1"/>
  <c r="A7" i="1"/>
  <c r="B7" i="1"/>
  <c r="C7" i="1"/>
  <c r="D7" i="1"/>
  <c r="E7" i="1"/>
  <c r="F7" i="1"/>
  <c r="G7" i="1"/>
  <c r="I7" i="1"/>
  <c r="J7" i="1"/>
  <c r="L7" i="1"/>
  <c r="M7" i="1"/>
  <c r="N7" i="1"/>
  <c r="O7" i="1"/>
  <c r="P7" i="1"/>
  <c r="Q7" i="1"/>
  <c r="R7" i="1"/>
  <c r="S7" i="1"/>
  <c r="T7" i="1"/>
  <c r="U7" i="1"/>
  <c r="A8" i="1"/>
  <c r="B8" i="1"/>
  <c r="C8" i="1"/>
  <c r="D8" i="1"/>
  <c r="E8" i="1"/>
  <c r="F8" i="1"/>
  <c r="G8" i="1"/>
  <c r="I8" i="1"/>
  <c r="J8" i="1"/>
  <c r="L8" i="1"/>
  <c r="M8" i="1"/>
  <c r="N8" i="1"/>
  <c r="O8" i="1"/>
  <c r="P8" i="1"/>
  <c r="Q8" i="1"/>
  <c r="R8" i="1"/>
  <c r="S8" i="1"/>
  <c r="T8" i="1"/>
  <c r="U8" i="1"/>
  <c r="A9" i="1"/>
  <c r="B9" i="1"/>
  <c r="C9" i="1"/>
  <c r="D9" i="1"/>
  <c r="E9" i="1"/>
  <c r="F9" i="1"/>
  <c r="G9" i="1"/>
  <c r="I9" i="1"/>
  <c r="J9" i="1"/>
  <c r="L9" i="1"/>
  <c r="M9" i="1"/>
  <c r="N9" i="1"/>
  <c r="O9" i="1"/>
  <c r="P9" i="1"/>
  <c r="Q9" i="1"/>
  <c r="R9" i="1"/>
  <c r="S9" i="1"/>
  <c r="T9" i="1"/>
  <c r="U9" i="1"/>
  <c r="A10" i="1"/>
  <c r="B10" i="1"/>
  <c r="C10" i="1"/>
  <c r="D10" i="1"/>
  <c r="E10" i="1"/>
  <c r="F10" i="1"/>
  <c r="G10" i="1"/>
  <c r="I10" i="1"/>
  <c r="J10" i="1"/>
  <c r="L10" i="1"/>
  <c r="M10" i="1"/>
  <c r="N10" i="1"/>
  <c r="O10" i="1"/>
  <c r="P10" i="1"/>
  <c r="Q10" i="1"/>
  <c r="R10" i="1"/>
  <c r="S10" i="1"/>
  <c r="T10" i="1"/>
  <c r="U10" i="1"/>
  <c r="A11" i="1"/>
  <c r="B11" i="1"/>
  <c r="C11" i="1"/>
  <c r="D11" i="1"/>
  <c r="E11" i="1"/>
  <c r="F11" i="1"/>
  <c r="G11" i="1"/>
  <c r="I11" i="1"/>
  <c r="J11" i="1"/>
  <c r="L11" i="1"/>
  <c r="M11" i="1"/>
  <c r="N11" i="1"/>
  <c r="O11" i="1"/>
  <c r="P11" i="1"/>
  <c r="Q11" i="1"/>
  <c r="R11" i="1"/>
  <c r="S11" i="1"/>
  <c r="T11" i="1"/>
  <c r="U11" i="1"/>
  <c r="A12" i="1"/>
  <c r="B12" i="1"/>
  <c r="C12" i="1"/>
  <c r="D12" i="1"/>
  <c r="E12" i="1"/>
  <c r="F12" i="1"/>
  <c r="G12" i="1"/>
  <c r="I12" i="1"/>
  <c r="J12" i="1"/>
  <c r="L12" i="1"/>
  <c r="M12" i="1"/>
  <c r="N12" i="1"/>
  <c r="O12" i="1"/>
  <c r="P12" i="1"/>
  <c r="Q12" i="1"/>
  <c r="R12" i="1"/>
  <c r="S12" i="1"/>
  <c r="T12" i="1"/>
  <c r="U12" i="1"/>
  <c r="A13" i="1"/>
  <c r="B13" i="1"/>
  <c r="C13" i="1"/>
  <c r="D13" i="1"/>
  <c r="E13" i="1"/>
  <c r="F13" i="1"/>
  <c r="G13" i="1"/>
  <c r="I13" i="1"/>
  <c r="J13" i="1"/>
  <c r="L13" i="1"/>
  <c r="M13" i="1"/>
  <c r="N13" i="1"/>
  <c r="O13" i="1"/>
  <c r="P13" i="1"/>
  <c r="Q13" i="1"/>
  <c r="R13" i="1"/>
  <c r="S13" i="1"/>
  <c r="T13" i="1"/>
  <c r="U13" i="1"/>
  <c r="A14" i="1"/>
  <c r="B14" i="1"/>
  <c r="C14" i="1"/>
  <c r="D14" i="1"/>
  <c r="E14" i="1"/>
  <c r="F14" i="1"/>
  <c r="G14" i="1"/>
  <c r="I14" i="1"/>
  <c r="J14" i="1"/>
  <c r="L14" i="1"/>
  <c r="M14" i="1"/>
  <c r="N14" i="1"/>
  <c r="O14" i="1"/>
  <c r="P14" i="1"/>
  <c r="Q14" i="1"/>
  <c r="R14" i="1"/>
  <c r="S14" i="1"/>
  <c r="T14" i="1"/>
  <c r="U14" i="1"/>
  <c r="A15" i="1"/>
  <c r="B15" i="1"/>
  <c r="C15" i="1"/>
  <c r="D15" i="1"/>
  <c r="E15" i="1"/>
  <c r="F15" i="1"/>
  <c r="G15" i="1"/>
  <c r="I15" i="1"/>
  <c r="J15" i="1"/>
  <c r="L15" i="1"/>
  <c r="M15" i="1"/>
  <c r="N15" i="1"/>
  <c r="O15" i="1"/>
  <c r="P15" i="1"/>
  <c r="Q15" i="1"/>
  <c r="R15" i="1"/>
  <c r="S15" i="1"/>
  <c r="T15" i="1"/>
  <c r="U15" i="1"/>
  <c r="A16" i="1"/>
  <c r="B16" i="1"/>
  <c r="C16" i="1"/>
  <c r="D16" i="1"/>
  <c r="E16" i="1"/>
  <c r="F16" i="1"/>
  <c r="G16" i="1"/>
  <c r="I16" i="1"/>
  <c r="J16" i="1"/>
  <c r="L16" i="1"/>
  <c r="M16" i="1"/>
  <c r="N16" i="1"/>
  <c r="O16" i="1"/>
  <c r="P16" i="1"/>
  <c r="Q16" i="1"/>
  <c r="R16" i="1"/>
  <c r="S16" i="1"/>
  <c r="T16" i="1"/>
  <c r="U16" i="1"/>
  <c r="A17" i="1"/>
  <c r="B17" i="1"/>
  <c r="C17" i="1"/>
  <c r="D17" i="1"/>
  <c r="E17" i="1"/>
  <c r="F17" i="1"/>
  <c r="G17" i="1"/>
  <c r="I17" i="1"/>
  <c r="J17" i="1"/>
  <c r="L17" i="1"/>
  <c r="M17" i="1"/>
  <c r="N17" i="1"/>
  <c r="O17" i="1"/>
  <c r="P17" i="1"/>
  <c r="Q17" i="1"/>
  <c r="R17" i="1"/>
  <c r="S17" i="1"/>
  <c r="T17" i="1"/>
  <c r="U17" i="1"/>
  <c r="A18" i="1"/>
  <c r="B18" i="1"/>
  <c r="C18" i="1"/>
  <c r="D18" i="1"/>
  <c r="E18" i="1"/>
  <c r="F18" i="1"/>
  <c r="G18" i="1"/>
  <c r="I18" i="1"/>
  <c r="J18" i="1"/>
  <c r="L18" i="1"/>
  <c r="M18" i="1"/>
  <c r="N18" i="1"/>
  <c r="O18" i="1"/>
  <c r="P18" i="1"/>
  <c r="Q18" i="1"/>
  <c r="R18" i="1"/>
  <c r="S18" i="1"/>
  <c r="T18" i="1"/>
  <c r="U18" i="1"/>
  <c r="A19" i="1"/>
  <c r="B19" i="1"/>
  <c r="C19" i="1"/>
  <c r="D19" i="1"/>
  <c r="E19" i="1"/>
  <c r="F19" i="1"/>
  <c r="G19" i="1"/>
  <c r="I19" i="1"/>
  <c r="J19" i="1"/>
  <c r="L19" i="1"/>
  <c r="M19" i="1"/>
  <c r="N19" i="1"/>
  <c r="O19" i="1"/>
  <c r="P19" i="1"/>
  <c r="Q19" i="1"/>
  <c r="R19" i="1"/>
  <c r="S19" i="1"/>
  <c r="T19" i="1"/>
  <c r="U19" i="1"/>
  <c r="A20" i="1"/>
  <c r="B20" i="1"/>
  <c r="C20" i="1"/>
  <c r="D20" i="1"/>
  <c r="E20" i="1"/>
  <c r="F20" i="1"/>
  <c r="G20" i="1"/>
  <c r="I20" i="1"/>
  <c r="J20" i="1"/>
  <c r="L20" i="1"/>
  <c r="M20" i="1"/>
  <c r="N20" i="1"/>
  <c r="O20" i="1"/>
  <c r="P20" i="1"/>
  <c r="Q20" i="1"/>
  <c r="R20" i="1"/>
  <c r="S20" i="1"/>
  <c r="T20" i="1"/>
  <c r="U20" i="1"/>
  <c r="A21" i="1"/>
  <c r="B21" i="1"/>
  <c r="C21" i="1"/>
  <c r="D21" i="1"/>
  <c r="E21" i="1"/>
  <c r="F21" i="1"/>
  <c r="G21" i="1"/>
  <c r="I21" i="1"/>
  <c r="J21" i="1"/>
  <c r="L21" i="1"/>
  <c r="M21" i="1"/>
  <c r="N21" i="1"/>
  <c r="O21" i="1"/>
  <c r="P21" i="1"/>
  <c r="Q21" i="1"/>
  <c r="R21" i="1"/>
  <c r="S21" i="1"/>
  <c r="T21" i="1"/>
  <c r="U21" i="1"/>
  <c r="A22" i="1"/>
  <c r="B22" i="1"/>
  <c r="C22" i="1"/>
  <c r="D22" i="1"/>
  <c r="E22" i="1"/>
  <c r="F22" i="1"/>
  <c r="G22" i="1"/>
  <c r="I22" i="1"/>
  <c r="J22" i="1"/>
  <c r="L22" i="1"/>
  <c r="M22" i="1"/>
  <c r="N22" i="1"/>
  <c r="O22" i="1"/>
  <c r="P22" i="1"/>
  <c r="Q22" i="1"/>
  <c r="R22" i="1"/>
  <c r="S22" i="1"/>
  <c r="T22" i="1"/>
  <c r="U22" i="1"/>
  <c r="A23" i="1"/>
  <c r="B23" i="1"/>
  <c r="C23" i="1"/>
  <c r="D23" i="1"/>
  <c r="E23" i="1"/>
  <c r="F23" i="1"/>
  <c r="G23" i="1"/>
  <c r="I23" i="1"/>
  <c r="J23" i="1"/>
  <c r="L23" i="1"/>
  <c r="M23" i="1"/>
  <c r="N23" i="1"/>
  <c r="O23" i="1"/>
  <c r="P23" i="1"/>
  <c r="Q23" i="1"/>
  <c r="R23" i="1"/>
  <c r="S23" i="1"/>
  <c r="T23" i="1"/>
  <c r="U23" i="1"/>
  <c r="A24" i="1"/>
  <c r="B24" i="1"/>
  <c r="C24" i="1"/>
  <c r="D24" i="1"/>
  <c r="E24" i="1"/>
  <c r="F24" i="1"/>
  <c r="G24" i="1"/>
  <c r="I24" i="1"/>
  <c r="J24" i="1"/>
  <c r="L24" i="1"/>
  <c r="M24" i="1"/>
  <c r="N24" i="1"/>
  <c r="O24" i="1"/>
  <c r="P24" i="1"/>
  <c r="Q24" i="1"/>
  <c r="R24" i="1"/>
  <c r="S24" i="1"/>
  <c r="T24" i="1"/>
  <c r="U24" i="1"/>
  <c r="A25" i="1"/>
  <c r="B25" i="1"/>
  <c r="C25" i="1"/>
  <c r="D25" i="1"/>
  <c r="E25" i="1"/>
  <c r="F25" i="1"/>
  <c r="G25" i="1"/>
  <c r="I25" i="1"/>
  <c r="J25" i="1"/>
  <c r="L25" i="1"/>
  <c r="M25" i="1"/>
  <c r="N25" i="1"/>
  <c r="O25" i="1"/>
  <c r="P25" i="1"/>
  <c r="Q25" i="1"/>
  <c r="R25" i="1"/>
  <c r="S25" i="1"/>
  <c r="T25" i="1"/>
  <c r="U25" i="1"/>
  <c r="A26" i="1"/>
  <c r="B26" i="1"/>
  <c r="C26" i="1"/>
  <c r="D26" i="1"/>
  <c r="E26" i="1"/>
  <c r="F26" i="1"/>
  <c r="G26" i="1"/>
  <c r="I26" i="1"/>
  <c r="J26" i="1"/>
  <c r="L26" i="1"/>
  <c r="M26" i="1"/>
  <c r="N26" i="1"/>
  <c r="O26" i="1"/>
  <c r="P26" i="1"/>
  <c r="Q26" i="1"/>
  <c r="R26" i="1"/>
  <c r="S26" i="1"/>
  <c r="T26" i="1"/>
  <c r="U26" i="1"/>
  <c r="A27" i="1"/>
  <c r="B27" i="1"/>
  <c r="C27" i="1"/>
  <c r="D27" i="1"/>
  <c r="E27" i="1"/>
  <c r="F27" i="1"/>
  <c r="G27" i="1"/>
  <c r="I27" i="1"/>
  <c r="J27" i="1"/>
  <c r="L27" i="1"/>
  <c r="M27" i="1"/>
  <c r="N27" i="1"/>
  <c r="O27" i="1"/>
  <c r="P27" i="1"/>
  <c r="Q27" i="1"/>
  <c r="R27" i="1"/>
  <c r="S27" i="1"/>
  <c r="T27" i="1"/>
  <c r="U27" i="1"/>
  <c r="A28" i="1"/>
  <c r="B28" i="1"/>
  <c r="C28" i="1"/>
  <c r="D28" i="1"/>
  <c r="E28" i="1"/>
  <c r="F28" i="1"/>
  <c r="G28" i="1"/>
  <c r="I28" i="1"/>
  <c r="J28" i="1"/>
  <c r="L28" i="1"/>
  <c r="M28" i="1"/>
  <c r="N28" i="1"/>
  <c r="O28" i="1"/>
  <c r="P28" i="1"/>
  <c r="Q28" i="1"/>
  <c r="R28" i="1"/>
  <c r="S28" i="1"/>
  <c r="T28" i="1"/>
  <c r="U28" i="1"/>
  <c r="A29" i="1"/>
  <c r="B29" i="1"/>
  <c r="C29" i="1"/>
  <c r="D29" i="1"/>
  <c r="E29" i="1"/>
  <c r="F29" i="1"/>
  <c r="G29" i="1"/>
  <c r="I29" i="1"/>
  <c r="J29" i="1"/>
  <c r="L29" i="1"/>
  <c r="M29" i="1"/>
  <c r="N29" i="1"/>
  <c r="O29" i="1"/>
  <c r="P29" i="1"/>
  <c r="Q29" i="1"/>
  <c r="R29" i="1"/>
  <c r="S29" i="1"/>
  <c r="T29" i="1"/>
  <c r="U29" i="1"/>
  <c r="A30" i="1"/>
  <c r="B30" i="1"/>
  <c r="C30" i="1"/>
  <c r="D30" i="1"/>
  <c r="E30" i="1"/>
  <c r="F30" i="1"/>
  <c r="G30" i="1"/>
  <c r="I30" i="1"/>
  <c r="J30" i="1"/>
  <c r="L30" i="1"/>
  <c r="M30" i="1"/>
  <c r="N30" i="1"/>
  <c r="O30" i="1"/>
  <c r="P30" i="1"/>
  <c r="Q30" i="1"/>
  <c r="R30" i="1"/>
  <c r="S30" i="1"/>
  <c r="T30" i="1"/>
  <c r="U30" i="1"/>
  <c r="A31" i="1"/>
  <c r="B31" i="1"/>
  <c r="C31" i="1"/>
  <c r="D31" i="1"/>
  <c r="E31" i="1"/>
  <c r="F31" i="1"/>
  <c r="G31" i="1"/>
  <c r="I31" i="1"/>
  <c r="J31" i="1"/>
  <c r="L31" i="1"/>
  <c r="M31" i="1"/>
  <c r="N31" i="1"/>
  <c r="O31" i="1"/>
  <c r="P31" i="1"/>
  <c r="Q31" i="1"/>
  <c r="R31" i="1"/>
  <c r="S31" i="1"/>
  <c r="T31" i="1"/>
  <c r="U31" i="1"/>
  <c r="A32" i="1"/>
  <c r="B32" i="1"/>
  <c r="C32" i="1"/>
  <c r="D32" i="1"/>
  <c r="E32" i="1"/>
  <c r="F32" i="1"/>
  <c r="G32" i="1"/>
  <c r="I32" i="1"/>
  <c r="J32" i="1"/>
  <c r="L32" i="1"/>
  <c r="M32" i="1"/>
  <c r="N32" i="1"/>
  <c r="O32" i="1"/>
  <c r="P32" i="1"/>
  <c r="Q32" i="1"/>
  <c r="R32" i="1"/>
  <c r="S32" i="1"/>
  <c r="T32" i="1"/>
  <c r="U32" i="1"/>
  <c r="A33" i="1"/>
  <c r="B33" i="1"/>
  <c r="C33" i="1"/>
  <c r="D33" i="1"/>
  <c r="E33" i="1"/>
  <c r="F33" i="1"/>
  <c r="G33" i="1"/>
  <c r="I33" i="1"/>
  <c r="J33" i="1"/>
  <c r="L33" i="1"/>
  <c r="M33" i="1"/>
  <c r="N33" i="1"/>
  <c r="O33" i="1"/>
  <c r="P33" i="1"/>
  <c r="Q33" i="1"/>
  <c r="R33" i="1"/>
  <c r="S33" i="1"/>
  <c r="T33" i="1"/>
  <c r="U33" i="1"/>
  <c r="A34" i="1"/>
  <c r="B34" i="1"/>
  <c r="C34" i="1"/>
  <c r="D34" i="1"/>
  <c r="E34" i="1"/>
  <c r="F34" i="1"/>
  <c r="G34" i="1"/>
  <c r="I34" i="1"/>
  <c r="J34" i="1"/>
  <c r="L34" i="1"/>
  <c r="M34" i="1"/>
  <c r="N34" i="1"/>
  <c r="O34" i="1"/>
  <c r="P34" i="1"/>
  <c r="Q34" i="1"/>
  <c r="R34" i="1"/>
  <c r="S34" i="1"/>
  <c r="T34" i="1"/>
  <c r="U34" i="1"/>
  <c r="I5" i="6"/>
  <c r="C7" i="4"/>
  <c r="G15" i="4"/>
  <c r="G13" i="4"/>
  <c r="C18" i="4"/>
  <c r="C14" i="4"/>
  <c r="G20" i="4"/>
  <c r="C15" i="4"/>
  <c r="G7" i="4"/>
  <c r="C34" i="4"/>
  <c r="G5" i="4"/>
  <c r="C10" i="4"/>
  <c r="G32" i="4"/>
  <c r="G3" i="4"/>
  <c r="C27" i="4"/>
  <c r="G28" i="4"/>
  <c r="C17" i="4"/>
  <c r="G30" i="4"/>
  <c r="C26" i="4"/>
  <c r="C5" i="4"/>
  <c r="C9" i="4"/>
  <c r="G12" i="4"/>
  <c r="C30" i="4"/>
  <c r="G9" i="4"/>
  <c r="C21" i="4"/>
  <c r="C13" i="4"/>
  <c r="G25" i="4"/>
  <c r="G24" i="4"/>
  <c r="G21" i="4"/>
  <c r="C31" i="4"/>
  <c r="C22" i="4"/>
  <c r="G14" i="4"/>
  <c r="C23" i="4"/>
  <c r="G29" i="4"/>
  <c r="C12" i="4"/>
  <c r="C11" i="4"/>
  <c r="C6" i="4"/>
  <c r="C19" i="4"/>
  <c r="G4" i="4"/>
  <c r="C3" i="4"/>
  <c r="G11" i="4"/>
  <c r="G8" i="4"/>
  <c r="G19" i="4"/>
  <c r="C29" i="4"/>
  <c r="G31" i="4"/>
  <c r="G17" i="4"/>
  <c r="C25" i="4"/>
  <c r="G16" i="4"/>
  <c r="C33" i="4"/>
  <c r="G33" i="4"/>
  <c r="G27" i="4"/>
  <c r="G23" i="4"/>
  <c r="G26" i="4"/>
  <c r="G6" i="4"/>
  <c r="C8" i="4"/>
  <c r="G10" i="4"/>
  <c r="C16" i="4"/>
  <c r="G18" i="4"/>
  <c r="C20" i="4"/>
  <c r="G22" i="4"/>
  <c r="C24" i="4"/>
  <c r="C32" i="4"/>
  <c r="G34" i="4"/>
  <c r="C4" i="4"/>
  <c r="C28" i="4"/>
  <c r="K6" i="4"/>
  <c r="H31" i="4"/>
  <c r="H28" i="4"/>
  <c r="K19" i="4"/>
  <c r="H12" i="4"/>
  <c r="D9" i="4"/>
  <c r="D11" i="4"/>
  <c r="K30" i="4"/>
  <c r="H19" i="4"/>
  <c r="D29" i="4"/>
  <c r="K20" i="4"/>
  <c r="L20" i="6"/>
  <c r="D19" i="4"/>
  <c r="D6" i="4"/>
  <c r="K22" i="4"/>
  <c r="K25" i="4"/>
  <c r="K10" i="4"/>
  <c r="H4" i="4"/>
  <c r="K26" i="4"/>
  <c r="D25" i="4"/>
  <c r="H27" i="4"/>
  <c r="D30" i="4"/>
  <c r="D31" i="4"/>
  <c r="K9" i="4"/>
  <c r="H18" i="4"/>
  <c r="H11" i="4"/>
  <c r="D3" i="4"/>
  <c r="K23" i="4"/>
  <c r="K3" i="4"/>
  <c r="K27" i="4"/>
  <c r="H5" i="4"/>
  <c r="H8" i="4"/>
  <c r="K24" i="4"/>
  <c r="K34" i="4"/>
  <c r="H6" i="4"/>
  <c r="D5" i="4"/>
  <c r="K31" i="4"/>
  <c r="K17" i="4"/>
  <c r="K13" i="4"/>
  <c r="H33" i="4"/>
  <c r="H20" i="4"/>
  <c r="H9" i="4"/>
  <c r="D32" i="4"/>
  <c r="K28" i="4"/>
  <c r="H26" i="4"/>
  <c r="D4" i="4"/>
  <c r="D14" i="4"/>
  <c r="H3" i="4"/>
  <c r="H7" i="4"/>
  <c r="L21" i="6"/>
  <c r="H23" i="4"/>
  <c r="H21" i="4"/>
  <c r="D17" i="4"/>
  <c r="L17" i="6"/>
  <c r="D22" i="4"/>
  <c r="K11" i="4"/>
  <c r="H29" i="4"/>
  <c r="D12" i="4"/>
  <c r="H14" i="4"/>
  <c r="K32" i="4"/>
  <c r="K5" i="4"/>
  <c r="H34" i="4"/>
  <c r="H16" i="4"/>
  <c r="H10" i="4"/>
  <c r="H24" i="4"/>
  <c r="D20" i="4"/>
  <c r="K7" i="4"/>
  <c r="D10" i="4"/>
  <c r="D16" i="4"/>
  <c r="K29" i="4"/>
  <c r="D24" i="4"/>
  <c r="H15" i="4"/>
  <c r="H22" i="4"/>
  <c r="D8" i="4"/>
  <c r="H17" i="4"/>
  <c r="D23" i="4"/>
  <c r="K33" i="4"/>
  <c r="K14" i="4"/>
  <c r="K12" i="4"/>
  <c r="K18" i="4"/>
  <c r="K21" i="4"/>
  <c r="D15" i="4"/>
  <c r="D27" i="4"/>
  <c r="K8" i="4"/>
  <c r="H25" i="4"/>
  <c r="D28" i="4"/>
  <c r="K15" i="4"/>
  <c r="K4" i="4"/>
  <c r="K16" i="4"/>
  <c r="D21" i="4"/>
  <c r="D34" i="4"/>
  <c r="D33" i="4"/>
  <c r="H32" i="4"/>
  <c r="D7" i="4"/>
  <c r="I4" i="6"/>
  <c r="D13" i="4"/>
  <c r="D18" i="4"/>
  <c r="D26" i="4"/>
  <c r="H13" i="4"/>
  <c r="H30" i="4"/>
  <c r="L18" i="6" l="1"/>
  <c r="L19" i="6" s="1"/>
  <c r="I9" i="6"/>
  <c r="L22" i="6"/>
  <c r="L23" i="6" s="1"/>
  <c r="H31" i="1"/>
  <c r="K31" i="1" s="1"/>
  <c r="H21" i="1"/>
  <c r="K21" i="1" s="1"/>
  <c r="H5" i="1"/>
  <c r="K5" i="1" s="1"/>
  <c r="H19" i="1"/>
  <c r="K19" i="1" s="1"/>
  <c r="H27" i="1"/>
  <c r="H24" i="1"/>
  <c r="H23" i="1"/>
  <c r="H20" i="1"/>
  <c r="K20" i="1" s="1"/>
  <c r="H15" i="1"/>
  <c r="K15" i="1" s="1"/>
  <c r="H11" i="1"/>
  <c r="K11" i="1" s="1"/>
  <c r="H8" i="1"/>
  <c r="K8" i="1" s="1"/>
  <c r="H7" i="1"/>
  <c r="K7" i="1" s="1"/>
  <c r="H4" i="1"/>
  <c r="K4" i="1" s="1"/>
  <c r="H3" i="1"/>
  <c r="K3" i="1" s="1"/>
  <c r="H33" i="1"/>
  <c r="K33" i="1" s="1"/>
  <c r="H10" i="1"/>
  <c r="K10" i="1" s="1"/>
  <c r="H6" i="1"/>
  <c r="K6" i="1" s="1"/>
  <c r="H26" i="1"/>
  <c r="K26" i="1" s="1"/>
  <c r="H22" i="1"/>
  <c r="K22" i="1" s="1"/>
  <c r="H17" i="1"/>
  <c r="K17" i="1" s="1"/>
  <c r="K27" i="1"/>
  <c r="K24" i="1"/>
  <c r="K23" i="1"/>
  <c r="H34" i="1"/>
  <c r="K34" i="1" s="1"/>
  <c r="H29" i="1"/>
  <c r="K29" i="1" s="1"/>
  <c r="H18" i="1"/>
  <c r="K18" i="1" s="1"/>
  <c r="H13" i="1"/>
  <c r="K13" i="1" s="1"/>
  <c r="H32" i="1"/>
  <c r="K32" i="1" s="1"/>
  <c r="H30" i="1"/>
  <c r="K30" i="1" s="1"/>
  <c r="H25" i="1"/>
  <c r="K25" i="1" s="1"/>
  <c r="H16" i="1"/>
  <c r="K16" i="1" s="1"/>
  <c r="H14" i="1"/>
  <c r="K14" i="1" s="1"/>
  <c r="H9" i="1"/>
  <c r="K9" i="1" s="1"/>
  <c r="H28" i="1"/>
  <c r="K28" i="1" s="1"/>
  <c r="H12" i="1"/>
  <c r="K12" i="1" s="1"/>
  <c r="D5" i="5"/>
  <c r="L31" i="4"/>
  <c r="L19" i="4"/>
  <c r="L12" i="4"/>
  <c r="R33" i="4"/>
  <c r="R5" i="4"/>
  <c r="L6" i="4"/>
  <c r="L9" i="4"/>
  <c r="R9" i="4"/>
  <c r="R23" i="4"/>
  <c r="R25" i="4"/>
  <c r="R12" i="4"/>
  <c r="L20" i="4"/>
  <c r="L26" i="4"/>
  <c r="R17" i="4"/>
  <c r="L28" i="4"/>
  <c r="R30" i="4"/>
  <c r="L15" i="4"/>
  <c r="R10" i="4"/>
  <c r="L3" i="4"/>
  <c r="L13" i="4"/>
  <c r="L34" i="4"/>
  <c r="L32" i="4"/>
  <c r="R19" i="4"/>
  <c r="L23" i="4"/>
  <c r="L4" i="4"/>
  <c r="R31" i="4"/>
  <c r="L29" i="4"/>
  <c r="R32" i="4"/>
  <c r="R8" i="4"/>
  <c r="R16" i="4"/>
  <c r="R13" i="4"/>
  <c r="L22" i="4"/>
  <c r="L27" i="4"/>
  <c r="R11" i="4"/>
  <c r="R20" i="4"/>
  <c r="R3" i="4"/>
  <c r="L11" i="4"/>
  <c r="L10" i="4"/>
  <c r="L21" i="4"/>
  <c r="R14" i="4"/>
  <c r="R26" i="4"/>
  <c r="R34" i="4"/>
  <c r="L14" i="4"/>
  <c r="L33" i="4"/>
  <c r="R22" i="4"/>
  <c r="R6" i="4"/>
  <c r="L5" i="4"/>
  <c r="R27" i="4"/>
  <c r="R21" i="4"/>
  <c r="L25" i="4"/>
  <c r="R29" i="4"/>
  <c r="L17" i="4"/>
  <c r="L16" i="4"/>
  <c r="R15" i="4"/>
  <c r="L30" i="4"/>
  <c r="L24" i="4"/>
  <c r="R4" i="4"/>
  <c r="R18" i="4"/>
  <c r="L8" i="4"/>
  <c r="R7" i="4"/>
  <c r="R24" i="4"/>
  <c r="L18" i="4"/>
  <c r="R28" i="4"/>
  <c r="L7" i="4"/>
  <c r="S9" i="4" l="1"/>
  <c r="T9" i="4" s="1"/>
  <c r="S17" i="4"/>
  <c r="T17" i="4" s="1"/>
  <c r="S22" i="4"/>
  <c r="T22" i="4" s="1"/>
  <c r="S30" i="4"/>
  <c r="T30" i="4" s="1"/>
  <c r="S19" i="4"/>
  <c r="T19" i="4" s="1"/>
  <c r="S7" i="4"/>
  <c r="T7" i="4" s="1"/>
  <c r="S15" i="4"/>
  <c r="T15" i="4" s="1"/>
  <c r="S27" i="4"/>
  <c r="T27" i="4" s="1"/>
  <c r="S31" i="4"/>
  <c r="T31" i="4" s="1"/>
  <c r="S6" i="4"/>
  <c r="T6" i="4" s="1"/>
  <c r="S14" i="4"/>
  <c r="T14" i="4" s="1"/>
  <c r="S16" i="4"/>
  <c r="T16" i="4" s="1"/>
  <c r="S4" i="4"/>
  <c r="T4" i="4" s="1"/>
  <c r="S26" i="4"/>
  <c r="T26" i="4" s="1"/>
  <c r="S25" i="4"/>
  <c r="T25" i="4" s="1"/>
  <c r="S29" i="4"/>
  <c r="T29" i="4" s="1"/>
  <c r="S13" i="4"/>
  <c r="T13" i="4" s="1"/>
  <c r="S20" i="4"/>
  <c r="T20" i="4" s="1"/>
  <c r="S28" i="4"/>
  <c r="T28" i="4" s="1"/>
  <c r="S8" i="4"/>
  <c r="T8" i="4" s="1"/>
  <c r="S34" i="4"/>
  <c r="T34" i="4" s="1"/>
  <c r="S18" i="4"/>
  <c r="T18" i="4" s="1"/>
  <c r="S11" i="4"/>
  <c r="T11" i="4" s="1"/>
  <c r="S5" i="4"/>
  <c r="T5" i="4" s="1"/>
  <c r="S24" i="4"/>
  <c r="T24" i="4" s="1"/>
  <c r="S12" i="4"/>
  <c r="T12" i="4" s="1"/>
  <c r="S3" i="4"/>
  <c r="T3" i="4" s="1"/>
  <c r="S21" i="4"/>
  <c r="T21" i="4" s="1"/>
  <c r="S33" i="4"/>
  <c r="T33" i="4" s="1"/>
  <c r="S23" i="4"/>
  <c r="T23" i="4" s="1"/>
  <c r="S10" i="4"/>
  <c r="T10" i="4" s="1"/>
  <c r="S32" i="4"/>
  <c r="T32" i="4" s="1"/>
  <c r="M4" i="4"/>
  <c r="N4" i="4" s="1"/>
  <c r="Q4" i="4" s="1"/>
  <c r="M8" i="4"/>
  <c r="N8" i="4" s="1"/>
  <c r="Q8" i="4" s="1"/>
  <c r="M12" i="4"/>
  <c r="N12" i="4" s="1"/>
  <c r="Q12" i="4" s="1"/>
  <c r="M16" i="4"/>
  <c r="N16" i="4" s="1"/>
  <c r="Q16" i="4" s="1"/>
  <c r="M20" i="4"/>
  <c r="N20" i="4" s="1"/>
  <c r="Q20" i="4" s="1"/>
  <c r="M24" i="4"/>
  <c r="N24" i="4" s="1"/>
  <c r="Q24" i="4" s="1"/>
  <c r="M28" i="4"/>
  <c r="N28" i="4" s="1"/>
  <c r="Q28" i="4" s="1"/>
  <c r="M34" i="4"/>
  <c r="N34" i="4" s="1"/>
  <c r="Q34" i="4" s="1"/>
  <c r="M33" i="4"/>
  <c r="N33" i="4" s="1"/>
  <c r="Q33" i="4" s="1"/>
  <c r="M5" i="4"/>
  <c r="N5" i="4" s="1"/>
  <c r="Q5" i="4" s="1"/>
  <c r="M9" i="4"/>
  <c r="N9" i="4" s="1"/>
  <c r="Q9" i="4" s="1"/>
  <c r="M13" i="4"/>
  <c r="N13" i="4" s="1"/>
  <c r="Q13" i="4" s="1"/>
  <c r="M17" i="4"/>
  <c r="N17" i="4" s="1"/>
  <c r="Q17" i="4" s="1"/>
  <c r="M21" i="4"/>
  <c r="N21" i="4" s="1"/>
  <c r="Q21" i="4" s="1"/>
  <c r="M25" i="4"/>
  <c r="N25" i="4" s="1"/>
  <c r="Q25" i="4" s="1"/>
  <c r="M29" i="4"/>
  <c r="N29" i="4" s="1"/>
  <c r="Q29" i="4" s="1"/>
  <c r="M6" i="4"/>
  <c r="N6" i="4" s="1"/>
  <c r="Q6" i="4" s="1"/>
  <c r="M10" i="4"/>
  <c r="N10" i="4" s="1"/>
  <c r="Q10" i="4" s="1"/>
  <c r="M14" i="4"/>
  <c r="N14" i="4" s="1"/>
  <c r="Q14" i="4" s="1"/>
  <c r="M18" i="4"/>
  <c r="N18" i="4" s="1"/>
  <c r="Q18" i="4" s="1"/>
  <c r="M22" i="4"/>
  <c r="N22" i="4" s="1"/>
  <c r="Q22" i="4" s="1"/>
  <c r="M26" i="4"/>
  <c r="N26" i="4" s="1"/>
  <c r="Q26" i="4" s="1"/>
  <c r="M30" i="4"/>
  <c r="N30" i="4" s="1"/>
  <c r="Q30" i="4" s="1"/>
  <c r="M31" i="4"/>
  <c r="N31" i="4" s="1"/>
  <c r="Q31" i="4" s="1"/>
  <c r="M7" i="4"/>
  <c r="N7" i="4" s="1"/>
  <c r="Q7" i="4" s="1"/>
  <c r="M11" i="4"/>
  <c r="N11" i="4" s="1"/>
  <c r="Q11" i="4" s="1"/>
  <c r="M15" i="4"/>
  <c r="N15" i="4" s="1"/>
  <c r="Q15" i="4" s="1"/>
  <c r="M19" i="4"/>
  <c r="N19" i="4" s="1"/>
  <c r="Q19" i="4" s="1"/>
  <c r="M23" i="4"/>
  <c r="N23" i="4" s="1"/>
  <c r="Q23" i="4" s="1"/>
  <c r="M27" i="4"/>
  <c r="N27" i="4" s="1"/>
  <c r="Q27" i="4" s="1"/>
  <c r="M32" i="4"/>
  <c r="N32" i="4" s="1"/>
  <c r="Q32" i="4" s="1"/>
  <c r="M3" i="4"/>
  <c r="N3" i="4" s="1"/>
  <c r="Q3" i="4" s="1"/>
  <c r="Q2" i="1"/>
  <c r="R2" i="1"/>
  <c r="S2" i="1"/>
  <c r="T2" i="1"/>
  <c r="U2" i="1"/>
  <c r="F12" i="6"/>
  <c r="F10" i="6"/>
  <c r="F9" i="6"/>
  <c r="F11" i="6"/>
  <c r="C8" i="6"/>
  <c r="C9" i="6"/>
  <c r="C7" i="6"/>
  <c r="C13" i="6"/>
  <c r="C11" i="6"/>
  <c r="C15" i="6"/>
  <c r="C14" i="6"/>
  <c r="C12" i="6"/>
  <c r="C16" i="6" l="1"/>
  <c r="C4" i="5"/>
  <c r="C18" i="6"/>
  <c r="C22" i="6"/>
  <c r="C21" i="6"/>
  <c r="C23" i="6" l="1"/>
  <c r="C24" i="6" s="1"/>
  <c r="C19" i="6"/>
  <c r="C20" i="6" s="1"/>
  <c r="F2" i="3"/>
  <c r="I2" i="3"/>
  <c r="J2" i="3" s="1"/>
  <c r="P2" i="4"/>
  <c r="O2" i="4"/>
  <c r="O2" i="3"/>
  <c r="N2" i="3"/>
  <c r="I2" i="4"/>
  <c r="J2" i="4" s="1"/>
  <c r="F2" i="4"/>
  <c r="E2" i="4"/>
  <c r="B2" i="4"/>
  <c r="A2" i="4"/>
  <c r="H2" i="3"/>
  <c r="K2" i="3"/>
  <c r="L2" i="3"/>
  <c r="M2" i="3"/>
  <c r="I1" i="3"/>
  <c r="K1" i="3"/>
  <c r="L1" i="3"/>
  <c r="M1" i="3"/>
  <c r="H1" i="3"/>
  <c r="G2" i="3"/>
  <c r="E2" i="3"/>
  <c r="D2" i="3"/>
  <c r="C2" i="3"/>
  <c r="B2" i="3"/>
  <c r="A2" i="3"/>
  <c r="M2" i="1"/>
  <c r="N2" i="1"/>
  <c r="O2" i="1"/>
  <c r="P2" i="1"/>
  <c r="L2" i="1"/>
  <c r="J2" i="1"/>
  <c r="I2" i="1"/>
  <c r="G2" i="4"/>
  <c r="C2" i="4"/>
  <c r="K2" i="4"/>
  <c r="H2" i="4"/>
  <c r="D2" i="4"/>
  <c r="G2" i="1" l="1"/>
  <c r="A2" i="1"/>
  <c r="F2" i="1"/>
  <c r="E2" i="1"/>
  <c r="D2" i="1"/>
  <c r="C2" i="1"/>
  <c r="B2" i="1"/>
  <c r="R2" i="4"/>
  <c r="L2" i="4"/>
  <c r="H2" i="1" l="1"/>
  <c r="K2" i="1" s="1"/>
  <c r="M2" i="4"/>
  <c r="N2" i="4" s="1"/>
  <c r="Q2" i="4" s="1"/>
  <c r="S2" i="4"/>
  <c r="T2" i="4" s="1"/>
</calcChain>
</file>

<file path=xl/sharedStrings.xml><?xml version="1.0" encoding="utf-8"?>
<sst xmlns="http://schemas.openxmlformats.org/spreadsheetml/2006/main" count="310" uniqueCount="266">
  <si>
    <t>code</t>
  </si>
  <si>
    <t>name</t>
  </si>
  <si>
    <t>stname</t>
  </si>
  <si>
    <t>tyr</t>
  </si>
  <si>
    <t>HisVol</t>
  </si>
  <si>
    <t>BS</t>
  </si>
  <si>
    <t>Delta</t>
  </si>
  <si>
    <t>Theta</t>
  </si>
  <si>
    <t>期权流逝</t>
  </si>
  <si>
    <t>溢价流逝</t>
  </si>
  <si>
    <t>113011.SH</t>
  </si>
  <si>
    <t>132010.SH</t>
  </si>
  <si>
    <t>113013.SH</t>
  </si>
  <si>
    <t>113012.SH</t>
  </si>
  <si>
    <t>113009.SH</t>
  </si>
  <si>
    <t>132001.SH</t>
  </si>
  <si>
    <t>128014.SZ</t>
  </si>
  <si>
    <t>110033.SH</t>
  </si>
  <si>
    <t>110034.SH</t>
  </si>
  <si>
    <t>132009.SH</t>
  </si>
  <si>
    <t>110032.SH</t>
  </si>
  <si>
    <t>128010.SZ</t>
  </si>
  <si>
    <t>120001.SZ</t>
  </si>
  <si>
    <t>128015.SZ</t>
  </si>
  <si>
    <t>132012.SH</t>
  </si>
  <si>
    <t>127004.SZ</t>
  </si>
  <si>
    <t>132005.SH</t>
  </si>
  <si>
    <t>110030.SH</t>
  </si>
  <si>
    <t>132011.SH</t>
  </si>
  <si>
    <t>132006.SH</t>
  </si>
  <si>
    <t>123001.SZ</t>
  </si>
  <si>
    <t>113008.SH</t>
  </si>
  <si>
    <t>127003.SZ</t>
  </si>
  <si>
    <t>128012.SZ</t>
  </si>
  <si>
    <t>132003.SH</t>
  </si>
  <si>
    <t>113010.SH</t>
  </si>
  <si>
    <t>132008.SH</t>
  </si>
  <si>
    <t>132007.SH</t>
  </si>
  <si>
    <t>132004.SH</t>
  </si>
  <si>
    <t>128013.SZ</t>
  </si>
  <si>
    <t>132002.SH</t>
  </si>
  <si>
    <t>110031.SH</t>
  </si>
  <si>
    <t>光大转债</t>
  </si>
  <si>
    <t>17桐昆EB</t>
  </si>
  <si>
    <t>国君转债</t>
  </si>
  <si>
    <t>骆驼转债</t>
  </si>
  <si>
    <t>广汽转债</t>
  </si>
  <si>
    <t>14宝钢EB</t>
  </si>
  <si>
    <t>永东转债</t>
  </si>
  <si>
    <t>国贸转债</t>
  </si>
  <si>
    <t>九州转债</t>
  </si>
  <si>
    <t>17中油EB</t>
  </si>
  <si>
    <t>三一转债</t>
  </si>
  <si>
    <t>顺昌转债</t>
  </si>
  <si>
    <t>16以岭EB</t>
  </si>
  <si>
    <t>久其转债</t>
  </si>
  <si>
    <t>17巨化EB</t>
  </si>
  <si>
    <t>模塑转债</t>
  </si>
  <si>
    <t>15国资EB</t>
  </si>
  <si>
    <t>格力转债</t>
  </si>
  <si>
    <t>17浙报EB</t>
  </si>
  <si>
    <t>16皖新EB</t>
  </si>
  <si>
    <t>蓝标转债</t>
  </si>
  <si>
    <t>电气转债</t>
  </si>
  <si>
    <t>海印转债</t>
  </si>
  <si>
    <t>辉丰转债</t>
  </si>
  <si>
    <t>15清控EB</t>
  </si>
  <si>
    <t>江南转债</t>
  </si>
  <si>
    <t>17山高EB</t>
  </si>
  <si>
    <t>16凤凰EB</t>
  </si>
  <si>
    <t>15国盛EB</t>
  </si>
  <si>
    <t>洪涛转债</t>
  </si>
  <si>
    <t>15天集EB</t>
  </si>
  <si>
    <t>航信转债</t>
  </si>
  <si>
    <t>光大银行</t>
  </si>
  <si>
    <t>桐昆股份</t>
  </si>
  <si>
    <t>国泰君安</t>
  </si>
  <si>
    <t>骆驼股份</t>
  </si>
  <si>
    <t>广汽集团</t>
  </si>
  <si>
    <t>新华保险</t>
  </si>
  <si>
    <t>永东股份</t>
  </si>
  <si>
    <t>厦门国贸</t>
  </si>
  <si>
    <t>九州通</t>
  </si>
  <si>
    <t>中国石油</t>
  </si>
  <si>
    <t>三一重工</t>
  </si>
  <si>
    <t>澳洋顺昌</t>
  </si>
  <si>
    <t>以岭药业</t>
  </si>
  <si>
    <t>久其软件</t>
  </si>
  <si>
    <t>巨化股份</t>
  </si>
  <si>
    <t>模塑科技</t>
  </si>
  <si>
    <t>中国太保</t>
  </si>
  <si>
    <t>格力地产</t>
  </si>
  <si>
    <t>浙数文化</t>
  </si>
  <si>
    <t>皖新传媒</t>
  </si>
  <si>
    <t>蓝色光标</t>
  </si>
  <si>
    <t>上海电气</t>
  </si>
  <si>
    <t>海印股份</t>
  </si>
  <si>
    <t>辉丰股份</t>
  </si>
  <si>
    <t>国金证券</t>
  </si>
  <si>
    <t>江南水务</t>
  </si>
  <si>
    <t>山东高速</t>
  </si>
  <si>
    <t>凤凰传媒</t>
  </si>
  <si>
    <t>上海建工</t>
  </si>
  <si>
    <t>洪涛股份</t>
  </si>
  <si>
    <t>天士力</t>
  </si>
  <si>
    <t>航天信息</t>
  </si>
  <si>
    <t>ImpVol</t>
  </si>
  <si>
    <t>BT</t>
  </si>
  <si>
    <t>溢价率</t>
  </si>
  <si>
    <t>转债名称</t>
    <phoneticPr fontId="1" type="noConversion"/>
  </si>
  <si>
    <t>转债名称</t>
    <phoneticPr fontId="1" type="noConversion"/>
  </si>
  <si>
    <t>正股代码</t>
    <phoneticPr fontId="1" type="noConversion"/>
  </si>
  <si>
    <t>正股名称</t>
    <phoneticPr fontId="1" type="noConversion"/>
  </si>
  <si>
    <t>转债市价</t>
    <phoneticPr fontId="1" type="noConversion"/>
  </si>
  <si>
    <t>BS定价</t>
    <phoneticPr fontId="1" type="noConversion"/>
  </si>
  <si>
    <t>日期</t>
    <phoneticPr fontId="1" type="noConversion"/>
  </si>
  <si>
    <t>BS溢价率</t>
    <phoneticPr fontId="1" type="noConversion"/>
  </si>
  <si>
    <t>均值</t>
    <phoneticPr fontId="1" type="noConversion"/>
  </si>
  <si>
    <t>方差</t>
    <phoneticPr fontId="1" type="noConversion"/>
  </si>
  <si>
    <t>百分比位置</t>
    <phoneticPr fontId="1" type="noConversion"/>
  </si>
  <si>
    <t>期权价值</t>
    <phoneticPr fontId="1" type="noConversion"/>
  </si>
  <si>
    <t>转债价格</t>
    <phoneticPr fontId="1" type="noConversion"/>
  </si>
  <si>
    <t>正股价格</t>
    <phoneticPr fontId="1" type="noConversion"/>
  </si>
  <si>
    <t>期权价格</t>
    <phoneticPr fontId="1" type="noConversion"/>
  </si>
  <si>
    <t>转股价格</t>
    <phoneticPr fontId="1" type="noConversion"/>
  </si>
  <si>
    <t>历史波动率</t>
    <phoneticPr fontId="1" type="noConversion"/>
  </si>
  <si>
    <t>调整波动率</t>
    <phoneticPr fontId="1" type="noConversion"/>
  </si>
  <si>
    <t>历史波动率</t>
    <phoneticPr fontId="1" type="noConversion"/>
  </si>
  <si>
    <t>隐含波动率</t>
    <phoneticPr fontId="1" type="noConversion"/>
  </si>
  <si>
    <t>纯债价值</t>
    <phoneticPr fontId="1" type="noConversion"/>
  </si>
  <si>
    <t>实时定价</t>
    <phoneticPr fontId="1" type="noConversion"/>
  </si>
  <si>
    <t>实时溢价率</t>
    <phoneticPr fontId="1" type="noConversion"/>
  </si>
  <si>
    <t>溢价率均值</t>
    <phoneticPr fontId="1" type="noConversion"/>
  </si>
  <si>
    <t>溢价率标准差</t>
    <phoneticPr fontId="1" type="noConversion"/>
  </si>
  <si>
    <t>百分比位置</t>
    <phoneticPr fontId="1" type="noConversion"/>
  </si>
  <si>
    <t>Delta</t>
    <phoneticPr fontId="1" type="noConversion"/>
  </si>
  <si>
    <t>纯债价值</t>
    <phoneticPr fontId="1" type="noConversion"/>
  </si>
  <si>
    <t>对冲比例</t>
    <phoneticPr fontId="1" type="noConversion"/>
  </si>
  <si>
    <t>市值比例</t>
    <phoneticPr fontId="1" type="noConversion"/>
  </si>
  <si>
    <t>操作说明</t>
    <phoneticPr fontId="1" type="noConversion"/>
  </si>
  <si>
    <t>表格内容</t>
    <phoneticPr fontId="1" type="noConversion"/>
  </si>
  <si>
    <t>历史溢价率</t>
    <phoneticPr fontId="1" type="noConversion"/>
  </si>
  <si>
    <t>期权价值</t>
    <phoneticPr fontId="1" type="noConversion"/>
  </si>
  <si>
    <t>数据版本</t>
    <phoneticPr fontId="1" type="noConversion"/>
  </si>
  <si>
    <t>v1.0</t>
    <phoneticPr fontId="1" type="noConversion"/>
  </si>
  <si>
    <t>文件打开时，根据相同目录下的convbond.csv文件自动刷新数据表，无需修改，可隐藏</t>
    <phoneticPr fontId="1" type="noConversion"/>
  </si>
  <si>
    <t>BS定价核对无误。Delta核对无误。</t>
    <phoneticPr fontId="1" type="noConversion"/>
  </si>
  <si>
    <t>可转债定价工具使用说明</t>
    <phoneticPr fontId="1" type="noConversion"/>
  </si>
  <si>
    <t>Data(隐藏)</t>
    <phoneticPr fontId="1" type="noConversion"/>
  </si>
  <si>
    <t>基础数据文件实现远程更新。</t>
    <phoneticPr fontId="1" type="noConversion"/>
  </si>
  <si>
    <t>关键指标</t>
    <phoneticPr fontId="1" type="noConversion"/>
  </si>
  <si>
    <t>溢价率</t>
    <phoneticPr fontId="1" type="noConversion"/>
  </si>
  <si>
    <t>溢价率=市价/(纯债价值+期权价值)-1</t>
    <phoneticPr fontId="1" type="noConversion"/>
  </si>
  <si>
    <t>百分比位置</t>
    <phoneticPr fontId="1" type="noConversion"/>
  </si>
  <si>
    <t>对冲比例</t>
    <phoneticPr fontId="1" type="noConversion"/>
  </si>
  <si>
    <t>市值比例</t>
    <phoneticPr fontId="1" type="noConversion"/>
  </si>
  <si>
    <t>中性对冲原则下，转债市值与正股市值的比例</t>
    <phoneticPr fontId="1" type="noConversion"/>
  </si>
  <si>
    <t>中性对冲原则下，1张转债对冲股票的股数</t>
    <phoneticPr fontId="1" type="noConversion"/>
  </si>
  <si>
    <t>v1.1</t>
    <phoneticPr fontId="1" type="noConversion"/>
  </si>
  <si>
    <t>版本升级</t>
    <phoneticPr fontId="1" type="noConversion"/>
  </si>
  <si>
    <t>Delta</t>
    <phoneticPr fontId="1" type="noConversion"/>
  </si>
  <si>
    <t>期权流逝
溢价流逝</t>
    <phoneticPr fontId="1" type="noConversion"/>
  </si>
  <si>
    <t>每年期权价值和转债总体溢价流逝的金额</t>
    <phoneticPr fontId="1" type="noConversion"/>
  </si>
  <si>
    <t>纯债价值、期权价值、中性对冲比例、溢价流逝速度、历史波动率、隐含波动率</t>
    <phoneticPr fontId="1" type="noConversion"/>
  </si>
  <si>
    <t>实时数据的转债定价、溢价率水平、在一年数据的累积概率位置、对冲比例</t>
    <phoneticPr fontId="1" type="noConversion"/>
  </si>
  <si>
    <t>溢价率的一年均值、标准差、当前溢价率的累积概率位置、最近十个月的每月均值</t>
    <phoneticPr fontId="1" type="noConversion"/>
  </si>
  <si>
    <t>根据正态分布计算当前溢价率处于一年内的溢价率水平的累积概率位置。
百分比取值越高，溢价率处于历史高位。</t>
    <phoneticPr fontId="1" type="noConversion"/>
  </si>
  <si>
    <t>正股价格</t>
  </si>
  <si>
    <t>正股价格</t>
    <phoneticPr fontId="1" type="noConversion"/>
  </si>
  <si>
    <t>转股价</t>
  </si>
  <si>
    <t>正股代码</t>
    <phoneticPr fontId="1" type="noConversion"/>
  </si>
  <si>
    <t>002271.SZ</t>
    <phoneticPr fontId="1" type="noConversion"/>
  </si>
  <si>
    <t>正股名称</t>
    <phoneticPr fontId="1" type="noConversion"/>
  </si>
  <si>
    <t>转债代码</t>
    <phoneticPr fontId="1" type="noConversion"/>
  </si>
  <si>
    <t>128016.SZ</t>
    <phoneticPr fontId="1" type="noConversion"/>
  </si>
  <si>
    <t>转股价</t>
    <phoneticPr fontId="1" type="noConversion"/>
  </si>
  <si>
    <t>无风险利率</t>
    <phoneticPr fontId="1" type="noConversion"/>
  </si>
  <si>
    <t>到期日</t>
    <phoneticPr fontId="1" type="noConversion"/>
  </si>
  <si>
    <t>剩余年限</t>
    <phoneticPr fontId="1" type="noConversion"/>
  </si>
  <si>
    <t>历史波动率</t>
    <phoneticPr fontId="1" type="noConversion"/>
  </si>
  <si>
    <t>纯债价值</t>
    <phoneticPr fontId="1" type="noConversion"/>
  </si>
  <si>
    <t>总体定价</t>
    <phoneticPr fontId="1" type="noConversion"/>
  </si>
  <si>
    <t>溢价率</t>
    <phoneticPr fontId="1" type="noConversion"/>
  </si>
  <si>
    <t>Delta</t>
    <phoneticPr fontId="1" type="noConversion"/>
  </si>
  <si>
    <t>Gamma</t>
    <phoneticPr fontId="1" type="noConversion"/>
  </si>
  <si>
    <t>对冲比例</t>
    <phoneticPr fontId="1" type="noConversion"/>
  </si>
  <si>
    <t>市值比例</t>
    <phoneticPr fontId="1" type="noConversion"/>
  </si>
  <si>
    <t>输入数据</t>
    <phoneticPr fontId="1" type="noConversion"/>
  </si>
  <si>
    <t>正股</t>
    <phoneticPr fontId="1" type="noConversion"/>
  </si>
  <si>
    <t>转债</t>
    <phoneticPr fontId="1" type="noConversion"/>
  </si>
  <si>
    <t>期权</t>
    <phoneticPr fontId="1" type="noConversion"/>
  </si>
  <si>
    <t>转债期权价值</t>
    <phoneticPr fontId="1" type="noConversion"/>
  </si>
  <si>
    <t>一般期权价值</t>
    <phoneticPr fontId="1" type="noConversion"/>
  </si>
  <si>
    <t>正股期权价值</t>
    <phoneticPr fontId="1" type="noConversion"/>
  </si>
  <si>
    <t>转债期权价值</t>
    <phoneticPr fontId="1" type="noConversion"/>
  </si>
  <si>
    <t>期权</t>
    <phoneticPr fontId="1" type="noConversion"/>
  </si>
  <si>
    <t>基于BlackScholes的期权定价、溢价率、Delta、Gamma</t>
    <phoneticPr fontId="1" type="noConversion"/>
  </si>
  <si>
    <t>个券试算</t>
    <phoneticPr fontId="1" type="noConversion"/>
  </si>
  <si>
    <t>D:/R/055ConvertableBond/convbond.csv</t>
    <phoneticPr fontId="1" type="noConversion"/>
  </si>
  <si>
    <t>当前版本</t>
    <phoneticPr fontId="1" type="noConversion"/>
  </si>
  <si>
    <t>v1.2</t>
    <phoneticPr fontId="1" type="noConversion"/>
  </si>
  <si>
    <t>定价工具版本更新提示。基础数据使用远程更新。</t>
    <phoneticPr fontId="1" type="noConversion"/>
  </si>
  <si>
    <t>本地调试</t>
    <phoneticPr fontId="1" type="noConversion"/>
  </si>
  <si>
    <t>128016.SZ</t>
  </si>
  <si>
    <t>v1.3</t>
    <phoneticPr fontId="1" type="noConversion"/>
  </si>
  <si>
    <t>雨虹转债</t>
  </si>
  <si>
    <t>东方雨虹</t>
  </si>
  <si>
    <t>剩余年数</t>
    <phoneticPr fontId="1" type="noConversion"/>
  </si>
  <si>
    <t>自动处理除权数据。支持首日上市的转债。自动增加数据行数和公式。</t>
    <phoneticPr fontId="1" type="noConversion"/>
  </si>
  <si>
    <t>1.需要启用VBA宏和Wind插件，且Wind插件处于已登录状态。
2.[历史溢价率]和[期权价值]为历史数据测算，需要点击[更新数据]获取最新日数据。
3.[实时溢价率]中新增转债时，需要点击[更新数据]刷新公式。</t>
    <phoneticPr fontId="1" type="noConversion"/>
  </si>
  <si>
    <t>优先配售</t>
    <phoneticPr fontId="1" type="noConversion"/>
  </si>
  <si>
    <t>601222.SH</t>
    <phoneticPr fontId="1" type="noConversion"/>
  </si>
  <si>
    <t>每股配售面值</t>
    <phoneticPr fontId="1" type="noConversion"/>
  </si>
  <si>
    <t>预期收益率</t>
    <phoneticPr fontId="1" type="noConversion"/>
  </si>
  <si>
    <t>配售收益</t>
    <phoneticPr fontId="1" type="noConversion"/>
  </si>
  <si>
    <t>配售收益率</t>
    <phoneticPr fontId="1" type="noConversion"/>
  </si>
  <si>
    <t>601222.SH</t>
    <phoneticPr fontId="1" type="noConversion"/>
  </si>
  <si>
    <t>林洋转债</t>
    <phoneticPr fontId="1" type="noConversion"/>
  </si>
  <si>
    <t>转债定价</t>
    <phoneticPr fontId="1" type="noConversion"/>
  </si>
  <si>
    <t>ver1.4</t>
  </si>
  <si>
    <t>close</t>
  </si>
  <si>
    <t>stclose</t>
  </si>
  <si>
    <t>convprice</t>
  </si>
  <si>
    <t>strbvalue</t>
  </si>
  <si>
    <t>optvalue</t>
  </si>
  <si>
    <t>对冲比例</t>
  </si>
  <si>
    <t>ver1.4</t>
    <phoneticPr fontId="1" type="noConversion"/>
  </si>
  <si>
    <t>v1.4</t>
    <phoneticPr fontId="1" type="noConversion"/>
  </si>
  <si>
    <t>转债弹性，在当前价格水平下，正股价格变动1%，转债价格变动Delta%。</t>
    <phoneticPr fontId="1" type="noConversion"/>
  </si>
  <si>
    <t>stcode</t>
  </si>
  <si>
    <t>600185.SH</t>
  </si>
  <si>
    <t>600271.SH</t>
  </si>
  <si>
    <t>600031.SH</t>
  </si>
  <si>
    <t>600755.SH</t>
  </si>
  <si>
    <t>600998.SH</t>
  </si>
  <si>
    <t>601727.SH</t>
  </si>
  <si>
    <t>601238.SH</t>
  </si>
  <si>
    <t>601199.SH</t>
  </si>
  <si>
    <t>601818.SH</t>
  </si>
  <si>
    <t>601311.SH</t>
  </si>
  <si>
    <t>601211.SH</t>
  </si>
  <si>
    <t>002603.SZ</t>
  </si>
  <si>
    <t>300058.SZ</t>
  </si>
  <si>
    <t>000861.SZ</t>
  </si>
  <si>
    <t>000700.SZ</t>
  </si>
  <si>
    <t>002245.SZ</t>
  </si>
  <si>
    <t>002496.SZ</t>
  </si>
  <si>
    <t>002325.SZ</t>
  </si>
  <si>
    <t>002753.SZ</t>
  </si>
  <si>
    <t>002279.SZ</t>
  </si>
  <si>
    <t>002271.SZ</t>
  </si>
  <si>
    <t>601336.SH</t>
  </si>
  <si>
    <t>600535.SH</t>
  </si>
  <si>
    <t>600109.SH</t>
  </si>
  <si>
    <t>600170.SH</t>
  </si>
  <si>
    <t>601601.SH</t>
  </si>
  <si>
    <t>601801.SH</t>
  </si>
  <si>
    <t>601928.SH</t>
  </si>
  <si>
    <t>600350.SH</t>
  </si>
  <si>
    <t>601857.SH</t>
  </si>
  <si>
    <t>601233.SH</t>
  </si>
  <si>
    <t>600633.SH</t>
  </si>
  <si>
    <t>600160.SH</t>
  </si>
  <si>
    <t>溢价率均值</t>
  </si>
  <si>
    <t>溢价率标准差</t>
  </si>
  <si>
    <t>远程数据自动更新。解决多工作簿冲突问题。解决缓存问题。</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</si>
</sst>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76" formatCode="0.0%"/>
    <numFmt numFmtId="177" formatCode="0.0"/>
    <numFmt numFmtId="178" formatCode="0.00_);[Red]\(0.00\)"/>
    <numFmt numFmtId="179" formatCode="0.000_);[Red]\(0.000\)"/>
    <numFmt numFmtId="180" formatCode="###,###,##0.0000"/>
    <numFmt numFmtId="181" formatCode="0.0000"/>
    <numFmt numFmtId="182" formatCode="###,###,##0.00"/>
    <numFmt numFmtId="184" formatCode="yyyy/mm"/>
  </numFmts>
  <fonts count="13">
    <font>
      <sz val="11"/>
      <color indexed="8"/>
      <name val="宋体"/>
      <family val="2"/>
      <scheme val="minor"/>
    </font>
    <font>
      <sz val="9"/>
      <name val="宋体"/>
      <family val="3"/>
      <charset val="134"/>
      <scheme val="minor"/>
    </font>
    <font>
      <sz val="11"/>
      <color indexed="8"/>
      <name val="宋体"/>
      <family val="2"/>
      <scheme val="minor"/>
    </font>
    <font>
      <b/>
      <sz val="11"/>
      <color indexed="8"/>
      <name val="宋体"/>
      <family val="3"/>
      <charset val="134"/>
      <scheme val="minor"/>
    </font>
    <font>
      <b/>
      <sz val="16"/>
      <color indexed="8"/>
      <name val="宋体"/>
      <family val="3"/>
      <charset val="134"/>
      <scheme val="minor"/>
    </font>
    <font>
      <sz val="11"/>
      <color rgb="FFC00000"/>
      <name val="宋体"/>
      <family val="3"/>
      <charset val="134"/>
      <scheme val="minor"/>
    </font>
    <font>
      <b/>
      <sz val="11"/>
      <color rgb="FF800000"/>
      <name val="宋体"/>
      <family val="3"/>
      <charset val="134"/>
    </font>
    <font>
      <b/>
      <sz val="11"/>
      <color rgb="FF993300"/>
      <name val="宋体"/>
      <family val="3"/>
      <charset val="134"/>
    </font>
    <font>
      <sz val="11"/>
      <color indexed="8"/>
      <name val="宋体"/>
      <family val="3"/>
      <charset val="134"/>
      <scheme val="minor"/>
    </font>
    <font>
      <u/>
      <sz val="11"/>
      <color theme="10"/>
      <name val="宋体"/>
      <family val="2"/>
      <scheme val="minor"/>
    </font>
    <font>
      <sz val="11"/>
      <name val="宋体"/>
      <family val="3"/>
      <charset val="134"/>
      <scheme val="minor"/>
    </font>
    <font>
      <b/>
      <sz val="11"/>
      <name val="宋体"/>
      <family val="3"/>
      <charset val="134"/>
      <scheme val="minor"/>
    </font>
    <font>
      <sz val="11"/>
      <color theme="0" tint="-0.14999847407452621"/>
      <name val="宋体"/>
      <family val="3"/>
      <charset val="134"/>
      <scheme val="minor"/>
    </font>
  </fonts>
  <fills count="3">
    <fill>
      <patternFill patternType="none"/>
    </fill>
    <fill>
      <patternFill patternType="gray125"/>
    </fill>
    <fill>
      <patternFill patternType="solid">
        <fgColor rgb="FFFFC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alignment vertical="center"/>
    </xf>
    <xf numFmtId="9" fontId="2" fillId="0" borderId="0" applyFont="0" applyFill="0" applyBorder="0" applyAlignment="0" applyProtection="0">
      <alignment vertical="center"/>
    </xf>
    <xf numFmtId="0" fontId="9" fillId="0" borderId="0" applyNumberFormat="0" applyFill="0" applyBorder="0" applyAlignment="0" applyProtection="0">
      <alignment vertical="center"/>
    </xf>
  </cellStyleXfs>
  <cellXfs count="56">
    <xf numFmtId="0" fontId="0" fillId="0" borderId="0" xfId="0">
      <alignment vertical="center"/>
    </xf>
    <xf numFmtId="14" fontId="0" fillId="0" borderId="0" xfId="0" applyNumberFormat="1">
      <alignment vertical="center"/>
    </xf>
    <xf numFmtId="176" fontId="0" fillId="0" borderId="0" xfId="1" applyNumberFormat="1" applyFont="1">
      <alignment vertical="center"/>
    </xf>
    <xf numFmtId="178" fontId="0" fillId="0" borderId="0" xfId="0" applyNumberFormat="1">
      <alignment vertical="center"/>
    </xf>
    <xf numFmtId="178" fontId="0" fillId="0" borderId="0" xfId="1" applyNumberFormat="1" applyFont="1">
      <alignment vertical="center"/>
    </xf>
    <xf numFmtId="179" fontId="0" fillId="0" borderId="0" xfId="0" applyNumberFormat="1">
      <alignment vertical="center"/>
    </xf>
    <xf numFmtId="177" fontId="0" fillId="0" borderId="0" xfId="0" applyNumberFormat="1">
      <alignment vertical="center"/>
    </xf>
    <xf numFmtId="2" fontId="0" fillId="0" borderId="0" xfId="0" applyNumberFormat="1">
      <alignment vertical="center"/>
    </xf>
    <xf numFmtId="2" fontId="0" fillId="0" borderId="0" xfId="0" applyNumberFormat="1" applyAlignment="1">
      <alignment horizontal="right" vertical="center"/>
    </xf>
    <xf numFmtId="0" fontId="0" fillId="0" borderId="1" xfId="0" applyBorder="1" applyAlignment="1">
      <alignment vertical="center" wrapText="1"/>
    </xf>
    <xf numFmtId="0" fontId="3" fillId="0" borderId="1" xfId="0" applyFont="1" applyBorder="1" applyAlignment="1">
      <alignment horizontal="center" vertical="center" wrapText="1"/>
    </xf>
    <xf numFmtId="0" fontId="3" fillId="0" borderId="1"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3" fillId="0" borderId="1" xfId="0" applyFont="1" applyBorder="1" applyAlignment="1">
      <alignment horizontal="center" vertical="center" wrapText="1"/>
    </xf>
    <xf numFmtId="0" fontId="8" fillId="2" borderId="8" xfId="0" applyFont="1" applyFill="1" applyBorder="1" applyAlignment="1">
      <alignment horizontal="center" vertical="center"/>
    </xf>
    <xf numFmtId="0" fontId="8" fillId="0" borderId="8" xfId="0" applyFont="1" applyFill="1" applyBorder="1" applyAlignment="1">
      <alignment horizontal="center" vertical="center"/>
    </xf>
    <xf numFmtId="180" fontId="0" fillId="2" borderId="8" xfId="0" applyNumberFormat="1" applyFill="1" applyBorder="1" applyAlignment="1">
      <alignment horizontal="center" vertical="center"/>
    </xf>
    <xf numFmtId="0" fontId="0" fillId="2" borderId="10" xfId="0" applyNumberFormat="1" applyFill="1"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180" fontId="0" fillId="0" borderId="10" xfId="0" applyNumberFormat="1" applyBorder="1" applyAlignment="1">
      <alignment horizontal="center" vertical="center"/>
    </xf>
    <xf numFmtId="182" fontId="0" fillId="0" borderId="8" xfId="0" applyNumberFormat="1" applyBorder="1" applyAlignment="1">
      <alignment horizontal="center" vertical="center"/>
    </xf>
    <xf numFmtId="178" fontId="0" fillId="0" borderId="10" xfId="0" applyNumberFormat="1" applyBorder="1" applyAlignment="1">
      <alignment horizontal="center" vertical="center"/>
    </xf>
    <xf numFmtId="2" fontId="0" fillId="0" borderId="8" xfId="0" applyNumberFormat="1" applyBorder="1" applyAlignment="1">
      <alignment horizontal="center" vertical="center"/>
    </xf>
    <xf numFmtId="10" fontId="0" fillId="0" borderId="8" xfId="1" applyNumberFormat="1" applyFont="1" applyBorder="1" applyAlignment="1">
      <alignment horizontal="center" vertical="center"/>
    </xf>
    <xf numFmtId="181" fontId="0" fillId="0" borderId="8" xfId="0" applyNumberFormat="1" applyBorder="1" applyAlignment="1">
      <alignment horizontal="center" vertical="center"/>
    </xf>
    <xf numFmtId="0" fontId="0" fillId="0" borderId="10" xfId="0" applyBorder="1" applyAlignment="1">
      <alignment horizontal="center" vertical="center"/>
    </xf>
    <xf numFmtId="181" fontId="0" fillId="0" borderId="10" xfId="0" applyNumberFormat="1" applyBorder="1" applyAlignment="1">
      <alignment horizontal="center" vertical="center"/>
    </xf>
    <xf numFmtId="0" fontId="3" fillId="0" borderId="1" xfId="0" applyFont="1" applyBorder="1" applyAlignment="1">
      <alignment horizontal="center" vertical="center" wrapText="1"/>
    </xf>
    <xf numFmtId="0" fontId="0" fillId="0" borderId="1" xfId="0" applyBorder="1" applyAlignment="1">
      <alignment horizontal="center" vertical="center"/>
    </xf>
    <xf numFmtId="14" fontId="10" fillId="0" borderId="1" xfId="0" applyNumberFormat="1" applyFont="1" applyBorder="1" applyAlignment="1">
      <alignment horizontal="center" vertical="center" wrapText="1"/>
    </xf>
    <xf numFmtId="0" fontId="11" fillId="0" borderId="1" xfId="0" applyFont="1" applyBorder="1" applyAlignment="1">
      <alignment horizontal="center" vertical="center" wrapText="1"/>
    </xf>
    <xf numFmtId="0" fontId="9" fillId="0" borderId="1" xfId="2" applyFill="1" applyBorder="1">
      <alignment vertical="center"/>
    </xf>
    <xf numFmtId="0" fontId="12" fillId="0" borderId="1" xfId="0" applyFont="1" applyBorder="1" applyAlignment="1">
      <alignment horizontal="left" vertical="center" wrapText="1"/>
    </xf>
    <xf numFmtId="0" fontId="12" fillId="0" borderId="1" xfId="0" applyFont="1" applyFill="1" applyBorder="1">
      <alignment vertical="center"/>
    </xf>
    <xf numFmtId="0" fontId="3" fillId="0" borderId="2" xfId="0" applyFont="1" applyBorder="1" applyAlignment="1">
      <alignment horizontal="center" vertical="center" wrapText="1"/>
    </xf>
    <xf numFmtId="0" fontId="3" fillId="0" borderId="1" xfId="0" applyFont="1" applyBorder="1" applyAlignment="1">
      <alignment horizontal="center" vertical="center" wrapText="1"/>
    </xf>
    <xf numFmtId="9" fontId="8" fillId="2" borderId="8" xfId="1" applyFont="1" applyFill="1" applyBorder="1" applyAlignment="1">
      <alignment horizontal="center" vertical="center"/>
    </xf>
    <xf numFmtId="0" fontId="0" fillId="0" borderId="7" xfId="0" applyFill="1" applyBorder="1" applyAlignment="1">
      <alignment horizontal="center" vertical="center"/>
    </xf>
    <xf numFmtId="0" fontId="0" fillId="0" borderId="8" xfId="0" applyBorder="1">
      <alignment vertical="center"/>
    </xf>
    <xf numFmtId="0" fontId="0" fillId="0" borderId="9" xfId="0" applyFill="1" applyBorder="1" applyAlignment="1">
      <alignment horizontal="center" vertical="center"/>
    </xf>
    <xf numFmtId="10" fontId="0" fillId="0" borderId="10" xfId="1" applyNumberFormat="1" applyFont="1" applyBorder="1">
      <alignment vertical="center"/>
    </xf>
    <xf numFmtId="17" fontId="0" fillId="0" borderId="0" xfId="0" applyNumberFormat="1">
      <alignment vertical="center"/>
    </xf>
    <xf numFmtId="0" fontId="3" fillId="0" borderId="1" xfId="0" applyFont="1" applyFill="1" applyBorder="1" applyAlignment="1">
      <alignment horizontal="center" vertical="center" wrapText="1"/>
    </xf>
    <xf numFmtId="0" fontId="0" fillId="0" borderId="1" xfId="0" applyFill="1" applyBorder="1" applyAlignment="1">
      <alignment vertical="center" wrapText="1"/>
    </xf>
    <xf numFmtId="0" fontId="3" fillId="0" borderId="1" xfId="0" applyFont="1" applyBorder="1" applyAlignment="1">
      <alignment horizontal="center" vertical="center" wrapText="1"/>
    </xf>
    <xf numFmtId="0" fontId="4" fillId="0" borderId="0" xfId="0" applyFont="1" applyAlignment="1">
      <alignment horizontal="center" vertical="center"/>
    </xf>
    <xf numFmtId="0" fontId="3" fillId="0" borderId="2" xfId="0" applyFont="1" applyBorder="1" applyAlignment="1">
      <alignment horizontal="center" vertical="center" wrapText="1"/>
    </xf>
    <xf numFmtId="0" fontId="3" fillId="0" borderId="3" xfId="0" applyFont="1" applyBorder="1" applyAlignment="1">
      <alignment horizontal="center" vertical="center" wrapText="1"/>
    </xf>
    <xf numFmtId="0" fontId="3" fillId="0" borderId="4" xfId="0" applyFont="1" applyBorder="1" applyAlignment="1">
      <alignment horizontal="center" vertical="center" wrapText="1"/>
    </xf>
    <xf numFmtId="0" fontId="0" fillId="0" borderId="11" xfId="0" applyBorder="1" applyAlignment="1">
      <alignment horizontal="left" vertical="center" wrapText="1"/>
    </xf>
    <xf numFmtId="0" fontId="0" fillId="0" borderId="12" xfId="0" applyBorder="1" applyAlignment="1">
      <alignment horizontal="left" vertical="center" wrapText="1"/>
    </xf>
    <xf numFmtId="0" fontId="3" fillId="0" borderId="5" xfId="0" applyFont="1" applyBorder="1" applyAlignment="1">
      <alignment horizontal="center" vertical="center"/>
    </xf>
    <xf numFmtId="0" fontId="3" fillId="0" borderId="6" xfId="0" applyFont="1" applyBorder="1" applyAlignment="1">
      <alignment horizontal="center" vertical="center"/>
    </xf>
    <xf numFmtId="184" fontId="0" fillId="0" borderId="0" xfId="1" applyNumberFormat="1" applyFont="1">
      <alignment vertical="center"/>
    </xf>
  </cellXfs>
  <cellStyles count="3">
    <cellStyle name="百分比" xfId="1" builtinId="5"/>
    <cellStyle name="常规" xfId="0" builtinId="0"/>
    <cellStyle name="超链接" xfId="2" builtinId="8"/>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wdf.rtq">
      <tp>
        <v>92.7</v>
        <stp/>
        <stp>132007.SH</stp>
        <stp>LastPrice</stp>
        <stp>RT_Price</stp>
        <tr r="C29" s="4"/>
      </tp>
      <tp>
        <v>118.202</v>
        <stp/>
        <stp>128016.SZ</stp>
        <stp>LastPrice</stp>
        <stp>RT_Price</stp>
        <tr r="C12" s="6"/>
        <tr r="C12" s="6"/>
        <tr r="C22" s="4"/>
      </tp>
      <tp>
        <v>101.9</v>
        <stp/>
        <stp>132006.SH</stp>
        <stp>LastPrice</stp>
        <stp>RT_Price</stp>
        <tr r="C28" s="4"/>
      </tp>
      <tp>
        <v>6.12</v>
        <stp/>
        <stp>002325.SZ</stp>
        <stp>LastPrice</stp>
        <stp>RT_Price</stp>
        <tr r="G19" s="4"/>
      </tp>
      <tp>
        <v>9.6300000000000008</v>
        <stp/>
        <stp>002245.SZ</stp>
        <stp>LastPrice</stp>
        <stp>RT_Price</stp>
        <tr r="G17" s="4"/>
      </tp>
      <tp>
        <v>6.15</v>
        <stp/>
        <stp>600185.SH</stp>
        <stp>LastPrice</stp>
        <stp>RT_Price</stp>
        <tr r="G2" s="4"/>
      </tp>
      <tp>
        <v>126.62</v>
        <stp/>
        <stp>110034.SH</stp>
        <stp>LastPrice</stp>
        <stp>RT_Price</stp>
        <tr r="C6" s="4"/>
      </tp>
      <tp>
        <v>37.69</v>
        <stp/>
        <stp>600535.SH</stp>
        <stp>LastPrice</stp>
        <stp>RT_Price</stp>
        <tr r="G24" s="4"/>
      </tp>
      <tp>
        <v>11.03</v>
        <stp/>
        <stp>600755.SH</stp>
        <stp>LastPrice</stp>
        <stp>RT_Price</stp>
        <tr r="G5" s="4"/>
      </tp>
      <tp>
        <v>126.5</v>
        <stp/>
        <stp>132005.SH</stp>
        <stp>LastPrice</stp>
        <stp>RT_Price</stp>
        <tr r="C27" s="4"/>
      </tp>
      <tp>
        <v>5.95</v>
        <stp/>
        <stp>002496.SZ</stp>
        <stp>LastPrice</stp>
        <stp>RT_Price</stp>
        <tr r="G18" s="4"/>
      </tp>
      <tp>
        <v>59.35</v>
        <stp/>
        <stp>601336.SH</stp>
        <stp>LastPrice</stp>
        <stp>RT_Price</stp>
        <tr r="G23" s="4"/>
      </tp>
      <tp>
        <v>107.7</v>
        <stp/>
        <stp>127004.SZ</stp>
        <stp>LastPrice</stp>
        <stp>RT_Price</stp>
        <tr r="C16" s="4"/>
      </tp>
      <tp>
        <v>116.7</v>
        <stp/>
        <stp>128014.SZ</stp>
        <stp>LastPrice</stp>
        <stp>RT_Price</stp>
        <tr r="C20" s="4"/>
      </tp>
      <tp>
        <v>92.67</v>
        <stp/>
        <stp>132004.SH</stp>
        <stp>LastPrice</stp>
        <stp>RT_Price</stp>
        <tr r="C26" s="4"/>
      </tp>
      <tp>
        <v>8.0299999999999994</v>
        <stp/>
        <stp>601727.SH</stp>
        <stp>LastPrice</stp>
        <stp>RT_Price</stp>
        <tr r="G7" s="4"/>
      </tp>
      <tp>
        <v>8.11</v>
        <stp/>
        <stp>601857.SH</stp>
        <stp>LastPrice</stp>
        <stp>RT_Price</stp>
        <tr r="G31" s="4"/>
      </tp>
      <tp>
        <v>114.28</v>
        <stp/>
        <stp>128015.SZ</stp>
        <stp>LastPrice</stp>
        <stp>RT_Price</stp>
        <tr r="C21" s="4"/>
      </tp>
      <tp>
        <v>102.10000000000001</v>
        <stp/>
        <stp>132003.SH</stp>
        <stp>LastPrice</stp>
        <stp>RT_Price</stp>
        <tr r="C25" s="4"/>
      </tp>
      <tp>
        <v>110.88</v>
        <stp/>
        <stp>113011.SH</stp>
        <stp>LastPrice</stp>
        <stp>RT_Price</stp>
        <tr r="C10" s="4"/>
      </tp>
      <tp>
        <v>12.18</v>
        <stp/>
        <stp>600160.SH</stp>
        <stp>LastPrice</stp>
        <stp>RT_Price</stp>
        <tr r="G34" s="4"/>
      </tp>
      <tp>
        <v>3.81</v>
        <stp/>
        <stp>600170.SH</stp>
        <stp>LastPrice</stp>
        <stp>RT_Price</stp>
        <tr r="G26" s="4"/>
      </tp>
      <tp>
        <v>104.44</v>
        <stp/>
        <stp>110031.SH</stp>
        <stp>LastPrice</stp>
        <stp>RT_Price</stp>
        <tr r="C3" s="4"/>
      </tp>
      <tp>
        <v>5.94</v>
        <stp/>
        <stp>600350.SH</stp>
        <stp>LastPrice</stp>
        <stp>RT_Price</stp>
        <tr r="G30" s="4"/>
      </tp>
      <tp>
        <v>6.88</v>
        <stp/>
        <stp>000700.SZ</stp>
        <stp>LastPrice</stp>
        <stp>RT_Price</stp>
        <tr r="G16" s="4"/>
      </tp>
      <tp>
        <v>105.471</v>
        <stp/>
        <stp>128012.SZ</stp>
        <stp>LastPrice</stp>
        <stp>RT_Price</stp>
        <tr r="C18" s="4"/>
      </tp>
      <tp>
        <v>103.84</v>
        <stp/>
        <stp>132012.SH</stp>
        <stp>LastPrice</stp>
        <stp>RT_Price</stp>
        <tr r="C34" s="4"/>
      </tp>
      <tp>
        <v>103.65</v>
        <stp/>
        <stp>132002.SH</stp>
        <stp>LastPrice</stp>
        <stp>RT_Price</stp>
        <tr r="C24" s="4"/>
      </tp>
      <tp>
        <v>40</v>
        <stp/>
        <stp>002271.SZ</stp>
        <stp>LastPrice</stp>
        <stp>RT_Price</stp>
        <tr r="C8" s="6"/>
        <tr r="G22" s="4"/>
      </tp>
      <tp>
        <v>105.71000000000001</v>
        <stp/>
        <stp>113010.SH</stp>
        <stp>LastPrice</stp>
        <stp>RT_Price</stp>
        <tr r="C9" s="4"/>
      </tp>
      <tp>
        <v>112</v>
        <stp/>
        <stp>110030.SH</stp>
        <stp>LastPrice</stp>
        <stp>RT_Price</stp>
        <tr r="C2" s="4"/>
      </tp>
      <tp>
        <v>8.14</v>
        <stp/>
        <stp>600031.SH</stp>
        <stp>LastPrice</stp>
        <stp>RT_Price</stp>
        <tr r="G4" s="4"/>
      </tp>
      <tp>
        <v>18.77</v>
        <stp/>
        <stp>600271.SH</stp>
        <stp>LastPrice</stp>
        <stp>RT_Price</stp>
        <tr r="G3" s="4"/>
      </tp>
      <tp>
        <v>3.69</v>
        <stp/>
        <stp>000861.SZ</stp>
        <stp>LastPrice</stp>
        <stp>RT_Price</stp>
        <tr r="G15" s="4"/>
      </tp>
      <tp>
        <v>14.88</v>
        <stp/>
        <stp>601311.SH</stp>
        <stp>LastPrice</stp>
        <stp>RT_Price</stp>
        <tr r="G11" s="4"/>
      </tp>
      <tp>
        <v>20.8</v>
        <stp/>
        <stp>601211.SH</stp>
        <stp>LastPrice</stp>
        <stp>RT_Price</stp>
        <tr r="G12" s="4"/>
      </tp>
      <tp>
        <v>39.770000000000003</v>
        <stp/>
        <stp>601601.SH</stp>
        <stp>LastPrice</stp>
        <stp>RT_Price</stp>
        <tr r="G27" s="4"/>
      </tp>
      <tp>
        <v>12.34</v>
        <stp/>
        <stp>601801.SH</stp>
        <stp>LastPrice</stp>
        <stp>RT_Price</stp>
        <tr r="G28" s="4"/>
      </tp>
      <tp>
        <v>101.18</v>
        <stp/>
        <stp>127003.SZ</stp>
        <stp>LastPrice</stp>
        <stp>RT_Price</stp>
        <tr r="C15" s="4"/>
      </tp>
      <tp>
        <v>101</v>
        <stp/>
        <stp>128013.SZ</stp>
        <stp>LastPrice</stp>
        <stp>RT_Price</stp>
        <tr r="C19" s="4"/>
      </tp>
      <tp>
        <v>92.62</v>
        <stp/>
        <stp>132011.SH</stp>
        <stp>LastPrice</stp>
        <stp>RT_Price</stp>
        <tr r="C33" s="4"/>
      </tp>
      <tp>
        <v>141.17000000000002</v>
        <stp/>
        <stp>132001.SH</stp>
        <stp>LastPrice</stp>
        <stp>RT_Price</stp>
        <tr r="C23" s="4"/>
      </tp>
      <tp>
        <v>121.45</v>
        <stp/>
        <stp>113013.SH</stp>
        <stp>LastPrice</stp>
        <stp>RT_Price</stp>
        <tr r="C12" s="4"/>
      </tp>
      <tp>
        <v>128.5</v>
        <stp/>
        <stp>110033.SH</stp>
        <stp>LastPrice</stp>
        <stp>RT_Price</stp>
        <tr r="C5" s="4"/>
      </tp>
      <tp>
        <v>9</v>
        <stp/>
        <stp>601222.SH</stp>
        <stp>LastPrice</stp>
        <stp>RT_Price</stp>
        <tr r="I5" s="6"/>
        <tr r="L8" s="6"/>
      </tp>
      <tp>
        <v>117</v>
        <stp/>
        <stp>128010.SZ</stp>
        <stp>LastPrice</stp>
        <stp>RT_Price</stp>
        <tr r="C17" s="4"/>
      </tp>
      <tp>
        <v>114.9</v>
        <stp/>
        <stp>132010.SH</stp>
        <stp>LastPrice</stp>
        <stp>RT_Price</stp>
        <tr r="C32" s="4"/>
      </tp>
      <tp>
        <v>21.97</v>
        <stp/>
        <stp>002753.SZ</stp>
        <stp>LastPrice</stp>
        <stp>RT_Price</stp>
        <tr r="G20" s="4"/>
      </tp>
      <tp>
        <v>17.22</v>
        <stp/>
        <stp>002603.SZ</stp>
        <stp>LastPrice</stp>
        <stp>RT_Price</stp>
        <tr r="G13" s="4"/>
      </tp>
      <tp>
        <v>110.7</v>
        <stp/>
        <stp>113012.SH</stp>
        <stp>LastPrice</stp>
        <stp>RT_Price</stp>
        <tr r="C11" s="4"/>
      </tp>
      <tp>
        <v>104.43</v>
        <stp/>
        <stp>123001.SZ</stp>
        <stp>LastPrice</stp>
        <stp>RT_Price</stp>
        <tr r="C14" s="4"/>
      </tp>
      <tp>
        <v>120.36</v>
        <stp/>
        <stp>110032.SH</stp>
        <stp>LastPrice</stp>
        <stp>RT_Price</stp>
        <tr r="C4" s="4"/>
      </tp>
      <tp>
        <v>109</v>
        <stp/>
        <stp>120001.SZ</stp>
        <stp>LastPrice</stp>
        <stp>RT_Price</stp>
        <tr r="C13" s="4"/>
      </tp>
      <tp>
        <v>17.13</v>
        <stp/>
        <stp>600633.SH</stp>
        <stp>LastPrice</stp>
        <stp>RT_Price</stp>
        <tr r="G33" s="4"/>
      </tp>
      <tp>
        <v>16.48</v>
        <stp/>
        <stp>601233.SH</stp>
        <stp>LastPrice</stp>
        <stp>RT_Price</stp>
        <tr r="G32" s="4"/>
      </tp>
      <tp>
        <v>131.99</v>
        <stp/>
        <stp>113009.SH</stp>
        <stp>LastPrice</stp>
        <stp>RT_Price</stp>
        <tr r="C8" s="4"/>
      </tp>
      <tp>
        <v>7.7700000000000005</v>
        <stp/>
        <stp>300058.SZ</stp>
        <stp>LastPrice</stp>
        <stp>RT_Price</stp>
        <tr r="G14" s="4"/>
      </tp>
      <tp>
        <v>21.8</v>
        <stp/>
        <stp>600998.SH</stp>
        <stp>LastPrice</stp>
        <stp>RT_Price</stp>
        <tr r="G6" s="4"/>
      </tp>
      <tp>
        <v>28.17</v>
        <stp/>
        <stp>601238.SH</stp>
        <stp>LastPrice</stp>
        <stp>RT_Price</stp>
        <tr r="G8" s="4"/>
      </tp>
      <tp>
        <v>9.2900000000000009</v>
        <stp/>
        <stp>601928.SH</stp>
        <stp>LastPrice</stp>
        <stp>RT_Price</stp>
        <tr r="G29" s="4"/>
      </tp>
      <tp>
        <v>4.0600000000000005</v>
        <stp/>
        <stp>601818.SH</stp>
        <stp>LastPrice</stp>
        <stp>RT_Price</stp>
        <tr r="G10" s="4"/>
      </tp>
      <tp>
        <v>12.46</v>
        <stp/>
        <stp>002279.SZ</stp>
        <stp>LastPrice</stp>
        <stp>RT_Price</stp>
        <tr r="G21" s="4"/>
      </tp>
      <tp>
        <v>106.75</v>
        <stp/>
        <stp>113008.SH</stp>
        <stp>LastPrice</stp>
        <stp>RT_Price</stp>
        <tr r="C7" s="4"/>
      </tp>
      <tp>
        <v>11.27</v>
        <stp/>
        <stp>600109.SH</stp>
        <stp>LastPrice</stp>
        <stp>RT_Price</stp>
        <tr r="G25" s="4"/>
      </tp>
      <tp>
        <v>6.38</v>
        <stp/>
        <stp>601199.SH</stp>
        <stp>LastPrice</stp>
        <stp>RT_Price</stp>
        <tr r="G9" s="4"/>
      </tp>
      <tp>
        <v>101.51</v>
        <stp/>
        <stp>132009.SH</stp>
        <stp>LastPrice</stp>
        <stp>RT_Price</stp>
        <tr r="C31" s="4"/>
      </tp>
      <tp>
        <v>95.3</v>
        <stp/>
        <stp>132008.SH</stp>
        <stp>LastPrice</stp>
        <stp>RT_Price</stp>
        <tr r="C30" s="4"/>
      </tp>
    </main>
  </volType>
</volTypes>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volatileDependencies" Target="volatileDependenci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19050</xdr:colOff>
          <xdr:row>2</xdr:row>
          <xdr:rowOff>19050</xdr:rowOff>
        </xdr:from>
        <xdr:to>
          <xdr:col>3</xdr:col>
          <xdr:colOff>1333500</xdr:colOff>
          <xdr:row>2</xdr:row>
          <xdr:rowOff>333375</xdr:rowOff>
        </xdr:to>
        <xdr:sp macro="" textlink="">
          <xdr:nvSpPr>
            <xdr:cNvPr id="1025" name="Button 1" hidden="1">
              <a:extLst>
                <a:ext uri="{63B3BB69-23CF-44E3-9099-C40C66FF867C}">
                  <a14:compatExt spid="_x0000_s1025"/>
                </a:ext>
                <a:ext uri="{FF2B5EF4-FFF2-40B4-BE49-F238E27FC236}">
                  <a16:creationId xmlns:a16="http://schemas.microsoft.com/office/drawing/2014/main" xmlns=""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zh-CN" altLang="en-US" sz="1100" b="1" i="0" u="none" strike="noStrike" baseline="0">
                  <a:solidFill>
                    <a:srgbClr val="800000"/>
                  </a:solidFill>
                  <a:latin typeface="宋体"/>
                  <a:ea typeface="宋体"/>
                </a:rPr>
                <a:t>本地调试数据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3</xdr:row>
          <xdr:rowOff>38100</xdr:rowOff>
        </xdr:from>
        <xdr:to>
          <xdr:col>3</xdr:col>
          <xdr:colOff>1333500</xdr:colOff>
          <xdr:row>3</xdr:row>
          <xdr:rowOff>361950</xdr:rowOff>
        </xdr:to>
        <xdr:sp macro="" textlink="">
          <xdr:nvSpPr>
            <xdr:cNvPr id="1027" name="Button 3" hidden="1">
              <a:extLst>
                <a:ext uri="{63B3BB69-23CF-44E3-9099-C40C66FF867C}">
                  <a14:compatExt spid="_x0000_s1027"/>
                </a:ext>
                <a:ext uri="{FF2B5EF4-FFF2-40B4-BE49-F238E27FC236}">
                  <a16:creationId xmlns:a16="http://schemas.microsoft.com/office/drawing/2014/main" xmlns=""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zh-CN" altLang="en-US" sz="1100" b="1" i="0" u="none" strike="noStrike" baseline="0">
                  <a:solidFill>
                    <a:srgbClr val="993300"/>
                  </a:solidFill>
                  <a:latin typeface="宋体"/>
                  <a:ea typeface="宋体"/>
                </a:rPr>
                <a:t>更新数据</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Wind\Wind.NET.Client\WindNET\DataBrowse\XLA\WindFunc.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definedNames>
      <definedName name="cb_anal_convprice"/>
      <definedName name="cb_anal_straightbondvalue"/>
      <definedName name="cb_clause_conversion2_swapshareprice"/>
      <definedName name="cb_info_maturitydate"/>
      <definedName name="S_Info_Name"/>
      <definedName name="s_risk_stdevr100"/>
    </definedNames>
    <sheetDataSet>
      <sheetData sheetId="0"/>
      <sheetData sheetId="1"/>
      <sheetData sheetId="2"/>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hyperlink" Target="https://github.com/liquanbao/hazc" TargetMode="Externa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D22"/>
  <sheetViews>
    <sheetView tabSelected="1" workbookViewId="0">
      <selection activeCell="D39" sqref="D39"/>
    </sheetView>
  </sheetViews>
  <sheetFormatPr defaultRowHeight="13.5"/>
  <cols>
    <col min="1" max="1" width="2.875" customWidth="1"/>
    <col min="2" max="2" width="12.625" customWidth="1"/>
    <col min="3" max="3" width="14.625" bestFit="1" customWidth="1"/>
    <col min="4" max="4" width="74.25" customWidth="1"/>
  </cols>
  <sheetData>
    <row r="2" spans="2:4" ht="42" customHeight="1">
      <c r="B2" s="47" t="s">
        <v>147</v>
      </c>
      <c r="C2" s="47"/>
      <c r="D2" s="47"/>
    </row>
    <row r="3" spans="2:4" ht="30" hidden="1" customHeight="1">
      <c r="B3" s="30" t="s">
        <v>202</v>
      </c>
      <c r="C3" s="30"/>
      <c r="D3" s="34" t="s">
        <v>198</v>
      </c>
    </row>
    <row r="4" spans="2:4" ht="30" customHeight="1">
      <c r="B4" s="29" t="s">
        <v>143</v>
      </c>
      <c r="C4" s="12">
        <f>Data!A2</f>
        <v>43033</v>
      </c>
      <c r="D4" s="35"/>
    </row>
    <row r="5" spans="2:4" ht="30" customHeight="1">
      <c r="B5" s="32" t="s">
        <v>199</v>
      </c>
      <c r="C5" s="31" t="s">
        <v>226</v>
      </c>
      <c r="D5" s="33" t="str">
        <f>IF(C5=Data!A1,"已更新至最新版","点此下载：最新版本 "&amp;Data!A1&amp;"")</f>
        <v>已更新至最新版</v>
      </c>
    </row>
    <row r="6" spans="2:4" ht="53.25" customHeight="1">
      <c r="B6" s="36" t="s">
        <v>139</v>
      </c>
      <c r="C6" s="51" t="s">
        <v>209</v>
      </c>
      <c r="D6" s="52"/>
    </row>
    <row r="7" spans="2:4" ht="30" customHeight="1">
      <c r="B7" s="46" t="s">
        <v>140</v>
      </c>
      <c r="C7" s="10" t="s">
        <v>131</v>
      </c>
      <c r="D7" s="9" t="s">
        <v>164</v>
      </c>
    </row>
    <row r="8" spans="2:4" ht="30" customHeight="1">
      <c r="B8" s="46"/>
      <c r="C8" s="10" t="s">
        <v>141</v>
      </c>
      <c r="D8" s="9" t="s">
        <v>165</v>
      </c>
    </row>
    <row r="9" spans="2:4" ht="30" customHeight="1">
      <c r="B9" s="46"/>
      <c r="C9" s="10" t="s">
        <v>142</v>
      </c>
      <c r="D9" s="9" t="s">
        <v>163</v>
      </c>
    </row>
    <row r="10" spans="2:4" ht="30" customHeight="1">
      <c r="B10" s="46"/>
      <c r="C10" s="13" t="s">
        <v>197</v>
      </c>
      <c r="D10" s="9" t="s">
        <v>196</v>
      </c>
    </row>
    <row r="11" spans="2:4" ht="30" hidden="1" customHeight="1">
      <c r="B11" s="46"/>
      <c r="C11" s="10" t="s">
        <v>148</v>
      </c>
      <c r="D11" s="9" t="s">
        <v>145</v>
      </c>
    </row>
    <row r="12" spans="2:4" ht="30" customHeight="1">
      <c r="B12" s="48" t="s">
        <v>150</v>
      </c>
      <c r="C12" s="10" t="s">
        <v>151</v>
      </c>
      <c r="D12" s="9" t="s">
        <v>152</v>
      </c>
    </row>
    <row r="13" spans="2:4" ht="30" customHeight="1">
      <c r="B13" s="49"/>
      <c r="C13" s="10" t="s">
        <v>153</v>
      </c>
      <c r="D13" s="9" t="s">
        <v>166</v>
      </c>
    </row>
    <row r="14" spans="2:4" ht="30" customHeight="1">
      <c r="B14" s="49"/>
      <c r="C14" s="11" t="s">
        <v>160</v>
      </c>
      <c r="D14" s="9" t="s">
        <v>228</v>
      </c>
    </row>
    <row r="15" spans="2:4" ht="30" customHeight="1">
      <c r="B15" s="49"/>
      <c r="C15" s="10" t="s">
        <v>154</v>
      </c>
      <c r="D15" s="9" t="s">
        <v>157</v>
      </c>
    </row>
    <row r="16" spans="2:4" ht="30" customHeight="1">
      <c r="B16" s="49"/>
      <c r="C16" s="10" t="s">
        <v>155</v>
      </c>
      <c r="D16" s="9" t="s">
        <v>156</v>
      </c>
    </row>
    <row r="17" spans="2:4" ht="30" customHeight="1">
      <c r="B17" s="50"/>
      <c r="C17" s="11" t="s">
        <v>161</v>
      </c>
      <c r="D17" s="9" t="s">
        <v>162</v>
      </c>
    </row>
    <row r="18" spans="2:4" ht="30" customHeight="1">
      <c r="B18" s="46" t="s">
        <v>159</v>
      </c>
      <c r="C18" s="37" t="s">
        <v>144</v>
      </c>
      <c r="D18" s="9" t="s">
        <v>146</v>
      </c>
    </row>
    <row r="19" spans="2:4" ht="30" customHeight="1">
      <c r="B19" s="46"/>
      <c r="C19" s="37" t="s">
        <v>158</v>
      </c>
      <c r="D19" s="9" t="s">
        <v>149</v>
      </c>
    </row>
    <row r="20" spans="2:4" ht="30" customHeight="1">
      <c r="B20" s="46"/>
      <c r="C20" s="37" t="s">
        <v>200</v>
      </c>
      <c r="D20" s="9" t="s">
        <v>201</v>
      </c>
    </row>
    <row r="21" spans="2:4" ht="30" customHeight="1">
      <c r="B21" s="46"/>
      <c r="C21" s="44" t="s">
        <v>204</v>
      </c>
      <c r="D21" s="45" t="s">
        <v>208</v>
      </c>
    </row>
    <row r="22" spans="2:4" ht="30" customHeight="1">
      <c r="B22" s="46"/>
      <c r="C22" s="44" t="s">
        <v>227</v>
      </c>
      <c r="D22" s="45" t="s">
        <v>265</v>
      </c>
    </row>
  </sheetData>
  <mergeCells count="5">
    <mergeCell ref="B7:B11"/>
    <mergeCell ref="B2:D2"/>
    <mergeCell ref="B12:B17"/>
    <mergeCell ref="C6:D6"/>
    <mergeCell ref="B18:B22"/>
  </mergeCells>
  <phoneticPr fontId="1" type="noConversion"/>
  <hyperlinks>
    <hyperlink ref="D5" r:id="rId1" tooltip="打开Github下载页面，点击Download下载" display="https://github.com/liquanbao/hazc"/>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local_Click">
                <anchor moveWithCells="1" sizeWithCells="1">
                  <from>
                    <xdr:col>3</xdr:col>
                    <xdr:colOff>19050</xdr:colOff>
                    <xdr:row>2</xdr:row>
                    <xdr:rowOff>19050</xdr:rowOff>
                  </from>
                  <to>
                    <xdr:col>3</xdr:col>
                    <xdr:colOff>1333500</xdr:colOff>
                    <xdr:row>2</xdr:row>
                    <xdr:rowOff>333375</xdr:rowOff>
                  </to>
                </anchor>
              </controlPr>
            </control>
          </mc:Choice>
        </mc:AlternateContent>
        <mc:AlternateContent xmlns:mc="http://schemas.openxmlformats.org/markup-compatibility/2006">
          <mc:Choice Requires="x14">
            <control shapeId="1027" r:id="rId5" name="Button 3">
              <controlPr defaultSize="0" print="0" autoFill="0" autoPict="0" macro="[0]!remote_Click">
                <anchor moveWithCells="1" sizeWithCells="1">
                  <from>
                    <xdr:col>3</xdr:col>
                    <xdr:colOff>19050</xdr:colOff>
                    <xdr:row>3</xdr:row>
                    <xdr:rowOff>38100</xdr:rowOff>
                  </from>
                  <to>
                    <xdr:col>3</xdr:col>
                    <xdr:colOff>1333500</xdr:colOff>
                    <xdr:row>3</xdr:row>
                    <xdr:rowOff>361950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34"/>
  <sheetViews>
    <sheetView workbookViewId="0">
      <selection activeCell="K26" sqref="K26"/>
    </sheetView>
  </sheetViews>
  <sheetFormatPr defaultRowHeight="13.5"/>
  <cols>
    <col min="1" max="1" width="10.5" customWidth="1"/>
    <col min="5" max="5" width="10.5" customWidth="1"/>
    <col min="9" max="10" width="11" bestFit="1" customWidth="1"/>
    <col min="14" max="17" width="9" style="2"/>
    <col min="18" max="18" width="9" style="5"/>
    <col min="19" max="19" width="9" style="3"/>
  </cols>
  <sheetData>
    <row r="1" spans="1:20">
      <c r="A1" t="s">
        <v>109</v>
      </c>
      <c r="B1" t="s">
        <v>109</v>
      </c>
      <c r="C1" t="s">
        <v>121</v>
      </c>
      <c r="D1" t="s">
        <v>129</v>
      </c>
      <c r="E1" t="s">
        <v>111</v>
      </c>
      <c r="F1" t="s">
        <v>112</v>
      </c>
      <c r="G1" t="s">
        <v>122</v>
      </c>
      <c r="H1" t="s">
        <v>124</v>
      </c>
      <c r="I1" t="s">
        <v>125</v>
      </c>
      <c r="J1" t="s">
        <v>126</v>
      </c>
      <c r="K1" s="2" t="s">
        <v>207</v>
      </c>
      <c r="L1" t="s">
        <v>123</v>
      </c>
      <c r="M1" t="s">
        <v>130</v>
      </c>
      <c r="N1" s="2" t="s">
        <v>131</v>
      </c>
      <c r="O1" s="2" t="s">
        <v>132</v>
      </c>
      <c r="P1" s="2" t="s">
        <v>133</v>
      </c>
      <c r="Q1" s="2" t="s">
        <v>134</v>
      </c>
      <c r="R1" s="5" t="s">
        <v>135</v>
      </c>
      <c r="S1" s="4" t="s">
        <v>137</v>
      </c>
      <c r="T1" s="2" t="s">
        <v>138</v>
      </c>
    </row>
    <row r="2" spans="1:20">
      <c r="A2" t="str">
        <f>Data!B2</f>
        <v>110030.SH</v>
      </c>
      <c r="B2" t="str">
        <f>Data!C2</f>
        <v>格力转债</v>
      </c>
      <c r="C2" s="8">
        <f>RTD("wdf.rtq", ,A2, "LastPrice","RT_Price")</f>
        <v>112</v>
      </c>
      <c r="D2" s="8">
        <f>[1]!cb_anal_straightbondvalue(A2,"")</f>
        <v>98.323899999999995</v>
      </c>
      <c r="E2" t="str">
        <f>Data!E2</f>
        <v>600185.SH</v>
      </c>
      <c r="F2" t="str">
        <f>Data!F2</f>
        <v>格力地产</v>
      </c>
      <c r="G2" s="7">
        <f>RTD("wdf.rtq", ,E2, "LastPrice","RT_Price")</f>
        <v>6.15</v>
      </c>
      <c r="H2" s="7">
        <f>[1]!cb_anal_convprice(A2,"")</f>
        <v>7.24</v>
      </c>
      <c r="I2" s="2">
        <f>Data!J2</f>
        <v>0.26769504128565902</v>
      </c>
      <c r="J2" s="2">
        <f>IF(I2=0,0.3,I2)</f>
        <v>0.26769504128565902</v>
      </c>
      <c r="K2" s="7">
        <f ca="1">([1]!cb_info_maturitydate(A2)-TODAY())/365</f>
        <v>2.1643835616438358</v>
      </c>
      <c r="L2" s="6">
        <f ca="1">BlackScholes(G2,H2,0.015,K2,0,J2,"C",0,0)*100/H2</f>
        <v>9.0185542845608619</v>
      </c>
      <c r="M2" s="6">
        <f ca="1">L2+D2</f>
        <v>107.34245428456086</v>
      </c>
      <c r="N2" s="2">
        <f ca="1">C2/M2-1</f>
        <v>4.3389595910413581E-2</v>
      </c>
      <c r="O2" s="2">
        <f>IF(Data!V2=0,"",Data!V2)</f>
        <v>3.11615042067972E-2</v>
      </c>
      <c r="P2" s="2">
        <f>IF(Data!W2=0,"",Data!W2)</f>
        <v>5.4123634693690199E-2</v>
      </c>
      <c r="Q2" s="2">
        <f ca="1">IFERROR(_xlfn.NORM.DIST(N2,O2,P2,TRUE),"")</f>
        <v>0.58937162891297334</v>
      </c>
      <c r="R2" s="5">
        <f ca="1">BlackScholes(G2,H2,0.015,K2,0,J2,"C",0,1)</f>
        <v>0.44632005381762924</v>
      </c>
      <c r="S2" s="3">
        <f ca="1">R2*100/H2</f>
        <v>6.1646416273153211</v>
      </c>
      <c r="T2" t="str">
        <f ca="1">ROUND(10*C2,0)&amp;":"&amp;ROUND(G2*S2*10,0)</f>
        <v>1120:379</v>
      </c>
    </row>
    <row r="3" spans="1:20">
      <c r="A3" t="str">
        <f>Data!B3</f>
        <v>110031.SH</v>
      </c>
      <c r="B3" t="str">
        <f>Data!C3</f>
        <v>航信转债</v>
      </c>
      <c r="C3" s="8">
        <f>RTD("wdf.rtq", ,A3, "LastPrice","RT_Price")</f>
        <v>104.44</v>
      </c>
      <c r="D3" s="8">
        <f>[1]!cb_anal_straightbondvalue(A3,"")</f>
        <v>93.962299999999999</v>
      </c>
      <c r="E3" t="str">
        <f>Data!E3</f>
        <v>600271.SH</v>
      </c>
      <c r="F3" t="str">
        <f>Data!F3</f>
        <v>航天信息</v>
      </c>
      <c r="G3" s="7">
        <f>RTD("wdf.rtq", ,E3, "LastPrice","RT_Price")</f>
        <v>18.77</v>
      </c>
      <c r="H3" s="7">
        <f>[1]!cb_anal_convprice(A3,"")</f>
        <v>42.8</v>
      </c>
      <c r="I3" s="2">
        <f>Data!J3</f>
        <v>0.245572957993377</v>
      </c>
      <c r="J3" s="2">
        <f t="shared" ref="J3:J34" si="0">IF(I3=0,0.3,I3)</f>
        <v>0.245572957993377</v>
      </c>
      <c r="K3" s="7">
        <f ca="1">([1]!cb_info_maturitydate(A3)-TODAY())/365</f>
        <v>3.6301369863013697</v>
      </c>
      <c r="L3" s="6">
        <f t="shared" ref="L3:L34" ca="1" si="1">BlackScholes(G3,H3,0.015,K3,0,J3,"C",0,0)*100/H3</f>
        <v>0.61660833127677017</v>
      </c>
      <c r="M3" s="6">
        <f t="shared" ref="M3:M34" ca="1" si="2">L3+D3</f>
        <v>94.578908331276764</v>
      </c>
      <c r="N3" s="2">
        <f t="shared" ref="N3:N34" ca="1" si="3">C3/M3-1</f>
        <v>0.10426311576977909</v>
      </c>
      <c r="O3" s="2">
        <f>IF(Data!V3=0,"",Data!V3)</f>
        <v>0.11839825558956001</v>
      </c>
      <c r="P3" s="2">
        <f>IF(Data!W3=0,"",Data!W3)</f>
        <v>2.5973742279770701E-2</v>
      </c>
      <c r="Q3" s="2">
        <f t="shared" ref="Q3:Q34" ca="1" si="4">IFERROR(_xlfn.NORM.DIST(N3,O3,P3,TRUE),"")</f>
        <v>0.29314888912740117</v>
      </c>
      <c r="R3" s="5">
        <f t="shared" ref="R3:R34" ca="1" si="5">BlackScholes(G3,H3,0.015,K3,0,J3,"C",0,1)</f>
        <v>7.9066753515829979E-2</v>
      </c>
      <c r="S3" s="3">
        <f t="shared" ref="S3:S34" ca="1" si="6">R3*100/H3</f>
        <v>0.18473540541081773</v>
      </c>
      <c r="T3" t="str">
        <f t="shared" ref="T3:T34" ca="1" si="7">ROUND(10*C3,0)&amp;":"&amp;ROUND(G3*S3*10,0)</f>
        <v>1044:35</v>
      </c>
    </row>
    <row r="4" spans="1:20">
      <c r="A4" t="str">
        <f>Data!B4</f>
        <v>110032.SH</v>
      </c>
      <c r="B4" t="str">
        <f>Data!C4</f>
        <v>三一转债</v>
      </c>
      <c r="C4" s="8">
        <f>RTD("wdf.rtq", ,A4, "LastPrice","RT_Price")</f>
        <v>120.36</v>
      </c>
      <c r="D4" s="8">
        <f>[1]!cb_anal_straightbondvalue(A4,"")</f>
        <v>91.191800000000001</v>
      </c>
      <c r="E4" t="str">
        <f>Data!E4</f>
        <v>600031.SH</v>
      </c>
      <c r="F4" t="str">
        <f>Data!F4</f>
        <v>三一重工</v>
      </c>
      <c r="G4" s="7">
        <f>RTD("wdf.rtq", ,E4, "LastPrice","RT_Price")</f>
        <v>8.14</v>
      </c>
      <c r="H4" s="7">
        <f>[1]!cb_anal_convprice(A4,"")</f>
        <v>7.43</v>
      </c>
      <c r="I4" s="2">
        <f>Data!J4</f>
        <v>0.28502078548887999</v>
      </c>
      <c r="J4" s="2">
        <f t="shared" si="0"/>
        <v>0.28502078548887999</v>
      </c>
      <c r="K4" s="7">
        <f ca="1">([1]!cb_info_maturitydate(A4)-TODAY())/365</f>
        <v>4.1945205479452055</v>
      </c>
      <c r="L4" s="6">
        <f t="shared" ca="1" si="1"/>
        <v>31.970590320785195</v>
      </c>
      <c r="M4" s="6">
        <f t="shared" ca="1" si="2"/>
        <v>123.16239032078519</v>
      </c>
      <c r="N4" s="2">
        <f t="shared" ca="1" si="3"/>
        <v>-2.2753620756191584E-2</v>
      </c>
      <c r="O4" s="2">
        <f>IF(Data!V4=0,"",Data!V4)</f>
        <v>5.9702097367431003E-3</v>
      </c>
      <c r="P4" s="2">
        <f>IF(Data!W4=0,"",Data!W4)</f>
        <v>3.5014940933848299E-2</v>
      </c>
      <c r="Q4" s="2">
        <f t="shared" ca="1" si="4"/>
        <v>0.20601380902457486</v>
      </c>
      <c r="R4" s="5">
        <f t="shared" ca="1" si="5"/>
        <v>0.71089388035065981</v>
      </c>
      <c r="S4" s="3">
        <f t="shared" ca="1" si="6"/>
        <v>9.567885334463794</v>
      </c>
      <c r="T4" t="str">
        <f t="shared" ca="1" si="7"/>
        <v>1204:779</v>
      </c>
    </row>
    <row r="5" spans="1:20">
      <c r="A5" t="str">
        <f>Data!B5</f>
        <v>110033.SH</v>
      </c>
      <c r="B5" t="str">
        <f>Data!C5</f>
        <v>国贸转债</v>
      </c>
      <c r="C5" s="8">
        <f>RTD("wdf.rtq", ,A5, "LastPrice","RT_Price")</f>
        <v>128.5</v>
      </c>
      <c r="D5" s="8">
        <f>[1]!cb_anal_straightbondvalue(A5,"")</f>
        <v>92.706299999999999</v>
      </c>
      <c r="E5" t="str">
        <f>Data!E5</f>
        <v>600755.SH</v>
      </c>
      <c r="F5" t="str">
        <f>Data!F5</f>
        <v>厦门国贸</v>
      </c>
      <c r="G5" s="7">
        <f>RTD("wdf.rtq", ,E5, "LastPrice","RT_Price")</f>
        <v>11.03</v>
      </c>
      <c r="H5" s="7">
        <f>[1]!cb_anal_convprice(A5,"")</f>
        <v>8.81</v>
      </c>
      <c r="I5" s="2">
        <f>Data!J5</f>
        <v>0.44114966767922098</v>
      </c>
      <c r="J5" s="2">
        <f t="shared" si="0"/>
        <v>0.44114966767922098</v>
      </c>
      <c r="K5" s="7">
        <f ca="1">([1]!cb_info_maturitydate(A5)-TODAY())/365</f>
        <v>4.1972602739726028</v>
      </c>
      <c r="L5" s="6">
        <f t="shared" ca="1" si="1"/>
        <v>55.621426226537153</v>
      </c>
      <c r="M5" s="6">
        <f t="shared" ca="1" si="2"/>
        <v>148.32772622653715</v>
      </c>
      <c r="N5" s="2">
        <f t="shared" ca="1" si="3"/>
        <v>-0.13367511746424787</v>
      </c>
      <c r="O5" s="2">
        <f>IF(Data!V5=0,"",Data!V5)</f>
        <v>-2.49919470814121E-2</v>
      </c>
      <c r="P5" s="2">
        <f>IF(Data!W5=0,"",Data!W5)</f>
        <v>5.4002330914998301E-2</v>
      </c>
      <c r="Q5" s="2">
        <f t="shared" ca="1" si="4"/>
        <v>2.2080236030084417E-2</v>
      </c>
      <c r="R5" s="5">
        <f t="shared" ca="1" si="5"/>
        <v>0.77941258479966713</v>
      </c>
      <c r="S5" s="3">
        <f t="shared" ca="1" si="6"/>
        <v>8.8469078864888431</v>
      </c>
      <c r="T5" t="str">
        <f t="shared" ca="1" si="7"/>
        <v>1285:976</v>
      </c>
    </row>
    <row r="6" spans="1:20">
      <c r="A6" t="str">
        <f>Data!B6</f>
        <v>110034.SH</v>
      </c>
      <c r="B6" t="str">
        <f>Data!C6</f>
        <v>九州转债</v>
      </c>
      <c r="C6" s="8">
        <f>RTD("wdf.rtq", ,A6, "LastPrice","RT_Price")</f>
        <v>126.62</v>
      </c>
      <c r="D6" s="8">
        <f>[1]!cb_anal_straightbondvalue(A6,"")</f>
        <v>91.593100000000007</v>
      </c>
      <c r="E6" t="str">
        <f>Data!E6</f>
        <v>600998.SH</v>
      </c>
      <c r="F6" t="str">
        <f>Data!F6</f>
        <v>九州通</v>
      </c>
      <c r="G6" s="7">
        <f>RTD("wdf.rtq", ,E6, "LastPrice","RT_Price")</f>
        <v>21.8</v>
      </c>
      <c r="H6" s="7">
        <f>[1]!cb_anal_convprice(A6,"")</f>
        <v>18.649999999999999</v>
      </c>
      <c r="I6" s="2">
        <f>Data!J6</f>
        <v>0.20967564189089699</v>
      </c>
      <c r="J6" s="2">
        <f t="shared" si="0"/>
        <v>0.20967564189089699</v>
      </c>
      <c r="K6" s="7">
        <f ca="1">([1]!cb_info_maturitydate(A6)-TODAY())/365</f>
        <v>4.2246575342465755</v>
      </c>
      <c r="L6" s="6">
        <f t="shared" ca="1" si="1"/>
        <v>31.728229034484855</v>
      </c>
      <c r="M6" s="6">
        <f t="shared" ca="1" si="2"/>
        <v>123.32132903448486</v>
      </c>
      <c r="N6" s="2">
        <f t="shared" ca="1" si="3"/>
        <v>2.6748584298768918E-2</v>
      </c>
      <c r="O6" s="2">
        <f>IF(Data!V6=0,"",Data!V6)</f>
        <v>1.4130729457391401E-2</v>
      </c>
      <c r="P6" s="2">
        <f>IF(Data!W6=0,"",Data!W6)</f>
        <v>4.7454660380455399E-2</v>
      </c>
      <c r="Q6" s="2">
        <f t="shared" ca="1" si="4"/>
        <v>0.6048391336589114</v>
      </c>
      <c r="R6" s="5">
        <f t="shared" ca="1" si="5"/>
        <v>0.76566647617267991</v>
      </c>
      <c r="S6" s="3">
        <f t="shared" ca="1" si="6"/>
        <v>4.1054502743843431</v>
      </c>
      <c r="T6" t="str">
        <f t="shared" ca="1" si="7"/>
        <v>1266:895</v>
      </c>
    </row>
    <row r="7" spans="1:20">
      <c r="A7" t="str">
        <f>Data!B7</f>
        <v>113008.SH</v>
      </c>
      <c r="B7" t="str">
        <f>Data!C7</f>
        <v>电气转债</v>
      </c>
      <c r="C7" s="8">
        <f>RTD("wdf.rtq", ,A7, "LastPrice","RT_Price")</f>
        <v>106.75</v>
      </c>
      <c r="D7" s="8">
        <f>[1]!cb_anal_straightbondvalue(A7,"")</f>
        <v>95.219399999999993</v>
      </c>
      <c r="E7" t="str">
        <f>Data!E7</f>
        <v>601727.SH</v>
      </c>
      <c r="F7" t="str">
        <f>Data!F7</f>
        <v>上海电气</v>
      </c>
      <c r="G7" s="7">
        <f>RTD("wdf.rtq", ,E7, "LastPrice","RT_Price")</f>
        <v>8.0299999999999994</v>
      </c>
      <c r="H7" s="7">
        <f>[1]!cb_anal_convprice(A7,"")</f>
        <v>10.46</v>
      </c>
      <c r="I7" s="2">
        <f>Data!J7</f>
        <v>0.31877828896240001</v>
      </c>
      <c r="J7" s="2">
        <f t="shared" si="0"/>
        <v>0.31877828896240001</v>
      </c>
      <c r="K7" s="7">
        <f ca="1">([1]!cb_info_maturitydate(A7)-TODAY())/365</f>
        <v>3.2739726027397262</v>
      </c>
      <c r="L7" s="6">
        <f t="shared" ca="1" si="1"/>
        <v>11.596779212665355</v>
      </c>
      <c r="M7" s="6">
        <f t="shared" ca="1" si="2"/>
        <v>106.81617921266535</v>
      </c>
      <c r="N7" s="2">
        <f t="shared" ca="1" si="3"/>
        <v>-6.1956169143240203E-4</v>
      </c>
      <c r="O7" s="2">
        <f>IF(Data!V7=0,"",Data!V7)</f>
        <v>9.5408772384830004E-2</v>
      </c>
      <c r="P7" s="2">
        <f>IF(Data!W7=0,"",Data!W7)</f>
        <v>7.8171163442768199E-2</v>
      </c>
      <c r="Q7" s="2">
        <f t="shared" ca="1" si="4"/>
        <v>0.10964151978137071</v>
      </c>
      <c r="R7" s="5">
        <f t="shared" ca="1" si="5"/>
        <v>0.4662090255461358</v>
      </c>
      <c r="S7" s="3">
        <f t="shared" ca="1" si="6"/>
        <v>4.4570652537871487</v>
      </c>
      <c r="T7" t="str">
        <f t="shared" ca="1" si="7"/>
        <v>1068:358</v>
      </c>
    </row>
    <row r="8" spans="1:20">
      <c r="A8" t="str">
        <f>Data!B8</f>
        <v>113009.SH</v>
      </c>
      <c r="B8" t="str">
        <f>Data!C8</f>
        <v>广汽转债</v>
      </c>
      <c r="C8" s="8">
        <f>RTD("wdf.rtq", ,A8, "LastPrice","RT_Price")</f>
        <v>131.99</v>
      </c>
      <c r="D8" s="8">
        <f>[1]!cb_anal_straightbondvalue(A8,"")</f>
        <v>90.894800000000004</v>
      </c>
      <c r="E8" t="str">
        <f>Data!E8</f>
        <v>601238.SH</v>
      </c>
      <c r="F8" t="str">
        <f>Data!F8</f>
        <v>广汽集团</v>
      </c>
      <c r="G8" s="7">
        <f>RTD("wdf.rtq", ,E8, "LastPrice","RT_Price")</f>
        <v>28.17</v>
      </c>
      <c r="H8" s="7">
        <f>[1]!cb_anal_convprice(A8,"")</f>
        <v>21.43</v>
      </c>
      <c r="I8" s="2">
        <f>Data!J8</f>
        <v>0.218331335842466</v>
      </c>
      <c r="J8" s="2">
        <f t="shared" si="0"/>
        <v>0.218331335842466</v>
      </c>
      <c r="K8" s="7">
        <f ca="1">([1]!cb_info_maturitydate(A8)-TODAY())/365</f>
        <v>4.2438356164383562</v>
      </c>
      <c r="L8" s="6">
        <f t="shared" ca="1" si="1"/>
        <v>44.080955139327429</v>
      </c>
      <c r="M8" s="6">
        <f t="shared" ca="1" si="2"/>
        <v>134.97575513932742</v>
      </c>
      <c r="N8" s="2">
        <f t="shared" ca="1" si="3"/>
        <v>-2.2120677422737045E-2</v>
      </c>
      <c r="O8" s="2">
        <f>IF(Data!V8=0,"",Data!V8)</f>
        <v>-3.8247052506146302E-2</v>
      </c>
      <c r="P8" s="2">
        <f>IF(Data!W8=0,"",Data!W8)</f>
        <v>2.59800153236746E-2</v>
      </c>
      <c r="Q8" s="2">
        <f t="shared" ca="1" si="4"/>
        <v>0.7326088256101565</v>
      </c>
      <c r="R8" s="5">
        <f t="shared" ca="1" si="5"/>
        <v>0.83507725117414533</v>
      </c>
      <c r="S8" s="3">
        <f t="shared" ca="1" si="6"/>
        <v>3.8967673876535014</v>
      </c>
      <c r="T8" t="str">
        <f t="shared" ca="1" si="7"/>
        <v>1320:1098</v>
      </c>
    </row>
    <row r="9" spans="1:20">
      <c r="A9" t="str">
        <f>Data!B9</f>
        <v>113010.SH</v>
      </c>
      <c r="B9" t="str">
        <f>Data!C9</f>
        <v>江南转债</v>
      </c>
      <c r="C9" s="8">
        <f>RTD("wdf.rtq", ,A9, "LastPrice","RT_Price")</f>
        <v>105.71000000000001</v>
      </c>
      <c r="D9" s="8">
        <f>[1]!cb_anal_straightbondvalue(A9,"")</f>
        <v>92.080399999999997</v>
      </c>
      <c r="E9" t="str">
        <f>Data!E9</f>
        <v>601199.SH</v>
      </c>
      <c r="F9" t="str">
        <f>Data!F9</f>
        <v>江南水务</v>
      </c>
      <c r="G9" s="7">
        <f>RTD("wdf.rtq", ,E9, "LastPrice","RT_Price")</f>
        <v>6.38</v>
      </c>
      <c r="H9" s="7">
        <f>[1]!cb_anal_convprice(A9,"")</f>
        <v>9.3000000000000007</v>
      </c>
      <c r="I9" s="2">
        <f>Data!J9</f>
        <v>0.15532667004932499</v>
      </c>
      <c r="J9" s="2">
        <f t="shared" si="0"/>
        <v>0.15532667004932499</v>
      </c>
      <c r="K9" s="7">
        <f ca="1">([1]!cb_info_maturitydate(A9)-TODAY())/365</f>
        <v>4.3945205479452056</v>
      </c>
      <c r="L9" s="6">
        <f t="shared" ca="1" si="1"/>
        <v>2.3478199068754146</v>
      </c>
      <c r="M9" s="6">
        <f t="shared" ca="1" si="2"/>
        <v>94.428219906875412</v>
      </c>
      <c r="N9" s="2">
        <f t="shared" ca="1" si="3"/>
        <v>0.11947466662244222</v>
      </c>
      <c r="O9" s="2">
        <f>IF(Data!V9=0,"",Data!V9)</f>
        <v>5.0877523082565802E-2</v>
      </c>
      <c r="P9" s="2">
        <f>IF(Data!W9=0,"",Data!W9)</f>
        <v>4.3374004676246802E-2</v>
      </c>
      <c r="Q9" s="2">
        <f t="shared" ca="1" si="4"/>
        <v>0.9431211627531696</v>
      </c>
      <c r="R9" s="5">
        <f t="shared" ca="1" si="5"/>
        <v>0.2141525405773187</v>
      </c>
      <c r="S9" s="3">
        <f t="shared" ca="1" si="6"/>
        <v>2.3027154900786955</v>
      </c>
      <c r="T9" t="str">
        <f t="shared" ca="1" si="7"/>
        <v>1057:147</v>
      </c>
    </row>
    <row r="10" spans="1:20">
      <c r="A10" t="str">
        <f>Data!B10</f>
        <v>113011.SH</v>
      </c>
      <c r="B10" t="str">
        <f>Data!C10</f>
        <v>光大转债</v>
      </c>
      <c r="C10" s="8">
        <f>RTD("wdf.rtq", ,A10, "LastPrice","RT_Price")</f>
        <v>110.88</v>
      </c>
      <c r="D10" s="8">
        <f>[1]!cb_anal_straightbondvalue(A10,"")</f>
        <v>85.526899999999998</v>
      </c>
      <c r="E10" t="str">
        <f>Data!E10</f>
        <v>601818.SH</v>
      </c>
      <c r="F10" t="str">
        <f>Data!F10</f>
        <v>光大银行</v>
      </c>
      <c r="G10" s="7">
        <f>RTD("wdf.rtq", ,E10, "LastPrice","RT_Price")</f>
        <v>4.0600000000000005</v>
      </c>
      <c r="H10" s="7">
        <f>[1]!cb_anal_convprice(A10,"")</f>
        <v>4.26</v>
      </c>
      <c r="I10" s="2">
        <f>Data!J10</f>
        <v>0.13501648454956799</v>
      </c>
      <c r="J10" s="2">
        <f t="shared" si="0"/>
        <v>0.13501648454956799</v>
      </c>
      <c r="K10" s="7">
        <f ca="1">([1]!cb_info_maturitydate(A10)-TODAY())/365</f>
        <v>5.3917808219178083</v>
      </c>
      <c r="L10" s="6">
        <f t="shared" ca="1" si="1"/>
        <v>13.280481365120163</v>
      </c>
      <c r="M10" s="6">
        <f t="shared" ca="1" si="2"/>
        <v>98.807381365120165</v>
      </c>
      <c r="N10" s="2">
        <f t="shared" ca="1" si="3"/>
        <v>0.12218336796385909</v>
      </c>
      <c r="O10" s="2">
        <f>IF(Data!V10=0,"",Data!V10)</f>
        <v>8.7702243338098104E-2</v>
      </c>
      <c r="P10" s="2">
        <f>IF(Data!W10=0,"",Data!W10)</f>
        <v>4.1634006857387898E-2</v>
      </c>
      <c r="Q10" s="2">
        <f t="shared" ca="1" si="4"/>
        <v>0.79622029105235825</v>
      </c>
      <c r="R10" s="5">
        <f t="shared" ca="1" si="5"/>
        <v>0.60308746958223935</v>
      </c>
      <c r="S10" s="3">
        <f t="shared" ca="1" si="6"/>
        <v>14.156982854043179</v>
      </c>
      <c r="T10" t="str">
        <f t="shared" ca="1" si="7"/>
        <v>1109:575</v>
      </c>
    </row>
    <row r="11" spans="1:20">
      <c r="A11" t="str">
        <f>Data!B11</f>
        <v>113012.SH</v>
      </c>
      <c r="B11" t="str">
        <f>Data!C11</f>
        <v>骆驼转债</v>
      </c>
      <c r="C11" s="8">
        <f>RTD("wdf.rtq", ,A11, "LastPrice","RT_Price")</f>
        <v>110.7</v>
      </c>
      <c r="D11" s="8">
        <f>[1]!cb_anal_straightbondvalue(A11,"")</f>
        <v>85.133099999999999</v>
      </c>
      <c r="E11" t="str">
        <f>Data!E11</f>
        <v>601311.SH</v>
      </c>
      <c r="F11" t="str">
        <f>Data!F11</f>
        <v>骆驼股份</v>
      </c>
      <c r="G11" s="7">
        <f>RTD("wdf.rtq", ,E11, "LastPrice","RT_Price")</f>
        <v>14.88</v>
      </c>
      <c r="H11" s="7">
        <f>[1]!cb_anal_convprice(A11,"")</f>
        <v>16.72</v>
      </c>
      <c r="I11" s="2">
        <f>Data!J11</f>
        <v>0.25706657608799099</v>
      </c>
      <c r="J11" s="2">
        <f t="shared" si="0"/>
        <v>0.25706657608799099</v>
      </c>
      <c r="K11" s="7">
        <f ca="1">([1]!cb_info_maturitydate(A11)-TODAY())/365</f>
        <v>5.4109589041095889</v>
      </c>
      <c r="L11" s="6">
        <f t="shared" ca="1" si="1"/>
        <v>19.727238065043267</v>
      </c>
      <c r="M11" s="6">
        <f t="shared" ca="1" si="2"/>
        <v>104.86033806504327</v>
      </c>
      <c r="N11" s="2">
        <f t="shared" ca="1" si="3"/>
        <v>5.5689901851494028E-2</v>
      </c>
      <c r="O11" s="2">
        <f>IF(Data!V11=0,"",Data!V11)</f>
        <v>5.69538287802097E-2</v>
      </c>
      <c r="P11" s="2">
        <f>IF(Data!W11=0,"",Data!W11)</f>
        <v>5.75473311490231E-2</v>
      </c>
      <c r="Q11" s="2">
        <f t="shared" ca="1" si="4"/>
        <v>0.49123863183667293</v>
      </c>
      <c r="R11" s="5">
        <f t="shared" ca="1" si="5"/>
        <v>0.59473744803542294</v>
      </c>
      <c r="S11" s="3">
        <f t="shared" ca="1" si="6"/>
        <v>3.5570421533219081</v>
      </c>
      <c r="T11" t="str">
        <f t="shared" ca="1" si="7"/>
        <v>1107:529</v>
      </c>
    </row>
    <row r="12" spans="1:20">
      <c r="A12" t="str">
        <f>Data!B12</f>
        <v>113013.SH</v>
      </c>
      <c r="B12" t="str">
        <f>Data!C12</f>
        <v>国君转债</v>
      </c>
      <c r="C12" s="8">
        <f>RTD("wdf.rtq", ,A12, "LastPrice","RT_Price")</f>
        <v>121.45</v>
      </c>
      <c r="D12" s="8">
        <f>[1]!cb_anal_straightbondvalue(A12,"")</f>
        <v>84.273399999999995</v>
      </c>
      <c r="E12" t="str">
        <f>Data!E12</f>
        <v>601211.SH</v>
      </c>
      <c r="F12" t="str">
        <f>Data!F12</f>
        <v>国泰君安</v>
      </c>
      <c r="G12" s="7">
        <f>RTD("wdf.rtq", ,E12, "LastPrice","RT_Price")</f>
        <v>20.8</v>
      </c>
      <c r="H12" s="7">
        <f>[1]!cb_anal_convprice(A12,"")</f>
        <v>20.2</v>
      </c>
      <c r="I12" s="2">
        <f>Data!J12</f>
        <v>0.205094259731958</v>
      </c>
      <c r="J12" s="2">
        <f t="shared" si="0"/>
        <v>0.205094259731958</v>
      </c>
      <c r="K12" s="7">
        <f ca="1">([1]!cb_info_maturitydate(A12)-TODAY())/365</f>
        <v>5.6986301369863011</v>
      </c>
      <c r="L12" s="6">
        <f t="shared" ca="1" si="1"/>
        <v>24.919358542735417</v>
      </c>
      <c r="M12" s="6">
        <f t="shared" ca="1" si="2"/>
        <v>109.19275854273542</v>
      </c>
      <c r="N12" s="2">
        <f t="shared" ca="1" si="3"/>
        <v>0.11225324481996113</v>
      </c>
      <c r="O12" s="2">
        <f>IF(Data!V12=0,"",Data!V12)</f>
        <v>0.117000112529123</v>
      </c>
      <c r="P12" s="2">
        <f>IF(Data!W12=0,"",Data!W12)</f>
        <v>6.8993363874156999E-2</v>
      </c>
      <c r="Q12" s="2">
        <f t="shared" ca="1" si="4"/>
        <v>0.47257369214680339</v>
      </c>
      <c r="R12" s="5">
        <f t="shared" ca="1" si="5"/>
        <v>0.68409278798204687</v>
      </c>
      <c r="S12" s="3">
        <f t="shared" ca="1" si="6"/>
        <v>3.3865979603071628</v>
      </c>
      <c r="T12" t="str">
        <f t="shared" ca="1" si="7"/>
        <v>1215:704</v>
      </c>
    </row>
    <row r="13" spans="1:20">
      <c r="A13" t="str">
        <f>Data!B13</f>
        <v>120001.SZ</v>
      </c>
      <c r="B13" t="str">
        <f>Data!C13</f>
        <v>16以岭EB</v>
      </c>
      <c r="C13" s="8">
        <f>RTD("wdf.rtq", ,A13, "LastPrice","RT_Price")</f>
        <v>109</v>
      </c>
      <c r="D13" s="8">
        <f>[1]!cb_anal_straightbondvalue(A13,"")</f>
        <v>94.570700000000002</v>
      </c>
      <c r="E13" t="str">
        <f>Data!E13</f>
        <v>002603.SZ</v>
      </c>
      <c r="F13" t="str">
        <f>Data!F13</f>
        <v>以岭药业</v>
      </c>
      <c r="G13" s="7">
        <f>RTD("wdf.rtq", ,E13, "LastPrice","RT_Price")</f>
        <v>17.22</v>
      </c>
      <c r="H13" s="7">
        <f>[1]!cb_anal_convprice(A13,"")</f>
        <v>17.8</v>
      </c>
      <c r="I13" s="2">
        <f>Data!J13</f>
        <v>0.16623028031711301</v>
      </c>
      <c r="J13" s="2">
        <f t="shared" si="0"/>
        <v>0.16623028031711301</v>
      </c>
      <c r="K13" s="7">
        <f ca="1">([1]!cb_info_maturitydate(A13)-TODAY())/365</f>
        <v>3.4794520547945207</v>
      </c>
      <c r="L13" s="6">
        <f t="shared" ca="1" si="1"/>
        <v>12.742359928541132</v>
      </c>
      <c r="M13" s="6">
        <f t="shared" ca="1" si="2"/>
        <v>107.31305992854114</v>
      </c>
      <c r="N13" s="2">
        <f t="shared" ca="1" si="3"/>
        <v>1.5719802161844765E-2</v>
      </c>
      <c r="O13" s="2">
        <f>IF(Data!V13=0,"",Data!V13)</f>
        <v>-2.1841254301074501E-4</v>
      </c>
      <c r="P13" s="2">
        <f>IF(Data!W13=0,"",Data!W13)</f>
        <v>2.02225965179662E-2</v>
      </c>
      <c r="Q13" s="2">
        <f t="shared" ca="1" si="4"/>
        <v>0.78469226430915318</v>
      </c>
      <c r="R13" s="5">
        <f t="shared" ca="1" si="5"/>
        <v>0.58570948153695446</v>
      </c>
      <c r="S13" s="3">
        <f t="shared" ca="1" si="6"/>
        <v>3.2905027052637892</v>
      </c>
      <c r="T13" t="str">
        <f t="shared" ca="1" si="7"/>
        <v>1090:567</v>
      </c>
    </row>
    <row r="14" spans="1:20">
      <c r="A14" t="str">
        <f>Data!B14</f>
        <v>123001.SZ</v>
      </c>
      <c r="B14" t="str">
        <f>Data!C14</f>
        <v>蓝标转债</v>
      </c>
      <c r="C14" s="8">
        <f>RTD("wdf.rtq", ,A14, "LastPrice","RT_Price")</f>
        <v>104.43</v>
      </c>
      <c r="D14" s="8">
        <f>[1]!cb_anal_straightbondvalue(A14,"")</f>
        <v>93.430599999999998</v>
      </c>
      <c r="E14" t="str">
        <f>Data!E14</f>
        <v>300058.SZ</v>
      </c>
      <c r="F14" t="str">
        <f>Data!F14</f>
        <v>蓝色光标</v>
      </c>
      <c r="G14" s="7">
        <f>RTD("wdf.rtq", ,E14, "LastPrice","RT_Price")</f>
        <v>7.7700000000000005</v>
      </c>
      <c r="H14" s="7">
        <f>[1]!cb_anal_convprice(A14,"")</f>
        <v>9.77</v>
      </c>
      <c r="I14" s="2">
        <f>Data!J14</f>
        <v>0.29333645484976301</v>
      </c>
      <c r="J14" s="2">
        <f t="shared" si="0"/>
        <v>0.29333645484976301</v>
      </c>
      <c r="K14" s="7">
        <f ca="1">([1]!cb_info_maturitydate(A14)-TODAY())/365</f>
        <v>4.1479452054794521</v>
      </c>
      <c r="L14" s="6">
        <f t="shared" ca="1" si="1"/>
        <v>13.916503075144794</v>
      </c>
      <c r="M14" s="6">
        <f t="shared" ca="1" si="2"/>
        <v>107.34710307514479</v>
      </c>
      <c r="N14" s="2">
        <f t="shared" ca="1" si="3"/>
        <v>-2.7174492758344493E-2</v>
      </c>
      <c r="O14" s="2">
        <f>IF(Data!V14=0,"",Data!V14)</f>
        <v>3.6960964395359203E-2</v>
      </c>
      <c r="P14" s="2">
        <f>IF(Data!W14=0,"",Data!W14)</f>
        <v>3.1993755535222497E-2</v>
      </c>
      <c r="Q14" s="2">
        <f t="shared" ca="1" si="4"/>
        <v>2.2501617820089893E-2</v>
      </c>
      <c r="R14" s="5">
        <f t="shared" ca="1" si="5"/>
        <v>0.50776601604949856</v>
      </c>
      <c r="S14" s="3">
        <f t="shared" ca="1" si="6"/>
        <v>5.197195660690876</v>
      </c>
      <c r="T14" t="str">
        <f t="shared" ca="1" si="7"/>
        <v>1044:404</v>
      </c>
    </row>
    <row r="15" spans="1:20">
      <c r="A15" t="str">
        <f>Data!B15</f>
        <v>127003.SZ</v>
      </c>
      <c r="B15" t="str">
        <f>Data!C15</f>
        <v>海印转债</v>
      </c>
      <c r="C15" s="8">
        <f>RTD("wdf.rtq", ,A15, "LastPrice","RT_Price")</f>
        <v>101.18</v>
      </c>
      <c r="D15" s="8">
        <f>[1]!cb_anal_straightbondvalue(A15,"")</f>
        <v>92.852999999999994</v>
      </c>
      <c r="E15" t="str">
        <f>Data!E15</f>
        <v>000861.SZ</v>
      </c>
      <c r="F15" t="str">
        <f>Data!F15</f>
        <v>海印股份</v>
      </c>
      <c r="G15" s="7">
        <f>RTD("wdf.rtq", ,E15, "LastPrice","RT_Price")</f>
        <v>3.69</v>
      </c>
      <c r="H15" s="7">
        <f>[1]!cb_anal_convprice(A15,"")</f>
        <v>5.25</v>
      </c>
      <c r="I15" s="2">
        <f>Data!J15</f>
        <v>0.191081936975731</v>
      </c>
      <c r="J15" s="2">
        <f t="shared" si="0"/>
        <v>0.191081936975731</v>
      </c>
      <c r="K15" s="7">
        <f ca="1">([1]!cb_info_maturitydate(A15)-TODAY())/365</f>
        <v>4.6191780821917812</v>
      </c>
      <c r="L15" s="6">
        <f t="shared" ca="1" si="1"/>
        <v>4.7769605676808542</v>
      </c>
      <c r="M15" s="6">
        <f t="shared" ca="1" si="2"/>
        <v>97.629960567680854</v>
      </c>
      <c r="N15" s="2">
        <f t="shared" ca="1" si="3"/>
        <v>3.6362192626905099E-2</v>
      </c>
      <c r="O15" s="2">
        <f>IF(Data!V15=0,"",Data!V15)</f>
        <v>1.4314904500717301E-2</v>
      </c>
      <c r="P15" s="2">
        <f>IF(Data!W15=0,"",Data!W15)</f>
        <v>3.4484888061081201E-2</v>
      </c>
      <c r="Q15" s="2">
        <f t="shared" ca="1" si="4"/>
        <v>0.73869647149697271</v>
      </c>
      <c r="R15" s="5">
        <f t="shared" ca="1" si="5"/>
        <v>0.31400535510135968</v>
      </c>
      <c r="S15" s="3">
        <f t="shared" ca="1" si="6"/>
        <v>5.9810543828830411</v>
      </c>
      <c r="T15" t="str">
        <f t="shared" ca="1" si="7"/>
        <v>1012:221</v>
      </c>
    </row>
    <row r="16" spans="1:20">
      <c r="A16" t="str">
        <f>Data!B16</f>
        <v>127004.SZ</v>
      </c>
      <c r="B16" t="str">
        <f>Data!C16</f>
        <v>模塑转债</v>
      </c>
      <c r="C16" s="8">
        <f>RTD("wdf.rtq", ,A16, "LastPrice","RT_Price")</f>
        <v>107.7</v>
      </c>
      <c r="D16" s="8">
        <f>[1]!cb_anal_straightbondvalue(A16,"")</f>
        <v>88.969899999999996</v>
      </c>
      <c r="E16" t="str">
        <f>Data!E16</f>
        <v>000700.SZ</v>
      </c>
      <c r="F16" t="str">
        <f>Data!F16</f>
        <v>模塑科技</v>
      </c>
      <c r="G16" s="7">
        <f>RTD("wdf.rtq", ,E16, "LastPrice","RT_Price")</f>
        <v>6.88</v>
      </c>
      <c r="H16" s="7">
        <f>[1]!cb_anal_convprice(A16,"")</f>
        <v>8</v>
      </c>
      <c r="I16" s="2">
        <f>Data!J16</f>
        <v>0.29018710421434002</v>
      </c>
      <c r="J16" s="2">
        <f t="shared" si="0"/>
        <v>0.29018710421434002</v>
      </c>
      <c r="K16" s="7">
        <f ca="1">([1]!cb_info_maturitydate(A16)-TODAY())/365</f>
        <v>5.602739726027397</v>
      </c>
      <c r="L16" s="6">
        <f t="shared" ca="1" si="1"/>
        <v>21.047730911843811</v>
      </c>
      <c r="M16" s="6">
        <f t="shared" ca="1" si="2"/>
        <v>110.01763091184381</v>
      </c>
      <c r="N16" s="2">
        <f t="shared" ca="1" si="3"/>
        <v>-2.1065995446683528E-2</v>
      </c>
      <c r="O16" s="2">
        <f>IF(Data!V16=0,"",Data!V16)</f>
        <v>-2.0331353797059901E-2</v>
      </c>
      <c r="P16" s="2">
        <f>IF(Data!W16=0,"",Data!W16)</f>
        <v>3.1374180920679298E-2</v>
      </c>
      <c r="Q16" s="2">
        <f t="shared" ca="1" si="4"/>
        <v>0.49065942674115903</v>
      </c>
      <c r="R16" s="5">
        <f t="shared" ca="1" si="5"/>
        <v>0.59724116513018743</v>
      </c>
      <c r="S16" s="3">
        <f t="shared" ca="1" si="6"/>
        <v>7.4655145641273428</v>
      </c>
      <c r="T16" t="str">
        <f t="shared" ca="1" si="7"/>
        <v>1077:514</v>
      </c>
    </row>
    <row r="17" spans="1:20">
      <c r="A17" t="str">
        <f>Data!B17</f>
        <v>128010.SZ</v>
      </c>
      <c r="B17" t="str">
        <f>Data!C17</f>
        <v>顺昌转债</v>
      </c>
      <c r="C17" s="8">
        <f>RTD("wdf.rtq", ,A17, "LastPrice","RT_Price")</f>
        <v>117</v>
      </c>
      <c r="D17" s="8">
        <f>[1]!cb_anal_straightbondvalue(A17,"")</f>
        <v>92.906899999999993</v>
      </c>
      <c r="E17" t="str">
        <f>Data!E17</f>
        <v>002245.SZ</v>
      </c>
      <c r="F17" t="str">
        <f>Data!F17</f>
        <v>澳洋顺昌</v>
      </c>
      <c r="G17" s="7">
        <f>RTD("wdf.rtq", ,E17, "LastPrice","RT_Price")</f>
        <v>9.6300000000000008</v>
      </c>
      <c r="H17" s="7">
        <f>[1]!cb_anal_convprice(A17,"")</f>
        <v>9.32</v>
      </c>
      <c r="I17" s="2">
        <f>Data!J17</f>
        <v>0.296669106692034</v>
      </c>
      <c r="J17" s="2">
        <f t="shared" si="0"/>
        <v>0.296669106692034</v>
      </c>
      <c r="K17" s="7">
        <f ca="1">([1]!cb_info_maturitydate(A17)-TODAY())/365</f>
        <v>4.2438356164383562</v>
      </c>
      <c r="L17" s="6">
        <f t="shared" ca="1" si="1"/>
        <v>28.697470091826013</v>
      </c>
      <c r="M17" s="6">
        <f t="shared" ca="1" si="2"/>
        <v>121.60437009182601</v>
      </c>
      <c r="N17" s="2">
        <f t="shared" ca="1" si="3"/>
        <v>-3.7863524874551469E-2</v>
      </c>
      <c r="O17" s="2">
        <f>IF(Data!V17=0,"",Data!V17)</f>
        <v>-3.8874718563437598E-2</v>
      </c>
      <c r="P17" s="2">
        <f>IF(Data!W17=0,"",Data!W17)</f>
        <v>4.8803666984673102E-2</v>
      </c>
      <c r="Q17" s="2">
        <f t="shared" ca="1" si="4"/>
        <v>0.50826534313759197</v>
      </c>
      <c r="R17" s="5">
        <f t="shared" ca="1" si="5"/>
        <v>0.67841669909210633</v>
      </c>
      <c r="S17" s="3">
        <f t="shared" ca="1" si="6"/>
        <v>7.2791491318895529</v>
      </c>
      <c r="T17" t="str">
        <f t="shared" ca="1" si="7"/>
        <v>1170:701</v>
      </c>
    </row>
    <row r="18" spans="1:20">
      <c r="A18" t="str">
        <f>Data!B18</f>
        <v>128012.SZ</v>
      </c>
      <c r="B18" t="str">
        <f>Data!C18</f>
        <v>辉丰转债</v>
      </c>
      <c r="C18" s="8">
        <f>RTD("wdf.rtq", ,A18, "LastPrice","RT_Price")</f>
        <v>105.471</v>
      </c>
      <c r="D18" s="8">
        <f>[1]!cb_anal_straightbondvalue(A18,"")</f>
        <v>87.195800000000006</v>
      </c>
      <c r="E18" t="str">
        <f>Data!E18</f>
        <v>002496.SZ</v>
      </c>
      <c r="F18" t="str">
        <f>Data!F18</f>
        <v>辉丰股份</v>
      </c>
      <c r="G18" s="7">
        <f>RTD("wdf.rtq", ,E18, "LastPrice","RT_Price")</f>
        <v>5.95</v>
      </c>
      <c r="H18" s="7">
        <f>[1]!cb_anal_convprice(A18,"")</f>
        <v>7.74</v>
      </c>
      <c r="I18" s="2">
        <f>Data!J18</f>
        <v>0.28824227560782001</v>
      </c>
      <c r="J18" s="2">
        <f t="shared" si="0"/>
        <v>0.28824227560782001</v>
      </c>
      <c r="K18" s="7">
        <f ca="1">([1]!cb_info_maturitydate(A18)-TODAY())/365</f>
        <v>4.4876712328767123</v>
      </c>
      <c r="L18" s="6">
        <f t="shared" ca="1" si="1"/>
        <v>13.128582141602992</v>
      </c>
      <c r="M18" s="6">
        <f t="shared" ca="1" si="2"/>
        <v>100.324382141603</v>
      </c>
      <c r="N18" s="2">
        <f t="shared" ca="1" si="3"/>
        <v>5.1299771287231177E-2</v>
      </c>
      <c r="O18" s="2">
        <f>IF(Data!V18=0,"",Data!V18)</f>
        <v>0.121119034071158</v>
      </c>
      <c r="P18" s="2">
        <f>IF(Data!W18=0,"",Data!W18)</f>
        <v>3.8277701752493003E-2</v>
      </c>
      <c r="Q18" s="2">
        <f t="shared" ca="1" si="4"/>
        <v>3.4074585095375989E-2</v>
      </c>
      <c r="R18" s="5">
        <f t="shared" ca="1" si="5"/>
        <v>0.49394410169643821</v>
      </c>
      <c r="S18" s="3">
        <f t="shared" ca="1" si="6"/>
        <v>6.3817067402640593</v>
      </c>
      <c r="T18" t="str">
        <f t="shared" ca="1" si="7"/>
        <v>1055:380</v>
      </c>
    </row>
    <row r="19" spans="1:20">
      <c r="A19" t="str">
        <f>Data!B19</f>
        <v>128013.SZ</v>
      </c>
      <c r="B19" t="str">
        <f>Data!C19</f>
        <v>洪涛转债</v>
      </c>
      <c r="C19" s="8">
        <f>RTD("wdf.rtq", ,A19, "LastPrice","RT_Price")</f>
        <v>101</v>
      </c>
      <c r="D19" s="8">
        <f>[1]!cb_anal_straightbondvalue(A19,"")</f>
        <v>90.495500000000007</v>
      </c>
      <c r="E19" t="str">
        <f>Data!E19</f>
        <v>002325.SZ</v>
      </c>
      <c r="F19" t="str">
        <f>Data!F19</f>
        <v>洪涛股份</v>
      </c>
      <c r="G19" s="7">
        <f>RTD("wdf.rtq", ,E19, "LastPrice","RT_Price")</f>
        <v>6.12</v>
      </c>
      <c r="H19" s="7">
        <f>[1]!cb_anal_convprice(A19,"")</f>
        <v>10.029999999999999</v>
      </c>
      <c r="I19" s="2">
        <f>Data!J19</f>
        <v>0.32808214244987099</v>
      </c>
      <c r="J19" s="2">
        <f t="shared" si="0"/>
        <v>0.32808214244987099</v>
      </c>
      <c r="K19" s="7">
        <f ca="1">([1]!cb_info_maturitydate(A19)-TODAY())/365</f>
        <v>4.7589041095890412</v>
      </c>
      <c r="L19" s="6">
        <f t="shared" ca="1" si="1"/>
        <v>8.9299469696023923</v>
      </c>
      <c r="M19" s="6">
        <f t="shared" ca="1" si="2"/>
        <v>99.425446969602405</v>
      </c>
      <c r="N19" s="2">
        <f t="shared" ca="1" si="3"/>
        <v>1.5836519506711166E-2</v>
      </c>
      <c r="O19" s="2">
        <f>IF(Data!V19=0,"",Data!V19)</f>
        <v>1.5338167463493599E-2</v>
      </c>
      <c r="P19" s="2">
        <f>IF(Data!W19=0,"",Data!W19)</f>
        <v>2.4729996767015601E-2</v>
      </c>
      <c r="Q19" s="2">
        <f t="shared" ca="1" si="4"/>
        <v>0.50803883021698959</v>
      </c>
      <c r="R19" s="5">
        <f t="shared" ca="1" si="5"/>
        <v>0.40801323640684645</v>
      </c>
      <c r="S19" s="3">
        <f t="shared" ca="1" si="6"/>
        <v>4.067928578333464</v>
      </c>
      <c r="T19" t="str">
        <f t="shared" ca="1" si="7"/>
        <v>1010:249</v>
      </c>
    </row>
    <row r="20" spans="1:20">
      <c r="A20" t="str">
        <f>Data!B20</f>
        <v>128014.SZ</v>
      </c>
      <c r="B20" t="str">
        <f>Data!C20</f>
        <v>永东转债</v>
      </c>
      <c r="C20" s="8">
        <f>RTD("wdf.rtq", ,A20, "LastPrice","RT_Price")</f>
        <v>116.7</v>
      </c>
      <c r="D20" s="8">
        <f>[1]!cb_anal_straightbondvalue(A20,"")</f>
        <v>87.968599999999995</v>
      </c>
      <c r="E20" t="str">
        <f>Data!E20</f>
        <v>002753.SZ</v>
      </c>
      <c r="F20" t="str">
        <f>Data!F20</f>
        <v>永东股份</v>
      </c>
      <c r="G20" s="7">
        <f>RTD("wdf.rtq", ,E20, "LastPrice","RT_Price")</f>
        <v>21.97</v>
      </c>
      <c r="H20" s="7">
        <f>[1]!cb_anal_convprice(A20,"")</f>
        <v>20.46</v>
      </c>
      <c r="I20" s="2">
        <f>Data!J20</f>
        <v>0.54318423743484301</v>
      </c>
      <c r="J20" s="2">
        <f t="shared" si="0"/>
        <v>0.54318423743484301</v>
      </c>
      <c r="K20" s="7">
        <f ca="1">([1]!cb_info_maturitydate(A20)-TODAY())/365</f>
        <v>5.4767123287671229</v>
      </c>
      <c r="L20" s="6">
        <f t="shared" ca="1" si="1"/>
        <v>55.308527826276844</v>
      </c>
      <c r="M20" s="6">
        <f t="shared" ca="1" si="2"/>
        <v>143.27712782627685</v>
      </c>
      <c r="N20" s="2">
        <f t="shared" ca="1" si="3"/>
        <v>-0.18549456029368172</v>
      </c>
      <c r="O20" s="2">
        <f>IF(Data!V20=0,"",Data!V20)</f>
        <v>-0.1640415740674</v>
      </c>
      <c r="P20" s="2">
        <f>IF(Data!W20=0,"",Data!W20)</f>
        <v>4.1499984098945099E-2</v>
      </c>
      <c r="Q20" s="2">
        <f t="shared" ca="1" si="4"/>
        <v>0.30259915265687426</v>
      </c>
      <c r="R20" s="5">
        <f t="shared" ca="1" si="5"/>
        <v>0.77524476159266698</v>
      </c>
      <c r="S20" s="3">
        <f t="shared" ca="1" si="6"/>
        <v>3.7890750810980789</v>
      </c>
      <c r="T20" t="str">
        <f t="shared" ca="1" si="7"/>
        <v>1167:832</v>
      </c>
    </row>
    <row r="21" spans="1:20">
      <c r="A21" t="str">
        <f>Data!B21</f>
        <v>128015.SZ</v>
      </c>
      <c r="B21" t="str">
        <f>Data!C21</f>
        <v>久其转债</v>
      </c>
      <c r="C21" s="8">
        <f>RTD("wdf.rtq", ,A21, "LastPrice","RT_Price")</f>
        <v>114.28</v>
      </c>
      <c r="D21" s="8">
        <f>[1]!cb_anal_straightbondvalue(A21,"")</f>
        <v>86.579800000000006</v>
      </c>
      <c r="E21" t="str">
        <f>Data!E21</f>
        <v>002279.SZ</v>
      </c>
      <c r="F21" t="str">
        <f>Data!F21</f>
        <v>久其软件</v>
      </c>
      <c r="G21" s="7">
        <f>RTD("wdf.rtq", ,E21, "LastPrice","RT_Price")</f>
        <v>12.46</v>
      </c>
      <c r="H21" s="7">
        <f>[1]!cb_anal_convprice(A21,"")</f>
        <v>12.9</v>
      </c>
      <c r="I21" s="2">
        <f>Data!J21</f>
        <v>0.29310988593468401</v>
      </c>
      <c r="J21" s="2">
        <f t="shared" si="0"/>
        <v>0.29310988593468401</v>
      </c>
      <c r="K21" s="7">
        <f ca="1">([1]!cb_info_maturitydate(A21)-TODAY())/365</f>
        <v>5.6191780821917812</v>
      </c>
      <c r="L21" s="6">
        <f t="shared" ca="1" si="1"/>
        <v>28.008601025801017</v>
      </c>
      <c r="M21" s="6">
        <f t="shared" ca="1" si="2"/>
        <v>114.58840102580102</v>
      </c>
      <c r="N21" s="2">
        <f t="shared" ca="1" si="3"/>
        <v>-2.6913808294748431E-3</v>
      </c>
      <c r="O21" s="2">
        <f>IF(Data!V21=0,"",Data!V21)</f>
        <v>-3.0229784669977399E-2</v>
      </c>
      <c r="P21" s="2">
        <f>IF(Data!W21=0,"",Data!W21)</f>
        <v>5.79586596943771E-2</v>
      </c>
      <c r="Q21" s="2">
        <f t="shared" ca="1" si="4"/>
        <v>0.6826559519238995</v>
      </c>
      <c r="R21" s="5">
        <f t="shared" ca="1" si="5"/>
        <v>0.66230741739538179</v>
      </c>
      <c r="S21" s="3">
        <f t="shared" ca="1" si="6"/>
        <v>5.1341660263207887</v>
      </c>
      <c r="T21" t="str">
        <f t="shared" ca="1" si="7"/>
        <v>1143:640</v>
      </c>
    </row>
    <row r="22" spans="1:20">
      <c r="A22" t="str">
        <f>Data!B22</f>
        <v>128016.SZ</v>
      </c>
      <c r="B22" t="str">
        <f>Data!C22</f>
        <v>雨虹转债</v>
      </c>
      <c r="C22" s="8">
        <f>RTD("wdf.rtq", ,A22, "LastPrice","RT_Price")</f>
        <v>118.202</v>
      </c>
      <c r="D22" s="8">
        <f>[1]!cb_anal_straightbondvalue(A22,"")</f>
        <v>83.836399999999998</v>
      </c>
      <c r="E22" t="str">
        <f>Data!E22</f>
        <v>002271.SZ</v>
      </c>
      <c r="F22" t="str">
        <f>Data!F22</f>
        <v>东方雨虹</v>
      </c>
      <c r="G22" s="7">
        <f>RTD("wdf.rtq", ,E22, "LastPrice","RT_Price")</f>
        <v>40</v>
      </c>
      <c r="H22" s="7">
        <f>[1]!cb_anal_convprice(A22,"")</f>
        <v>38.479999999999997</v>
      </c>
      <c r="I22" s="2">
        <f>Data!J22</f>
        <v>0.32555851118905799</v>
      </c>
      <c r="J22" s="2">
        <f t="shared" si="0"/>
        <v>0.32555851118905799</v>
      </c>
      <c r="K22" s="7">
        <f ca="1">([1]!cb_info_maturitydate(A22)-TODAY())/365</f>
        <v>5.9178082191780819</v>
      </c>
      <c r="L22" s="6">
        <f t="shared" ca="1" si="1"/>
        <v>36.679633095115811</v>
      </c>
      <c r="M22" s="6">
        <f t="shared" ca="1" si="2"/>
        <v>120.5160330951158</v>
      </c>
      <c r="N22" s="2">
        <f t="shared" ca="1" si="3"/>
        <v>-1.9201039361206651E-2</v>
      </c>
      <c r="O22" s="2">
        <f>IF(Data!V22=0,"",Data!V22)</f>
        <v>-0.126517139873149</v>
      </c>
      <c r="P22" s="2">
        <f>IF(Data!W22=0,"",Data!W22)</f>
        <v>7.0985948608566093E-2</v>
      </c>
      <c r="Q22" s="2">
        <f t="shared" ca="1" si="4"/>
        <v>0.934706806875652</v>
      </c>
      <c r="R22" s="5">
        <f t="shared" ca="1" si="5"/>
        <v>0.71123163992208593</v>
      </c>
      <c r="S22" s="3">
        <f t="shared" ca="1" si="6"/>
        <v>1.8483150725625934</v>
      </c>
      <c r="T22" t="str">
        <f t="shared" ca="1" si="7"/>
        <v>1182:739</v>
      </c>
    </row>
    <row r="23" spans="1:20">
      <c r="A23" t="str">
        <f>Data!B23</f>
        <v>132001.SH</v>
      </c>
      <c r="B23" t="str">
        <f>Data!C23</f>
        <v>14宝钢EB</v>
      </c>
      <c r="C23" s="8">
        <f>RTD("wdf.rtq", ,A23, "LastPrice","RT_Price")</f>
        <v>141.17000000000002</v>
      </c>
      <c r="D23" s="8">
        <f>[1]!cb_anal_straightbondvalue(A23,"")</f>
        <v>102.4936</v>
      </c>
      <c r="E23" t="str">
        <f>Data!E23</f>
        <v>601336.SH</v>
      </c>
      <c r="F23" t="str">
        <f>Data!F23</f>
        <v>新华保险</v>
      </c>
      <c r="G23" s="7">
        <f>RTD("wdf.rtq", ,E23, "LastPrice","RT_Price")</f>
        <v>59.35</v>
      </c>
      <c r="H23" s="7">
        <f>[1]!cb_anal_convprice(A23,"")</f>
        <v>42.31</v>
      </c>
      <c r="I23" s="2">
        <f>Data!J23</f>
        <v>0.355206944448408</v>
      </c>
      <c r="J23" s="2">
        <f t="shared" si="0"/>
        <v>0.355206944448408</v>
      </c>
      <c r="K23" s="7">
        <f ca="1">([1]!cb_info_maturitydate(A23)-TODAY())/365</f>
        <v>0.12328767123287671</v>
      </c>
      <c r="L23" s="6">
        <f t="shared" ca="1" si="1"/>
        <v>40.473160969652383</v>
      </c>
      <c r="M23" s="6">
        <f t="shared" ca="1" si="2"/>
        <v>142.9667609696524</v>
      </c>
      <c r="N23" s="2">
        <f t="shared" ca="1" si="3"/>
        <v>-1.2567683267537877E-2</v>
      </c>
      <c r="O23" s="2">
        <f>IF(Data!V23=0,"",Data!V23)</f>
        <v>3.8592897135716802E-3</v>
      </c>
      <c r="P23" s="2">
        <f>IF(Data!W23=0,"",Data!W23)</f>
        <v>2.6623779013171599E-2</v>
      </c>
      <c r="Q23" s="2">
        <f t="shared" ca="1" si="4"/>
        <v>0.26861610766278188</v>
      </c>
      <c r="R23" s="5">
        <f t="shared" ca="1" si="5"/>
        <v>0.99736999371878066</v>
      </c>
      <c r="S23" s="3">
        <f t="shared" ca="1" si="6"/>
        <v>2.3572914056222656</v>
      </c>
      <c r="T23" t="str">
        <f t="shared" ca="1" si="7"/>
        <v>1412:1399</v>
      </c>
    </row>
    <row r="24" spans="1:20">
      <c r="A24" t="str">
        <f>Data!B24</f>
        <v>132002.SH</v>
      </c>
      <c r="B24" t="str">
        <f>Data!C24</f>
        <v>15天集EB</v>
      </c>
      <c r="C24" s="8">
        <f>RTD("wdf.rtq", ,A24, "LastPrice","RT_Price")</f>
        <v>103.65</v>
      </c>
      <c r="D24" s="8">
        <f>[1]!cb_anal_straightbondvalue(A24,"")</f>
        <v>91.324600000000004</v>
      </c>
      <c r="E24" t="str">
        <f>Data!E24</f>
        <v>600535.SH</v>
      </c>
      <c r="F24" t="str">
        <f>Data!F24</f>
        <v>天士力</v>
      </c>
      <c r="G24" s="7">
        <f>RTD("wdf.rtq", ,E24, "LastPrice","RT_Price")</f>
        <v>37.69</v>
      </c>
      <c r="H24" s="7">
        <f>[1]!cb_anal_convprice(A24,"")</f>
        <v>56.02</v>
      </c>
      <c r="I24" s="2">
        <f>Data!J24</f>
        <v>0.16211215905291701</v>
      </c>
      <c r="J24" s="2">
        <f t="shared" si="0"/>
        <v>0.16211215905291701</v>
      </c>
      <c r="K24" s="7">
        <f ca="1">([1]!cb_info_maturitydate(A24)-TODAY())/365</f>
        <v>2.6191780821917807</v>
      </c>
      <c r="L24" s="6">
        <f t="shared" ca="1" si="1"/>
        <v>0.83789971601835211</v>
      </c>
      <c r="M24" s="6">
        <f t="shared" ca="1" si="2"/>
        <v>92.16249971601836</v>
      </c>
      <c r="N24" s="2">
        <f t="shared" ca="1" si="3"/>
        <v>0.12464397471182154</v>
      </c>
      <c r="O24" s="2">
        <f>IF(Data!V24=0,"",Data!V24)</f>
        <v>0.112125311405227</v>
      </c>
      <c r="P24" s="2">
        <f>IF(Data!W24=0,"",Data!W24)</f>
        <v>1.6211955549000699E-2</v>
      </c>
      <c r="Q24" s="2">
        <f t="shared" ca="1" si="4"/>
        <v>0.77999819630616596</v>
      </c>
      <c r="R24" s="5">
        <f t="shared" ca="1" si="5"/>
        <v>0.10941517096480725</v>
      </c>
      <c r="S24" s="3">
        <f t="shared" ca="1" si="6"/>
        <v>0.19531447869476481</v>
      </c>
      <c r="T24" t="str">
        <f t="shared" ca="1" si="7"/>
        <v>1037:74</v>
      </c>
    </row>
    <row r="25" spans="1:20">
      <c r="A25" t="str">
        <f>Data!B25</f>
        <v>132003.SH</v>
      </c>
      <c r="B25" t="str">
        <f>Data!C25</f>
        <v>15清控EB</v>
      </c>
      <c r="C25" s="8">
        <f>RTD("wdf.rtq", ,A25, "LastPrice","RT_Price")</f>
        <v>102.10000000000001</v>
      </c>
      <c r="D25" s="8">
        <f>[1]!cb_anal_straightbondvalue(A25,"")</f>
        <v>96.535799999999995</v>
      </c>
      <c r="E25" t="str">
        <f>Data!E25</f>
        <v>600109.SH</v>
      </c>
      <c r="F25" t="str">
        <f>Data!F25</f>
        <v>国金证券</v>
      </c>
      <c r="G25" s="7">
        <f>RTD("wdf.rtq", ,E25, "LastPrice","RT_Price")</f>
        <v>11.27</v>
      </c>
      <c r="H25" s="7">
        <f>[1]!cb_anal_convprice(A25,"")</f>
        <v>16.75</v>
      </c>
      <c r="I25" s="2">
        <f>Data!J25</f>
        <v>0.264327147549408</v>
      </c>
      <c r="J25" s="2">
        <f t="shared" si="0"/>
        <v>0.264327147549408</v>
      </c>
      <c r="K25" s="7">
        <f ca="1">([1]!cb_info_maturitydate(A25)-TODAY())/365</f>
        <v>1</v>
      </c>
      <c r="L25" s="6">
        <f t="shared" ca="1" si="1"/>
        <v>0.71384969803269016</v>
      </c>
      <c r="M25" s="6">
        <f t="shared" ca="1" si="2"/>
        <v>97.249649698032684</v>
      </c>
      <c r="N25" s="2">
        <f t="shared" ca="1" si="3"/>
        <v>4.9875247026884173E-2</v>
      </c>
      <c r="O25" s="2">
        <f>IF(Data!V25=0,"",Data!V25)</f>
        <v>8.6400796574885003E-2</v>
      </c>
      <c r="P25" s="2">
        <f>IF(Data!W25=0,"",Data!W25)</f>
        <v>3.83131282715264E-2</v>
      </c>
      <c r="Q25" s="2">
        <f t="shared" ca="1" si="4"/>
        <v>0.17020817616624739</v>
      </c>
      <c r="R25" s="5">
        <f t="shared" ca="1" si="5"/>
        <v>9.5065320532513514E-2</v>
      </c>
      <c r="S25" s="3">
        <f t="shared" ca="1" si="6"/>
        <v>0.56755415243291651</v>
      </c>
      <c r="T25" t="str">
        <f t="shared" ca="1" si="7"/>
        <v>1021:64</v>
      </c>
    </row>
    <row r="26" spans="1:20">
      <c r="A26" t="str">
        <f>Data!B26</f>
        <v>132004.SH</v>
      </c>
      <c r="B26" t="str">
        <f>Data!C26</f>
        <v>15国盛EB</v>
      </c>
      <c r="C26" s="8">
        <f>RTD("wdf.rtq", ,A26, "LastPrice","RT_Price")</f>
        <v>92.67</v>
      </c>
      <c r="D26" s="8">
        <f>[1]!cb_anal_straightbondvalue(A26,"")</f>
        <v>89.807400000000001</v>
      </c>
      <c r="E26" t="str">
        <f>Data!E26</f>
        <v>600170.SH</v>
      </c>
      <c r="F26" t="str">
        <f>Data!F26</f>
        <v>上海建工</v>
      </c>
      <c r="G26" s="7">
        <f>RTD("wdf.rtq", ,E26, "LastPrice","RT_Price")</f>
        <v>3.81</v>
      </c>
      <c r="H26" s="7">
        <f>[1]!cb_anal_convprice(A26,"")</f>
        <v>6.76</v>
      </c>
      <c r="I26" s="2">
        <f>Data!J26</f>
        <v>0.15229245398765201</v>
      </c>
      <c r="J26" s="2">
        <f t="shared" si="0"/>
        <v>0.15229245398765201</v>
      </c>
      <c r="K26" s="7">
        <f ca="1">([1]!cb_info_maturitydate(A26)-TODAY())/365</f>
        <v>4.0301369863013701</v>
      </c>
      <c r="L26" s="6">
        <f t="shared" ca="1" si="1"/>
        <v>0.42610793920189616</v>
      </c>
      <c r="M26" s="6">
        <f t="shared" ca="1" si="2"/>
        <v>90.2335079392019</v>
      </c>
      <c r="N26" s="2">
        <f t="shared" ca="1" si="3"/>
        <v>2.7002076240234096E-2</v>
      </c>
      <c r="O26" s="2">
        <f>IF(Data!V26=0,"",Data!V26)</f>
        <v>4.5574656401794901E-2</v>
      </c>
      <c r="P26" s="2">
        <f>IF(Data!W26=0,"",Data!W26)</f>
        <v>1.24568695047397E-2</v>
      </c>
      <c r="Q26" s="2">
        <f t="shared" ca="1" si="4"/>
        <v>6.7987199896599293E-2</v>
      </c>
      <c r="R26" s="5">
        <f t="shared" ca="1" si="5"/>
        <v>6.364273373059802E-2</v>
      </c>
      <c r="S26" s="3">
        <f t="shared" ca="1" si="6"/>
        <v>0.94146055814494112</v>
      </c>
      <c r="T26" t="str">
        <f t="shared" ca="1" si="7"/>
        <v>927:36</v>
      </c>
    </row>
    <row r="27" spans="1:20">
      <c r="A27" t="str">
        <f>Data!B27</f>
        <v>132005.SH</v>
      </c>
      <c r="B27" t="str">
        <f>Data!C27</f>
        <v>15国资EB</v>
      </c>
      <c r="C27" s="8">
        <f>RTD("wdf.rtq", ,A27, "LastPrice","RT_Price")</f>
        <v>126.5</v>
      </c>
      <c r="D27" s="8">
        <f>[1]!cb_anal_straightbondvalue(A27,"")</f>
        <v>99.237799999999993</v>
      </c>
      <c r="E27" t="str">
        <f>Data!E27</f>
        <v>601601.SH</v>
      </c>
      <c r="F27" t="str">
        <f>Data!F27</f>
        <v>中国太保</v>
      </c>
      <c r="G27" s="7">
        <f>RTD("wdf.rtq", ,E27, "LastPrice","RT_Price")</f>
        <v>39.770000000000003</v>
      </c>
      <c r="H27" s="7">
        <f>[1]!cb_anal_convprice(A27,"")</f>
        <v>37.58</v>
      </c>
      <c r="I27" s="2">
        <f>Data!J27</f>
        <v>0.28205285028708899</v>
      </c>
      <c r="J27" s="2">
        <f t="shared" si="0"/>
        <v>0.28205285028708899</v>
      </c>
      <c r="K27" s="7">
        <f ca="1">([1]!cb_info_maturitydate(A27)-TODAY())/365</f>
        <v>3.1205479452054794</v>
      </c>
      <c r="L27" s="6">
        <f t="shared" ca="1" si="1"/>
        <v>25.413200060362254</v>
      </c>
      <c r="M27" s="6">
        <f t="shared" ca="1" si="2"/>
        <v>124.65100006036225</v>
      </c>
      <c r="N27" s="2">
        <f t="shared" ca="1" si="3"/>
        <v>1.483341440295205E-2</v>
      </c>
      <c r="O27" s="2">
        <f>IF(Data!V27=0,"",Data!V27)</f>
        <v>4.4406559995891902E-2</v>
      </c>
      <c r="P27" s="2">
        <f>IF(Data!W27=0,"",Data!W27)</f>
        <v>2.4059529518660201E-2</v>
      </c>
      <c r="Q27" s="2">
        <f t="shared" ca="1" si="4"/>
        <v>0.10950486529344694</v>
      </c>
      <c r="R27" s="5">
        <f t="shared" ca="1" si="5"/>
        <v>0.67607452666553325</v>
      </c>
      <c r="S27" s="3">
        <f t="shared" ca="1" si="6"/>
        <v>1.7990274791525633</v>
      </c>
      <c r="T27" t="str">
        <f t="shared" ca="1" si="7"/>
        <v>1265:715</v>
      </c>
    </row>
    <row r="28" spans="1:20">
      <c r="A28" t="str">
        <f>Data!B28</f>
        <v>132006.SH</v>
      </c>
      <c r="B28" t="str">
        <f>Data!C28</f>
        <v>16皖新EB</v>
      </c>
      <c r="C28" s="8">
        <f>RTD("wdf.rtq", ,A28, "LastPrice","RT_Price")</f>
        <v>101.9</v>
      </c>
      <c r="D28" s="8">
        <f>[1]!cb_anal_straightbondvalue(A28,"")</f>
        <v>97.129099999999994</v>
      </c>
      <c r="E28" t="str">
        <f>Data!E28</f>
        <v>601801.SH</v>
      </c>
      <c r="F28" t="str">
        <f>Data!F28</f>
        <v>皖新传媒</v>
      </c>
      <c r="G28" s="7">
        <f>RTD("wdf.rtq", ,E28, "LastPrice","RT_Price")</f>
        <v>12.34</v>
      </c>
      <c r="H28" s="7">
        <f>[1]!cb_anal_convprice(A28,"")</f>
        <v>16.190000000000001</v>
      </c>
      <c r="I28" s="2">
        <f>Data!J28</f>
        <v>0.274239910285833</v>
      </c>
      <c r="J28" s="2">
        <f t="shared" si="0"/>
        <v>0.274239910285833</v>
      </c>
      <c r="K28" s="7">
        <f ca="1">([1]!cb_info_maturitydate(A28)-TODAY())/365</f>
        <v>3.6602739726027398</v>
      </c>
      <c r="L28" s="6">
        <f t="shared" ca="1" si="1"/>
        <v>9.9069613743887235</v>
      </c>
      <c r="M28" s="6">
        <f t="shared" ca="1" si="2"/>
        <v>107.03606137438872</v>
      </c>
      <c r="N28" s="2">
        <f t="shared" ca="1" si="3"/>
        <v>-4.7984401784216479E-2</v>
      </c>
      <c r="O28" s="2">
        <f>IF(Data!V28=0,"",Data!V28)</f>
        <v>-0.13616503309536199</v>
      </c>
      <c r="P28" s="2">
        <f>IF(Data!W28=0,"",Data!W28)</f>
        <v>6.8392913524326596E-2</v>
      </c>
      <c r="Q28" s="2">
        <f t="shared" ca="1" si="4"/>
        <v>0.9013572811042716</v>
      </c>
      <c r="R28" s="5">
        <f t="shared" ca="1" si="5"/>
        <v>0.44015462527476834</v>
      </c>
      <c r="S28" s="3">
        <f t="shared" ca="1" si="6"/>
        <v>2.718682058522349</v>
      </c>
      <c r="T28" t="str">
        <f t="shared" ca="1" si="7"/>
        <v>1019:335</v>
      </c>
    </row>
    <row r="29" spans="1:20">
      <c r="A29" t="str">
        <f>Data!B29</f>
        <v>132007.SH</v>
      </c>
      <c r="B29" t="str">
        <f>Data!C29</f>
        <v>16凤凰EB</v>
      </c>
      <c r="C29" s="8">
        <f>RTD("wdf.rtq", ,A29, "LastPrice","RT_Price")</f>
        <v>92.7</v>
      </c>
      <c r="D29" s="8">
        <f>[1]!cb_anal_straightbondvalue(A29,"")</f>
        <v>91.520799999999994</v>
      </c>
      <c r="E29" t="str">
        <f>Data!E29</f>
        <v>601928.SH</v>
      </c>
      <c r="F29" t="str">
        <f>Data!F29</f>
        <v>凤凰传媒</v>
      </c>
      <c r="G29" s="7">
        <f>RTD("wdf.rtq", ,E29, "LastPrice","RT_Price")</f>
        <v>9.2900000000000009</v>
      </c>
      <c r="H29" s="7">
        <f>[1]!cb_anal_convprice(A29,"")</f>
        <v>15.75</v>
      </c>
      <c r="I29" s="2">
        <f>Data!J29</f>
        <v>0.12822129824857301</v>
      </c>
      <c r="J29" s="2">
        <f t="shared" si="0"/>
        <v>0.12822129824857301</v>
      </c>
      <c r="K29" s="7">
        <f ca="1">([1]!cb_info_maturitydate(A29)-TODAY())/365</f>
        <v>4.0164383561643833</v>
      </c>
      <c r="L29" s="6">
        <f t="shared" ca="1" si="1"/>
        <v>0.25834765979822633</v>
      </c>
      <c r="M29" s="6">
        <f t="shared" ca="1" si="2"/>
        <v>91.779147659798227</v>
      </c>
      <c r="N29" s="2">
        <f t="shared" ca="1" si="3"/>
        <v>1.0033350316295486E-2</v>
      </c>
      <c r="O29" s="2">
        <f>IF(Data!V29=0,"",Data!V29)</f>
        <v>5.1869192416294702E-2</v>
      </c>
      <c r="P29" s="2">
        <f>IF(Data!W29=0,"",Data!W29)</f>
        <v>3.9371699060963702E-2</v>
      </c>
      <c r="Q29" s="2">
        <f t="shared" ca="1" si="4"/>
        <v>0.14398472021677114</v>
      </c>
      <c r="R29" s="5">
        <f t="shared" ca="1" si="5"/>
        <v>4.5379714613719396E-2</v>
      </c>
      <c r="S29" s="3">
        <f t="shared" ca="1" si="6"/>
        <v>0.28812517215059935</v>
      </c>
      <c r="T29" t="str">
        <f t="shared" ca="1" si="7"/>
        <v>927:27</v>
      </c>
    </row>
    <row r="30" spans="1:20">
      <c r="A30" t="str">
        <f>Data!B30</f>
        <v>132008.SH</v>
      </c>
      <c r="B30" t="str">
        <f>Data!C30</f>
        <v>17山高EB</v>
      </c>
      <c r="C30" s="8">
        <f>RTD("wdf.rtq", ,A30, "LastPrice","RT_Price")</f>
        <v>95.3</v>
      </c>
      <c r="D30" s="8">
        <f>[1]!cb_anal_straightbondvalue(A30,"")</f>
        <v>93.290599999999998</v>
      </c>
      <c r="E30" t="str">
        <f>Data!E30</f>
        <v>600350.SH</v>
      </c>
      <c r="F30" t="str">
        <f>Data!F30</f>
        <v>山东高速</v>
      </c>
      <c r="G30" s="7">
        <f>RTD("wdf.rtq", ,E30, "LastPrice","RT_Price")</f>
        <v>5.94</v>
      </c>
      <c r="H30" s="7">
        <f>[1]!cb_anal_convprice(A30,"")</f>
        <v>9.8000000000000007</v>
      </c>
      <c r="I30" s="2">
        <f>Data!J30</f>
        <v>0.17402163147931801</v>
      </c>
      <c r="J30" s="2">
        <f t="shared" si="0"/>
        <v>0.17402163147931801</v>
      </c>
      <c r="K30" s="7">
        <f ca="1">([1]!cb_info_maturitydate(A30)-TODAY())/365</f>
        <v>4.4958904109589044</v>
      </c>
      <c r="L30" s="6">
        <f t="shared" ca="1" si="1"/>
        <v>1.6241725733065266</v>
      </c>
      <c r="M30" s="6">
        <f t="shared" ca="1" si="2"/>
        <v>94.914772573306522</v>
      </c>
      <c r="N30" s="2">
        <f t="shared" ca="1" si="3"/>
        <v>4.058666699074065E-3</v>
      </c>
      <c r="O30" s="2">
        <f>IF(Data!V30=0,"",Data!V30)</f>
        <v>-2.8048428896931101E-3</v>
      </c>
      <c r="P30" s="2">
        <f>IF(Data!W30=0,"",Data!W30)</f>
        <v>1.2948681683487E-2</v>
      </c>
      <c r="Q30" s="2">
        <f t="shared" ca="1" si="4"/>
        <v>0.70196299715180699</v>
      </c>
      <c r="R30" s="5">
        <f t="shared" ca="1" si="5"/>
        <v>0.16117845782099724</v>
      </c>
      <c r="S30" s="3">
        <f t="shared" ca="1" si="6"/>
        <v>1.644678141030584</v>
      </c>
      <c r="T30" t="str">
        <f t="shared" ca="1" si="7"/>
        <v>953:98</v>
      </c>
    </row>
    <row r="31" spans="1:20">
      <c r="A31" t="str">
        <f>Data!B31</f>
        <v>132009.SH</v>
      </c>
      <c r="B31" t="str">
        <f>Data!C31</f>
        <v>17中油EB</v>
      </c>
      <c r="C31" s="8">
        <f>RTD("wdf.rtq", ,A31, "LastPrice","RT_Price")</f>
        <v>101.51</v>
      </c>
      <c r="D31" s="8">
        <f>[1]!cb_anal_straightbondvalue(A31,"")</f>
        <v>88.383600000000001</v>
      </c>
      <c r="E31" t="str">
        <f>Data!E31</f>
        <v>601857.SH</v>
      </c>
      <c r="F31" t="str">
        <f>Data!F31</f>
        <v>中国石油</v>
      </c>
      <c r="G31" s="7">
        <f>RTD("wdf.rtq", ,E31, "LastPrice","RT_Price")</f>
        <v>8.11</v>
      </c>
      <c r="H31" s="7">
        <f>[1]!cb_anal_convprice(A31,"")</f>
        <v>8.92</v>
      </c>
      <c r="I31" s="2">
        <f>Data!J31</f>
        <v>0.122897659343153</v>
      </c>
      <c r="J31" s="2">
        <f t="shared" si="0"/>
        <v>0.122897659343153</v>
      </c>
      <c r="K31" s="7">
        <f ca="1">([1]!cb_info_maturitydate(A31)-TODAY())/365</f>
        <v>4.7150684931506852</v>
      </c>
      <c r="L31" s="6">
        <f t="shared" ca="1" si="1"/>
        <v>8.6850087908534164</v>
      </c>
      <c r="M31" s="6">
        <f t="shared" ca="1" si="2"/>
        <v>97.068608790853418</v>
      </c>
      <c r="N31" s="2">
        <f t="shared" ca="1" si="3"/>
        <v>4.5755175277273574E-2</v>
      </c>
      <c r="O31" s="2">
        <f>IF(Data!V31=0,"",Data!V31)</f>
        <v>5.3689456691043601E-2</v>
      </c>
      <c r="P31" s="2">
        <f>IF(Data!W31=0,"",Data!W31)</f>
        <v>1.5040809156659901E-2</v>
      </c>
      <c r="Q31" s="2">
        <f t="shared" ca="1" si="4"/>
        <v>0.2989173327166742</v>
      </c>
      <c r="R31" s="5">
        <f t="shared" ca="1" si="5"/>
        <v>0.51664240751495161</v>
      </c>
      <c r="S31" s="3">
        <f t="shared" ca="1" si="6"/>
        <v>5.791955241199009</v>
      </c>
      <c r="T31" t="str">
        <f t="shared" ca="1" si="7"/>
        <v>1015:470</v>
      </c>
    </row>
    <row r="32" spans="1:20">
      <c r="A32" t="str">
        <f>Data!B32</f>
        <v>132010.SH</v>
      </c>
      <c r="B32" t="str">
        <f>Data!C32</f>
        <v>17桐昆EB</v>
      </c>
      <c r="C32" s="8">
        <f>RTD("wdf.rtq", ,A32, "LastPrice","RT_Price")</f>
        <v>114.9</v>
      </c>
      <c r="D32" s="8">
        <f>[1]!cb_anal_straightbondvalue(A32,"")</f>
        <v>92.407899999999998</v>
      </c>
      <c r="E32" t="str">
        <f>Data!E32</f>
        <v>601233.SH</v>
      </c>
      <c r="F32" t="str">
        <f>Data!F32</f>
        <v>桐昆股份</v>
      </c>
      <c r="G32" s="7">
        <f>RTD("wdf.rtq", ,E32, "LastPrice","RT_Price")</f>
        <v>16.48</v>
      </c>
      <c r="H32" s="7">
        <f>[1]!cb_anal_convprice(A32,"")</f>
        <v>17.12</v>
      </c>
      <c r="I32" s="2">
        <f>Data!J32</f>
        <v>0.415789236870867</v>
      </c>
      <c r="J32" s="2">
        <f t="shared" si="0"/>
        <v>0.415789236870867</v>
      </c>
      <c r="K32" s="7">
        <f ca="1">([1]!cb_info_maturitydate(A32)-TODAY())/365</f>
        <v>2.7726027397260276</v>
      </c>
      <c r="L32" s="6">
        <f t="shared" ca="1" si="1"/>
        <v>26.188654789975715</v>
      </c>
      <c r="M32" s="6">
        <f t="shared" ca="1" si="2"/>
        <v>118.59655478997571</v>
      </c>
      <c r="N32" s="2">
        <f t="shared" ca="1" si="3"/>
        <v>-3.116915829909217E-2</v>
      </c>
      <c r="O32" s="2">
        <f>IF(Data!V32=0,"",Data!V32)</f>
        <v>-4.1883971057553003E-2</v>
      </c>
      <c r="P32" s="2">
        <f>IF(Data!W32=0,"",Data!W32)</f>
        <v>4.2873953066854903E-2</v>
      </c>
      <c r="Q32" s="2">
        <f t="shared" ca="1" si="4"/>
        <v>0.59867317695319899</v>
      </c>
      <c r="R32" s="5">
        <f t="shared" ca="1" si="5"/>
        <v>0.63728379375214605</v>
      </c>
      <c r="S32" s="3">
        <f t="shared" ca="1" si="6"/>
        <v>3.7224520663092644</v>
      </c>
      <c r="T32" t="str">
        <f t="shared" ca="1" si="7"/>
        <v>1149:613</v>
      </c>
    </row>
    <row r="33" spans="1:20">
      <c r="A33" t="str">
        <f>Data!B33</f>
        <v>132011.SH</v>
      </c>
      <c r="B33" t="str">
        <f>Data!C33</f>
        <v>17浙报EB</v>
      </c>
      <c r="C33" s="8">
        <f>RTD("wdf.rtq", ,A33, "LastPrice","RT_Price")</f>
        <v>92.62</v>
      </c>
      <c r="D33" s="8">
        <f>[1]!cb_anal_straightbondvalue(A33,"")</f>
        <v>86.367000000000004</v>
      </c>
      <c r="E33" t="str">
        <f>Data!E33</f>
        <v>600633.SH</v>
      </c>
      <c r="F33" t="str">
        <f>Data!F33</f>
        <v>浙数文化</v>
      </c>
      <c r="G33" s="7">
        <f>RTD("wdf.rtq", ,E33, "LastPrice","RT_Price")</f>
        <v>17.13</v>
      </c>
      <c r="H33" s="7">
        <f>[1]!cb_anal_convprice(A33,"")</f>
        <v>25</v>
      </c>
      <c r="I33" s="2">
        <f>Data!J33</f>
        <v>0.29713059649638801</v>
      </c>
      <c r="J33" s="2">
        <f t="shared" si="0"/>
        <v>0.29713059649638801</v>
      </c>
      <c r="K33" s="7">
        <f ca="1">([1]!cb_info_maturitydate(A33)-TODAY())/365</f>
        <v>4.8109589041095893</v>
      </c>
      <c r="L33" s="6">
        <f t="shared" ca="1" si="1"/>
        <v>10.511223647658039</v>
      </c>
      <c r="M33" s="6">
        <f t="shared" ca="1" si="2"/>
        <v>96.878223647658047</v>
      </c>
      <c r="N33" s="2">
        <f t="shared" ca="1" si="3"/>
        <v>-4.3954394365704141E-2</v>
      </c>
      <c r="O33" s="2">
        <f>IF(Data!V33=0,"",Data!V33)</f>
        <v>-4.9924069382249602E-2</v>
      </c>
      <c r="P33" s="2">
        <f>IF(Data!W33=0,"",Data!W33)</f>
        <v>1.7903567439783101E-2</v>
      </c>
      <c r="Q33" s="2">
        <f t="shared" ca="1" si="4"/>
        <v>0.63059700553798892</v>
      </c>
      <c r="R33" s="5">
        <f t="shared" ca="1" si="5"/>
        <v>0.44295597739870629</v>
      </c>
      <c r="S33" s="3">
        <f t="shared" ca="1" si="6"/>
        <v>1.7718239095948252</v>
      </c>
      <c r="T33" t="str">
        <f t="shared" ca="1" si="7"/>
        <v>926:304</v>
      </c>
    </row>
    <row r="34" spans="1:20">
      <c r="A34" t="str">
        <f>Data!B34</f>
        <v>132012.SH</v>
      </c>
      <c r="B34" t="str">
        <f>Data!C34</f>
        <v>17巨化EB</v>
      </c>
      <c r="C34" s="8">
        <f>RTD("wdf.rtq", ,A34, "LastPrice","RT_Price")</f>
        <v>103.84</v>
      </c>
      <c r="D34" s="8">
        <f>[1]!cb_anal_straightbondvalue(A34,"")</f>
        <v>92.019599999999997</v>
      </c>
      <c r="E34" t="str">
        <f>Data!E34</f>
        <v>600160.SH</v>
      </c>
      <c r="F34" t="str">
        <f>Data!F34</f>
        <v>巨化股份</v>
      </c>
      <c r="G34" s="7">
        <f>RTD("wdf.rtq", ,E34, "LastPrice","RT_Price")</f>
        <v>12.18</v>
      </c>
      <c r="H34" s="7">
        <f>[1]!cb_anal_convprice(A34,"")</f>
        <v>13.49</v>
      </c>
      <c r="I34" s="2">
        <f>Data!J34</f>
        <v>0.38494305224675002</v>
      </c>
      <c r="J34" s="2">
        <f t="shared" si="0"/>
        <v>0.38494305224675002</v>
      </c>
      <c r="K34" s="7">
        <f ca="1">([1]!cb_info_maturitydate(A34)-TODAY())/365</f>
        <v>2.8602739726027395</v>
      </c>
      <c r="L34" s="6">
        <f t="shared" ca="1" si="1"/>
        <v>21.084983312386683</v>
      </c>
      <c r="M34" s="6">
        <f t="shared" ca="1" si="2"/>
        <v>113.10458331238668</v>
      </c>
      <c r="N34" s="2">
        <f t="shared" ca="1" si="3"/>
        <v>-8.1911652393418688E-2</v>
      </c>
      <c r="O34" s="2">
        <f>IF(Data!V34=0,"",Data!V34)</f>
        <v>-9.7431721255876097E-2</v>
      </c>
      <c r="P34" s="2">
        <f>IF(Data!W34=0,"",Data!W34)</f>
        <v>1.56656541395933E-2</v>
      </c>
      <c r="Q34" s="2">
        <f t="shared" ca="1" si="4"/>
        <v>0.83908559613427092</v>
      </c>
      <c r="R34" s="5">
        <f t="shared" ca="1" si="5"/>
        <v>0.59270382537323141</v>
      </c>
      <c r="S34" s="3">
        <f t="shared" ca="1" si="6"/>
        <v>4.3936532644420421</v>
      </c>
      <c r="T34" t="str">
        <f t="shared" ca="1" si="7"/>
        <v>1038:535</v>
      </c>
    </row>
  </sheetData>
  <phoneticPr fontId="1" type="noConversion"/>
  <conditionalFormatting sqref="Q2:Q34">
    <cfRule type="colorScale" priority="4">
      <colorScale>
        <cfvo type="min"/>
        <cfvo type="percentile" val="50"/>
        <cfvo type="max"/>
        <color rgb="FF5A8AC6"/>
        <color rgb="FFFCFCFF"/>
        <color rgb="FFF8696B"/>
      </colorScale>
    </cfRule>
  </conditionalFormatting>
  <conditionalFormatting sqref="R2:R34">
    <cfRule type="cellIs" dxfId="1" priority="3" operator="greaterThan">
      <formula>0.6</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W34"/>
  <sheetViews>
    <sheetView workbookViewId="0">
      <selection activeCell="F33" sqref="F33"/>
    </sheetView>
  </sheetViews>
  <sheetFormatPr defaultRowHeight="13.5"/>
  <cols>
    <col min="1" max="1" width="11.625" bestFit="1" customWidth="1"/>
    <col min="2" max="2" width="10.5" bestFit="1" customWidth="1"/>
    <col min="4" max="4" width="10.5" bestFit="1" customWidth="1"/>
    <col min="8" max="8" width="9" style="2"/>
    <col min="9" max="10" width="7.125" style="2" customWidth="1"/>
    <col min="11" max="11" width="11" style="2" bestFit="1" customWidth="1"/>
    <col min="12" max="16" width="7.875" style="2" customWidth="1"/>
    <col min="17" max="21" width="7.875" customWidth="1"/>
  </cols>
  <sheetData>
    <row r="1" spans="1:23">
      <c r="A1" t="s">
        <v>115</v>
      </c>
      <c r="B1" t="s">
        <v>110</v>
      </c>
      <c r="C1" t="s">
        <v>109</v>
      </c>
      <c r="D1" t="s">
        <v>111</v>
      </c>
      <c r="E1" t="s">
        <v>112</v>
      </c>
      <c r="F1" t="s">
        <v>113</v>
      </c>
      <c r="G1" t="s">
        <v>114</v>
      </c>
      <c r="H1" s="2" t="s">
        <v>116</v>
      </c>
      <c r="I1" s="2" t="s">
        <v>117</v>
      </c>
      <c r="J1" s="2" t="s">
        <v>118</v>
      </c>
      <c r="K1" s="2" t="s">
        <v>119</v>
      </c>
      <c r="L1" s="55">
        <f>Data!X1</f>
        <v>43009</v>
      </c>
      <c r="M1" s="55">
        <f>Data!Y1</f>
        <v>42979</v>
      </c>
      <c r="N1" s="55">
        <f>Data!Z1</f>
        <v>42948</v>
      </c>
      <c r="O1" s="55">
        <f>Data!AA1</f>
        <v>42917</v>
      </c>
      <c r="P1" s="55">
        <f>Data!AB1</f>
        <v>42887</v>
      </c>
      <c r="Q1" s="55">
        <f>Data!AC1</f>
        <v>42856</v>
      </c>
      <c r="R1" s="55">
        <f>Data!AD1</f>
        <v>42826</v>
      </c>
      <c r="S1" s="55">
        <f>Data!AE1</f>
        <v>42795</v>
      </c>
      <c r="T1" s="55">
        <f>Data!AF1</f>
        <v>42767</v>
      </c>
      <c r="U1" s="55">
        <f>Data!AG1</f>
        <v>42736</v>
      </c>
      <c r="V1" s="55">
        <f>Data!AH1</f>
        <v>42705</v>
      </c>
      <c r="W1" s="55">
        <f>Data!AI1</f>
        <v>42675</v>
      </c>
    </row>
    <row r="2" spans="1:23">
      <c r="A2" s="1">
        <f>Data!A2</f>
        <v>43033</v>
      </c>
      <c r="B2" t="str">
        <f>Data!B2</f>
        <v>110030.SH</v>
      </c>
      <c r="C2" t="str">
        <f>Data!C2</f>
        <v>格力转债</v>
      </c>
      <c r="D2" t="str">
        <f>Data!E2</f>
        <v>600185.SH</v>
      </c>
      <c r="E2" t="str">
        <f>Data!F2</f>
        <v>格力地产</v>
      </c>
      <c r="F2" s="6">
        <f>Data!D2</f>
        <v>111.14709999999999</v>
      </c>
      <c r="G2" s="6">
        <f>Data!N2</f>
        <v>107.58930692435599</v>
      </c>
      <c r="H2" s="2">
        <f t="shared" ref="H2" si="0">F2/G2-1</f>
        <v>3.3068277669503043E-2</v>
      </c>
      <c r="I2" s="2">
        <f>IF(Data!V2=0,"",Data!V2)</f>
        <v>3.11615042067972E-2</v>
      </c>
      <c r="J2" s="2">
        <f>IF(Data!W2=0,"",Data!W2)</f>
        <v>5.4123634693690199E-2</v>
      </c>
      <c r="K2" s="2">
        <f>IFERROR(_xlfn.NORM.DIST(H2,I2,J2,TRUE),"")</f>
        <v>0.51405181361923635</v>
      </c>
      <c r="L2" s="2">
        <f>IF(Data!X2=0,"",Data!X2)</f>
        <v>1.75888862683043E-2</v>
      </c>
      <c r="M2" s="2">
        <f>IF(Data!Y2=0,"",Data!Y2)</f>
        <v>-1.0999949164302599E-2</v>
      </c>
      <c r="N2" s="2">
        <f>IF(Data!Z2=0,"",Data!Z2)</f>
        <v>-4.4162782677874702E-3</v>
      </c>
      <c r="O2" s="2">
        <f>IF(Data!AA2=0,"",Data!AA2)</f>
        <v>-2.0310357986584902E-2</v>
      </c>
      <c r="P2" s="2">
        <f>IF(Data!AB2=0,"",Data!AB2)</f>
        <v>-3.0486706628787101E-2</v>
      </c>
      <c r="Q2" s="2">
        <f>IF(Data!AC2=0,"",Data!AC2)</f>
        <v>-3.1702029454917402E-2</v>
      </c>
      <c r="R2" s="2">
        <f>IF(Data!AD2=0,"",Data!AD2)</f>
        <v>-1.1882925665768901E-3</v>
      </c>
      <c r="S2" s="2">
        <f>IF(Data!AE2=0,"",Data!AE2)</f>
        <v>9.68683107430931E-2</v>
      </c>
      <c r="T2" s="2">
        <f>IF(Data!AF2=0,"",Data!AF2)</f>
        <v>0.103218500953941</v>
      </c>
      <c r="U2" s="2">
        <f>IF(Data!AG2=0,"",Data!AG2)</f>
        <v>8.80207860386822E-2</v>
      </c>
      <c r="V2" s="2">
        <f>IF(Data!AH2=0,"",Data!AH2)</f>
        <v>7.6202758446027696E-2</v>
      </c>
      <c r="W2" s="2">
        <f>IF(Data!AI2=0,"",Data!AI2)</f>
        <v>8.2230476202387395E-2</v>
      </c>
    </row>
    <row r="3" spans="1:23">
      <c r="A3" s="1">
        <f>Data!A3</f>
        <v>43033</v>
      </c>
      <c r="B3" t="str">
        <f>Data!B3</f>
        <v>110031.SH</v>
      </c>
      <c r="C3" t="str">
        <f>Data!C3</f>
        <v>航信转债</v>
      </c>
      <c r="D3" t="str">
        <f>Data!E3</f>
        <v>600271.SH</v>
      </c>
      <c r="E3" t="str">
        <f>Data!F3</f>
        <v>航天信息</v>
      </c>
      <c r="F3" s="6">
        <f>Data!D3</f>
        <v>103.9401</v>
      </c>
      <c r="G3" s="6">
        <f>Data!N3</f>
        <v>94.664930096643999</v>
      </c>
      <c r="H3" s="2">
        <f t="shared" ref="H3:H34" si="1">F3/G3-1</f>
        <v>9.797894419704245E-2</v>
      </c>
      <c r="I3" s="2">
        <f>IF(Data!V3=0,"",Data!V3)</f>
        <v>0.11839825558956001</v>
      </c>
      <c r="J3" s="2">
        <f>IF(Data!W3=0,"",Data!W3)</f>
        <v>2.5973742279770701E-2</v>
      </c>
      <c r="K3" s="2">
        <f t="shared" ref="K3:K34" si="2">IFERROR(_xlfn.NORM.DIST(H3,I3,J3,TRUE),"")</f>
        <v>0.21588919952418337</v>
      </c>
      <c r="L3" s="2">
        <f>IF(Data!X3=0,"",Data!X3)</f>
        <v>0.100516972339862</v>
      </c>
      <c r="M3" s="2">
        <f>IF(Data!Y3=0,"",Data!Y3)</f>
        <v>0.112719456072537</v>
      </c>
      <c r="N3" s="2">
        <f>IF(Data!Z3=0,"",Data!Z3)</f>
        <v>0.10833893047504101</v>
      </c>
      <c r="O3" s="2">
        <f>IF(Data!AA3=0,"",Data!AA3)</f>
        <v>9.4417217174105603E-2</v>
      </c>
      <c r="P3" s="2">
        <f>IF(Data!AB3=0,"",Data!AB3)</f>
        <v>8.9282236244259003E-2</v>
      </c>
      <c r="Q3" s="2">
        <f>IF(Data!AC3=0,"",Data!AC3)</f>
        <v>8.5762347337054207E-2</v>
      </c>
      <c r="R3" s="2">
        <f>IF(Data!AD3=0,"",Data!AD3)</f>
        <v>0.105492961776445</v>
      </c>
      <c r="S3" s="2">
        <f>IF(Data!AE3=0,"",Data!AE3)</f>
        <v>0.126250402104604</v>
      </c>
      <c r="T3" s="2">
        <f>IF(Data!AF3=0,"",Data!AF3)</f>
        <v>0.143169977453661</v>
      </c>
      <c r="U3" s="2">
        <f>IF(Data!AG3=0,"",Data!AG3)</f>
        <v>0.136848047182203</v>
      </c>
      <c r="V3" s="2">
        <f>IF(Data!AH3=0,"",Data!AH3)</f>
        <v>0.15620618634936101</v>
      </c>
      <c r="W3" s="2">
        <f>IF(Data!AI3=0,"",Data!AI3)</f>
        <v>0.15364870455347801</v>
      </c>
    </row>
    <row r="4" spans="1:23">
      <c r="A4" s="1">
        <f>Data!A4</f>
        <v>43033</v>
      </c>
      <c r="B4" t="str">
        <f>Data!B4</f>
        <v>110032.SH</v>
      </c>
      <c r="C4" t="str">
        <f>Data!C4</f>
        <v>三一转债</v>
      </c>
      <c r="D4" t="str">
        <f>Data!E4</f>
        <v>600031.SH</v>
      </c>
      <c r="E4" t="str">
        <f>Data!F4</f>
        <v>三一重工</v>
      </c>
      <c r="F4" s="6">
        <f>Data!D4</f>
        <v>118.2573</v>
      </c>
      <c r="G4" s="6">
        <f>Data!N4</f>
        <v>120.851852360911</v>
      </c>
      <c r="H4" s="2">
        <f t="shared" si="1"/>
        <v>-2.1468867131325786E-2</v>
      </c>
      <c r="I4" s="2">
        <f>IF(Data!V4=0,"",Data!V4)</f>
        <v>5.9702097367431003E-3</v>
      </c>
      <c r="J4" s="2">
        <f>IF(Data!W4=0,"",Data!W4)</f>
        <v>3.5014940933848299E-2</v>
      </c>
      <c r="K4" s="2">
        <f t="shared" si="2"/>
        <v>0.2166259525260244</v>
      </c>
      <c r="L4" s="2">
        <f>IF(Data!X4=0,"",Data!X4)</f>
        <v>-1.3655553999805401E-2</v>
      </c>
      <c r="M4" s="2">
        <f>IF(Data!Y4=0,"",Data!Y4)</f>
        <v>5.50735642616367E-3</v>
      </c>
      <c r="N4" s="2">
        <f>IF(Data!Z4=0,"",Data!Z4)</f>
        <v>2.2473262797790099E-3</v>
      </c>
      <c r="O4" s="2">
        <f>IF(Data!AA4=0,"",Data!AA4)</f>
        <v>3.1683511849336398E-3</v>
      </c>
      <c r="P4" s="2">
        <f>IF(Data!AB4=0,"",Data!AB4)</f>
        <v>-9.6802411561605402E-3</v>
      </c>
      <c r="Q4" s="2">
        <f>IF(Data!AC4=0,"",Data!AC4)</f>
        <v>-2.7939873360230402E-2</v>
      </c>
      <c r="R4" s="2">
        <f>IF(Data!AD4=0,"",Data!AD4)</f>
        <v>-3.2919365974693797E-2</v>
      </c>
      <c r="S4" s="2">
        <f>IF(Data!AE4=0,"",Data!AE4)</f>
        <v>-2.6486184621253201E-2</v>
      </c>
      <c r="T4" s="2">
        <f>IF(Data!AF4=0,"",Data!AF4)</f>
        <v>-9.9573817791473607E-3</v>
      </c>
      <c r="U4" s="2">
        <f>IF(Data!AG4=0,"",Data!AG4)</f>
        <v>1.7310622106220599E-2</v>
      </c>
      <c r="V4" s="2">
        <f>IF(Data!AH4=0,"",Data!AH4)</f>
        <v>4.0978118994527198E-2</v>
      </c>
      <c r="W4" s="2">
        <f>IF(Data!AI4=0,"",Data!AI4)</f>
        <v>7.6266067013248798E-2</v>
      </c>
    </row>
    <row r="5" spans="1:23">
      <c r="A5" s="1">
        <f>Data!A5</f>
        <v>43033</v>
      </c>
      <c r="B5" t="str">
        <f>Data!B5</f>
        <v>110033.SH</v>
      </c>
      <c r="C5" t="str">
        <f>Data!C5</f>
        <v>国贸转债</v>
      </c>
      <c r="D5" t="str">
        <f>Data!E5</f>
        <v>600755.SH</v>
      </c>
      <c r="E5" t="str">
        <f>Data!F5</f>
        <v>厦门国贸</v>
      </c>
      <c r="F5" s="6">
        <f>Data!D5</f>
        <v>127.65860000000001</v>
      </c>
      <c r="G5" s="6">
        <f>Data!N5</f>
        <v>147.23899424944099</v>
      </c>
      <c r="H5" s="2">
        <f t="shared" si="1"/>
        <v>-0.13298375440047749</v>
      </c>
      <c r="I5" s="2">
        <f>IF(Data!V5=0,"",Data!V5)</f>
        <v>-2.49919470814121E-2</v>
      </c>
      <c r="J5" s="2">
        <f>IF(Data!W5=0,"",Data!W5)</f>
        <v>5.4002330914998301E-2</v>
      </c>
      <c r="K5" s="2">
        <f t="shared" si="2"/>
        <v>2.2762986813530537E-2</v>
      </c>
      <c r="L5" s="2">
        <f>IF(Data!X5=0,"",Data!X5)</f>
        <v>-0.12752640905972901</v>
      </c>
      <c r="M5" s="2">
        <f>IF(Data!Y5=0,"",Data!Y5)</f>
        <v>-0.116538159419242</v>
      </c>
      <c r="N5" s="2">
        <f>IF(Data!Z5=0,"",Data!Z5)</f>
        <v>-0.107712213184261</v>
      </c>
      <c r="O5" s="2">
        <f>IF(Data!AA5=0,"",Data!AA5)</f>
        <v>-1.6612917401587299E-2</v>
      </c>
      <c r="P5" s="2">
        <f>IF(Data!AB5=0,"",Data!AB5)</f>
        <v>2.0811501808082399E-2</v>
      </c>
      <c r="Q5" s="2">
        <f>IF(Data!AC5=0,"",Data!AC5)</f>
        <v>1.2922738510459601E-3</v>
      </c>
      <c r="R5" s="2">
        <f>IF(Data!AD5=0,"",Data!AD5)</f>
        <v>7.2467886169931004E-3</v>
      </c>
      <c r="S5" s="2">
        <f>IF(Data!AE5=0,"",Data!AE5)</f>
        <v>1.6617069336948401E-2</v>
      </c>
      <c r="T5" s="2">
        <f>IF(Data!AF5=0,"",Data!AF5)</f>
        <v>4.1497909265860002E-3</v>
      </c>
      <c r="U5" s="2">
        <f>IF(Data!AG5=0,"",Data!AG5)</f>
        <v>-1.57267830442383E-3</v>
      </c>
      <c r="V5" s="2">
        <f>IF(Data!AH5=0,"",Data!AH5)</f>
        <v>-1.1861827523296901E-2</v>
      </c>
      <c r="W5" s="2">
        <f>IF(Data!AI5=0,"",Data!AI5)</f>
        <v>8.0458417861126695E-3</v>
      </c>
    </row>
    <row r="6" spans="1:23">
      <c r="A6" s="1">
        <f>Data!A6</f>
        <v>43033</v>
      </c>
      <c r="B6" t="str">
        <f>Data!B6</f>
        <v>110034.SH</v>
      </c>
      <c r="C6" t="str">
        <f>Data!C6</f>
        <v>九州转债</v>
      </c>
      <c r="D6" t="str">
        <f>Data!E6</f>
        <v>600998.SH</v>
      </c>
      <c r="E6" t="str">
        <f>Data!F6</f>
        <v>九州通</v>
      </c>
      <c r="F6" s="6">
        <f>Data!D6</f>
        <v>127.18989999999999</v>
      </c>
      <c r="G6" s="6">
        <f>Data!N6</f>
        <v>124.58301296709099</v>
      </c>
      <c r="H6" s="2">
        <f t="shared" si="1"/>
        <v>2.0924899557515309E-2</v>
      </c>
      <c r="I6" s="2">
        <f>IF(Data!V6=0,"",Data!V6)</f>
        <v>1.4130729457391401E-2</v>
      </c>
      <c r="J6" s="2">
        <f>IF(Data!W6=0,"",Data!W6)</f>
        <v>4.7454660380455399E-2</v>
      </c>
      <c r="K6" s="2">
        <f t="shared" si="2"/>
        <v>0.55692275760142085</v>
      </c>
      <c r="L6" s="2">
        <f>IF(Data!X6=0,"",Data!X6)</f>
        <v>3.8109700025409997E-2</v>
      </c>
      <c r="M6" s="2">
        <f>IF(Data!Y6=0,"",Data!Y6)</f>
        <v>5.8060109896432198E-2</v>
      </c>
      <c r="N6" s="2">
        <f>IF(Data!Z6=0,"",Data!Z6)</f>
        <v>7.5709902239126894E-2</v>
      </c>
      <c r="O6" s="2">
        <f>IF(Data!AA6=0,"",Data!AA6)</f>
        <v>6.2768589055535506E-2</v>
      </c>
      <c r="P6" s="2">
        <f>IF(Data!AB6=0,"",Data!AB6)</f>
        <v>5.0143257078988701E-2</v>
      </c>
      <c r="Q6" s="2">
        <f>IF(Data!AC6=0,"",Data!AC6)</f>
        <v>4.3746096566321703E-2</v>
      </c>
      <c r="R6" s="2">
        <f>IF(Data!AD6=0,"",Data!AD6)</f>
        <v>1.7152545872002E-2</v>
      </c>
      <c r="S6" s="2">
        <f>IF(Data!AE6=0,"",Data!AE6)</f>
        <v>2.7710333633420101E-3</v>
      </c>
      <c r="T6" s="2">
        <f>IF(Data!AF6=0,"",Data!AF6)</f>
        <v>-2.7410293363982499E-2</v>
      </c>
      <c r="U6" s="2">
        <f>IF(Data!AG6=0,"",Data!AG6)</f>
        <v>-4.4745861252098E-2</v>
      </c>
      <c r="V6" s="2">
        <f>IF(Data!AH6=0,"",Data!AH6)</f>
        <v>-4.5192246507863701E-2</v>
      </c>
      <c r="W6" s="2">
        <f>IF(Data!AI6=0,"",Data!AI6)</f>
        <v>-3.4381598352843698E-2</v>
      </c>
    </row>
    <row r="7" spans="1:23">
      <c r="A7" s="1">
        <f>Data!A7</f>
        <v>43033</v>
      </c>
      <c r="B7" t="str">
        <f>Data!B7</f>
        <v>113008.SH</v>
      </c>
      <c r="C7" t="str">
        <f>Data!C7</f>
        <v>电气转债</v>
      </c>
      <c r="D7" t="str">
        <f>Data!E7</f>
        <v>601727.SH</v>
      </c>
      <c r="E7" t="str">
        <f>Data!F7</f>
        <v>上海电气</v>
      </c>
      <c r="F7" s="6">
        <f>Data!D7</f>
        <v>106.09399999999999</v>
      </c>
      <c r="G7" s="6">
        <f>Data!N7</f>
        <v>106.822202122305</v>
      </c>
      <c r="H7" s="2">
        <f t="shared" si="1"/>
        <v>-6.8169547887737547E-3</v>
      </c>
      <c r="I7" s="2">
        <f>IF(Data!V7=0,"",Data!V7)</f>
        <v>9.5408772384830004E-2</v>
      </c>
      <c r="J7" s="2">
        <f>IF(Data!W7=0,"",Data!W7)</f>
        <v>7.8171163442768199E-2</v>
      </c>
      <c r="K7" s="2">
        <f t="shared" si="2"/>
        <v>9.5484727361883903E-2</v>
      </c>
      <c r="L7" s="2">
        <f>IF(Data!X7=0,"",Data!X7)</f>
        <v>1.4923058222963701E-3</v>
      </c>
      <c r="M7" s="2">
        <f>IF(Data!Y7=0,"",Data!Y7)</f>
        <v>1.53530979598616E-2</v>
      </c>
      <c r="N7" s="2">
        <f>IF(Data!Z7=0,"",Data!Z7)</f>
        <v>2.9908850391689199E-2</v>
      </c>
      <c r="O7" s="2">
        <f>IF(Data!AA7=0,"",Data!AA7)</f>
        <v>2.5170476883485199E-2</v>
      </c>
      <c r="P7" s="2">
        <f>IF(Data!AB7=0,"",Data!AB7)</f>
        <v>3.2709084848829603E-2</v>
      </c>
      <c r="Q7" s="2">
        <f>IF(Data!AC7=0,"",Data!AC7)</f>
        <v>7.2390257272450007E-2</v>
      </c>
      <c r="R7" s="2">
        <f>IF(Data!AD7=0,"",Data!AD7)</f>
        <v>0.212094534929579</v>
      </c>
      <c r="S7" s="2">
        <f>IF(Data!AE7=0,"",Data!AE7)</f>
        <v>0.210663563858528</v>
      </c>
      <c r="T7" s="2">
        <f>IF(Data!AF7=0,"",Data!AF7)</f>
        <v>0.20064683312591899</v>
      </c>
      <c r="U7" s="2">
        <f>IF(Data!AG7=0,"",Data!AG7)</f>
        <v>0.15362702770679501</v>
      </c>
      <c r="V7" s="2">
        <f>IF(Data!AH7=0,"",Data!AH7)</f>
        <v>0.12471743336939101</v>
      </c>
      <c r="W7" s="2">
        <f>IF(Data!AI7=0,"",Data!AI7)</f>
        <v>7.9984325961753699E-2</v>
      </c>
    </row>
    <row r="8" spans="1:23">
      <c r="A8" s="1">
        <f>Data!A8</f>
        <v>43033</v>
      </c>
      <c r="B8" t="str">
        <f>Data!B8</f>
        <v>113009.SH</v>
      </c>
      <c r="C8" t="str">
        <f>Data!C8</f>
        <v>广汽转债</v>
      </c>
      <c r="D8" t="str">
        <f>Data!E8</f>
        <v>601238.SH</v>
      </c>
      <c r="E8" t="str">
        <f>Data!F8</f>
        <v>广汽集团</v>
      </c>
      <c r="F8" s="6">
        <f>Data!D8</f>
        <v>131.22190000000001</v>
      </c>
      <c r="G8" s="6">
        <f>Data!N8</f>
        <v>133.56957039942901</v>
      </c>
      <c r="H8" s="2">
        <f t="shared" si="1"/>
        <v>-1.7576386540800293E-2</v>
      </c>
      <c r="I8" s="2">
        <f>IF(Data!V8=0,"",Data!V8)</f>
        <v>-3.8247052506146302E-2</v>
      </c>
      <c r="J8" s="2">
        <f>IF(Data!W8=0,"",Data!W8)</f>
        <v>2.59800153236746E-2</v>
      </c>
      <c r="K8" s="2">
        <f t="shared" si="2"/>
        <v>0.78687852332402397</v>
      </c>
      <c r="L8" s="2">
        <f>IF(Data!X8=0,"",Data!X8)</f>
        <v>-2.0473652308392501E-2</v>
      </c>
      <c r="M8" s="2">
        <f>IF(Data!Y8=0,"",Data!Y8)</f>
        <v>-9.3957998552530297E-3</v>
      </c>
      <c r="N8" s="2">
        <f>IF(Data!Z8=0,"",Data!Z8)</f>
        <v>-5.6706654738526499E-3</v>
      </c>
      <c r="O8" s="2">
        <f>IF(Data!AA8=0,"",Data!AA8)</f>
        <v>-1.5477623873460401E-2</v>
      </c>
      <c r="P8" s="2">
        <f>IF(Data!AB8=0,"",Data!AB8)</f>
        <v>-2.19940816515178E-2</v>
      </c>
      <c r="Q8" s="2">
        <f>IF(Data!AC8=0,"",Data!AC8)</f>
        <v>-3.6231181814781903E-2</v>
      </c>
      <c r="R8" s="2">
        <f>IF(Data!AD8=0,"",Data!AD8)</f>
        <v>-6.2838339964362E-2</v>
      </c>
      <c r="S8" s="2">
        <f>IF(Data!AE8=0,"",Data!AE8)</f>
        <v>-5.4356894160095502E-2</v>
      </c>
      <c r="T8" s="2">
        <f>IF(Data!AF8=0,"",Data!AF8)</f>
        <v>-4.4154991769910799E-2</v>
      </c>
      <c r="U8" s="2">
        <f>IF(Data!AG8=0,"",Data!AG8)</f>
        <v>-3.60644239913731E-2</v>
      </c>
      <c r="V8" s="2">
        <f>IF(Data!AH8=0,"",Data!AH8)</f>
        <v>-6.3230429053334203E-2</v>
      </c>
      <c r="W8" s="2">
        <f>IF(Data!AI8=0,"",Data!AI8)</f>
        <v>-7.7841922908925304E-2</v>
      </c>
    </row>
    <row r="9" spans="1:23">
      <c r="A9" s="1">
        <f>Data!A9</f>
        <v>43033</v>
      </c>
      <c r="B9" t="str">
        <f>Data!B9</f>
        <v>113010.SH</v>
      </c>
      <c r="C9" t="str">
        <f>Data!C9</f>
        <v>江南转债</v>
      </c>
      <c r="D9" t="str">
        <f>Data!E9</f>
        <v>601199.SH</v>
      </c>
      <c r="E9" t="str">
        <f>Data!F9</f>
        <v>江南水务</v>
      </c>
      <c r="F9" s="6">
        <f>Data!D9</f>
        <v>105.51730000000001</v>
      </c>
      <c r="G9" s="6">
        <f>Data!N9</f>
        <v>94.591568140845894</v>
      </c>
      <c r="H9" s="2">
        <f t="shared" si="1"/>
        <v>0.1155042893768905</v>
      </c>
      <c r="I9" s="2">
        <f>IF(Data!V9=0,"",Data!V9)</f>
        <v>5.0877523082565802E-2</v>
      </c>
      <c r="J9" s="2">
        <f>IF(Data!W9=0,"",Data!W9)</f>
        <v>4.3374004676246802E-2</v>
      </c>
      <c r="K9" s="2">
        <f t="shared" si="2"/>
        <v>0.93188636445847495</v>
      </c>
      <c r="L9" s="2">
        <f>IF(Data!X9=0,"",Data!X9)</f>
        <v>0.109977426226314</v>
      </c>
      <c r="M9" s="2">
        <f>IF(Data!Y9=0,"",Data!Y9)</f>
        <v>0.11607206383839</v>
      </c>
      <c r="N9" s="2">
        <f>IF(Data!Z9=0,"",Data!Z9)</f>
        <v>0.10290041452498</v>
      </c>
      <c r="O9" s="2">
        <f>IF(Data!AA9=0,"",Data!AA9)</f>
        <v>7.9009880425110895E-2</v>
      </c>
      <c r="P9" s="2">
        <f>IF(Data!AB9=0,"",Data!AB9)</f>
        <v>7.3352075201303005E-2</v>
      </c>
      <c r="Q9" s="2">
        <f>IF(Data!AC9=0,"",Data!AC9)</f>
        <v>5.8829711100671297E-2</v>
      </c>
      <c r="R9" s="2">
        <f>IF(Data!AD9=0,"",Data!AD9)</f>
        <v>4.1145475147901997E-2</v>
      </c>
      <c r="S9" s="2">
        <f>IF(Data!AE9=0,"",Data!AE9)</f>
        <v>3.4739477805029798E-2</v>
      </c>
      <c r="T9" s="2">
        <f>IF(Data!AF9=0,"",Data!AF9)</f>
        <v>2.4947808265162599E-2</v>
      </c>
      <c r="U9" s="2">
        <f>IF(Data!AG9=0,"",Data!AG9)</f>
        <v>6.2527769189997797E-3</v>
      </c>
      <c r="V9" s="2">
        <f>IF(Data!AH9=0,"",Data!AH9)</f>
        <v>3.86026054707628E-3</v>
      </c>
      <c r="W9" s="2">
        <f>IF(Data!AI9=0,"",Data!AI9)</f>
        <v>7.8243445676398002E-3</v>
      </c>
    </row>
    <row r="10" spans="1:23">
      <c r="A10" s="1">
        <f>Data!A10</f>
        <v>43033</v>
      </c>
      <c r="B10" t="str">
        <f>Data!B10</f>
        <v>113011.SH</v>
      </c>
      <c r="C10" t="str">
        <f>Data!C10</f>
        <v>光大转债</v>
      </c>
      <c r="D10" t="str">
        <f>Data!E10</f>
        <v>601818.SH</v>
      </c>
      <c r="E10" t="str">
        <f>Data!F10</f>
        <v>光大银行</v>
      </c>
      <c r="F10" s="6">
        <f>Data!D10</f>
        <v>111.3184</v>
      </c>
      <c r="G10" s="6">
        <f>Data!N10</f>
        <v>99.186106174180296</v>
      </c>
      <c r="H10" s="2">
        <f t="shared" si="1"/>
        <v>0.12231848082143926</v>
      </c>
      <c r="I10" s="2">
        <f>IF(Data!V10=0,"",Data!V10)</f>
        <v>8.7702243338098104E-2</v>
      </c>
      <c r="J10" s="2">
        <f>IF(Data!W10=0,"",Data!W10)</f>
        <v>4.1634006857387898E-2</v>
      </c>
      <c r="K10" s="2">
        <f t="shared" si="2"/>
        <v>0.7971378438333111</v>
      </c>
      <c r="L10" s="2">
        <f>IF(Data!X10=0,"",Data!X10)</f>
        <v>0.124223154745034</v>
      </c>
      <c r="M10" s="2">
        <f>IF(Data!Y10=0,"",Data!Y10)</f>
        <v>0.13319359986909399</v>
      </c>
      <c r="N10" s="2">
        <f>IF(Data!Z10=0,"",Data!Z10)</f>
        <v>0.13208369335046699</v>
      </c>
      <c r="O10" s="2">
        <f>IF(Data!AA10=0,"",Data!AA10)</f>
        <v>9.1085643393975596E-2</v>
      </c>
      <c r="P10" s="2">
        <f>IF(Data!AB10=0,"",Data!AB10)</f>
        <v>7.7866759994919904E-2</v>
      </c>
      <c r="Q10" s="2">
        <f>IF(Data!AC10=0,"",Data!AC10)</f>
        <v>5.7427387060726101E-2</v>
      </c>
      <c r="R10" s="2">
        <f>IF(Data!AD10=0,"",Data!AD10)</f>
        <v>4.6829240834708498E-2</v>
      </c>
      <c r="S10" s="2">
        <f>IF(Data!AE10=0,"",Data!AE10)</f>
        <v>3.6490361677844403E-5</v>
      </c>
      <c r="T10" s="2" t="str">
        <f>IF(Data!AF10=0,"",Data!AF10)</f>
        <v/>
      </c>
      <c r="U10" s="2" t="str">
        <f>IF(Data!AG10=0,"",Data!AG10)</f>
        <v/>
      </c>
      <c r="V10" s="2" t="str">
        <f>IF(Data!AH10=0,"",Data!AH10)</f>
        <v/>
      </c>
      <c r="W10" s="2" t="str">
        <f>IF(Data!AI10=0,"",Data!AI10)</f>
        <v/>
      </c>
    </row>
    <row r="11" spans="1:23">
      <c r="A11" s="1">
        <f>Data!A11</f>
        <v>43033</v>
      </c>
      <c r="B11" t="str">
        <f>Data!B11</f>
        <v>113012.SH</v>
      </c>
      <c r="C11" t="str">
        <f>Data!C11</f>
        <v>骆驼转债</v>
      </c>
      <c r="D11" t="str">
        <f>Data!E11</f>
        <v>601311.SH</v>
      </c>
      <c r="E11" t="str">
        <f>Data!F11</f>
        <v>骆驼股份</v>
      </c>
      <c r="F11" s="6">
        <f>Data!D11</f>
        <v>110.80329999999999</v>
      </c>
      <c r="G11" s="6">
        <f>Data!N11</f>
        <v>104.813310577102</v>
      </c>
      <c r="H11" s="2">
        <f t="shared" si="1"/>
        <v>5.7149129150840805E-2</v>
      </c>
      <c r="I11" s="2">
        <f>IF(Data!V11=0,"",Data!V11)</f>
        <v>5.69538287802097E-2</v>
      </c>
      <c r="J11" s="2">
        <f>IF(Data!W11=0,"",Data!W11)</f>
        <v>5.75473311490231E-2</v>
      </c>
      <c r="K11" s="2">
        <f t="shared" si="2"/>
        <v>0.50135390163377969</v>
      </c>
      <c r="L11" s="2">
        <f>IF(Data!X11=0,"",Data!X11)</f>
        <v>5.0559955064964003E-2</v>
      </c>
      <c r="M11" s="2">
        <f>IF(Data!Y11=0,"",Data!Y11)</f>
        <v>7.5619773226345999E-2</v>
      </c>
      <c r="N11" s="2">
        <f>IF(Data!Z11=0,"",Data!Z11)</f>
        <v>0.125736381760509</v>
      </c>
      <c r="O11" s="2">
        <f>IF(Data!AA11=0,"",Data!AA11)</f>
        <v>8.9843198757404402E-2</v>
      </c>
      <c r="P11" s="2">
        <f>IF(Data!AB11=0,"",Data!AB11)</f>
        <v>6.2598078292150999E-2</v>
      </c>
      <c r="Q11" s="2">
        <f>IF(Data!AC11=0,"",Data!AC11)</f>
        <v>4.2383159961842103E-2</v>
      </c>
      <c r="R11" s="2">
        <f>IF(Data!AD11=0,"",Data!AD11)</f>
        <v>-2.9815091551465299E-2</v>
      </c>
      <c r="S11" s="2">
        <f>IF(Data!AE11=0,"",Data!AE11)</f>
        <v>-8.5122756230430099E-2</v>
      </c>
      <c r="T11" s="2" t="str">
        <f>IF(Data!AF11=0,"",Data!AF11)</f>
        <v/>
      </c>
      <c r="U11" s="2" t="str">
        <f>IF(Data!AG11=0,"",Data!AG11)</f>
        <v/>
      </c>
      <c r="V11" s="2" t="str">
        <f>IF(Data!AH11=0,"",Data!AH11)</f>
        <v/>
      </c>
      <c r="W11" s="2" t="str">
        <f>IF(Data!AI11=0,"",Data!AI11)</f>
        <v/>
      </c>
    </row>
    <row r="12" spans="1:23">
      <c r="A12" s="1">
        <f>Data!A12</f>
        <v>43033</v>
      </c>
      <c r="B12" t="str">
        <f>Data!B12</f>
        <v>113013.SH</v>
      </c>
      <c r="C12" t="str">
        <f>Data!C12</f>
        <v>国君转债</v>
      </c>
      <c r="D12" t="str">
        <f>Data!E12</f>
        <v>601211.SH</v>
      </c>
      <c r="E12" t="str">
        <f>Data!F12</f>
        <v>国泰君安</v>
      </c>
      <c r="F12" s="6">
        <f>Data!D12</f>
        <v>122.0697</v>
      </c>
      <c r="G12" s="6">
        <f>Data!N12</f>
        <v>109.743528532154</v>
      </c>
      <c r="H12" s="2">
        <f t="shared" si="1"/>
        <v>0.11231798022818751</v>
      </c>
      <c r="I12" s="2">
        <f>IF(Data!V12=0,"",Data!V12)</f>
        <v>0.117000112529123</v>
      </c>
      <c r="J12" s="2">
        <f>IF(Data!W12=0,"",Data!W12)</f>
        <v>6.8993363874156999E-2</v>
      </c>
      <c r="K12" s="2">
        <f t="shared" si="2"/>
        <v>0.47294714061629373</v>
      </c>
      <c r="L12" s="2">
        <f>IF(Data!X12=0,"",Data!X12)</f>
        <v>0.124807365792155</v>
      </c>
      <c r="M12" s="2">
        <f>IF(Data!Y12=0,"",Data!Y12)</f>
        <v>0.13458969850091099</v>
      </c>
      <c r="N12" s="2">
        <f>IF(Data!Z12=0,"",Data!Z12)</f>
        <v>0.16742923392798301</v>
      </c>
      <c r="O12" s="2">
        <f>IF(Data!AA12=0,"",Data!AA12)</f>
        <v>2.10739131173131E-2</v>
      </c>
      <c r="P12" s="2" t="str">
        <f>IF(Data!AB12=0,"",Data!AB12)</f>
        <v/>
      </c>
      <c r="Q12" s="2" t="str">
        <f>IF(Data!AC12=0,"",Data!AC12)</f>
        <v/>
      </c>
      <c r="R12" s="2" t="str">
        <f>IF(Data!AD12=0,"",Data!AD12)</f>
        <v/>
      </c>
      <c r="S12" s="2" t="str">
        <f>IF(Data!AE12=0,"",Data!AE12)</f>
        <v/>
      </c>
      <c r="T12" s="2" t="str">
        <f>IF(Data!AF12=0,"",Data!AF12)</f>
        <v/>
      </c>
      <c r="U12" s="2" t="str">
        <f>IF(Data!AG12=0,"",Data!AG12)</f>
        <v/>
      </c>
      <c r="V12" s="2" t="str">
        <f>IF(Data!AH12=0,"",Data!AH12)</f>
        <v/>
      </c>
      <c r="W12" s="2" t="str">
        <f>IF(Data!AI12=0,"",Data!AI12)</f>
        <v/>
      </c>
    </row>
    <row r="13" spans="1:23">
      <c r="A13" s="1">
        <f>Data!A13</f>
        <v>43033</v>
      </c>
      <c r="B13" t="str">
        <f>Data!B13</f>
        <v>120001.SZ</v>
      </c>
      <c r="C13" t="str">
        <f>Data!C13</f>
        <v>16以岭EB</v>
      </c>
      <c r="D13" t="str">
        <f>Data!E13</f>
        <v>002603.SZ</v>
      </c>
      <c r="E13" t="str">
        <f>Data!F13</f>
        <v>以岭药业</v>
      </c>
      <c r="F13" s="6">
        <f>Data!D13</f>
        <v>108.4795</v>
      </c>
      <c r="G13" s="6">
        <f>Data!N13</f>
        <v>107.086666492414</v>
      </c>
      <c r="H13" s="2">
        <f t="shared" si="1"/>
        <v>1.3006600664749124E-2</v>
      </c>
      <c r="I13" s="2">
        <f>IF(Data!V13=0,"",Data!V13)</f>
        <v>-2.1841254301074501E-4</v>
      </c>
      <c r="J13" s="2">
        <f>IF(Data!W13=0,"",Data!W13)</f>
        <v>2.02225965179662E-2</v>
      </c>
      <c r="K13" s="2">
        <f t="shared" si="2"/>
        <v>0.74343509842873035</v>
      </c>
      <c r="L13" s="2">
        <f>IF(Data!X13=0,"",Data!X13)</f>
        <v>1.18114929568633E-2</v>
      </c>
      <c r="M13" s="2">
        <f>IF(Data!Y13=0,"",Data!Y13)</f>
        <v>1.5304979346096301E-2</v>
      </c>
      <c r="N13" s="2">
        <f>IF(Data!Z13=0,"",Data!Z13)</f>
        <v>2.62247667015428E-2</v>
      </c>
      <c r="O13" s="2">
        <f>IF(Data!AA13=0,"",Data!AA13)</f>
        <v>4.0189472676019997E-3</v>
      </c>
      <c r="P13" s="2">
        <f>IF(Data!AB13=0,"",Data!AB13)</f>
        <v>-2.0847868175832901E-3</v>
      </c>
      <c r="Q13" s="2">
        <f>IF(Data!AC13=0,"",Data!AC13)</f>
        <v>-2.4308191082693002E-2</v>
      </c>
      <c r="R13" s="2">
        <f>IF(Data!AD13=0,"",Data!AD13)</f>
        <v>-2.5744449604433201E-2</v>
      </c>
      <c r="S13" s="2">
        <f>IF(Data!AE13=0,"",Data!AE13)</f>
        <v>-2.22889691319226E-2</v>
      </c>
      <c r="T13" s="2">
        <f>IF(Data!AF13=0,"",Data!AF13)</f>
        <v>-1.5297363922210699E-3</v>
      </c>
      <c r="U13" s="2">
        <f>IF(Data!AG13=0,"",Data!AG13)</f>
        <v>5.9820521918880901E-4</v>
      </c>
      <c r="V13" s="2">
        <f>IF(Data!AH13=0,"",Data!AH13)</f>
        <v>-1.45999315275508E-2</v>
      </c>
      <c r="W13" s="2">
        <f>IF(Data!AI13=0,"",Data!AI13)</f>
        <v>2.7735763038031099E-2</v>
      </c>
    </row>
    <row r="14" spans="1:23">
      <c r="A14" s="1">
        <f>Data!A14</f>
        <v>43033</v>
      </c>
      <c r="B14" t="str">
        <f>Data!B14</f>
        <v>123001.SZ</v>
      </c>
      <c r="C14" t="str">
        <f>Data!C14</f>
        <v>蓝标转债</v>
      </c>
      <c r="D14" t="str">
        <f>Data!E14</f>
        <v>300058.SZ</v>
      </c>
      <c r="E14" t="str">
        <f>Data!F14</f>
        <v>蓝色光标</v>
      </c>
      <c r="F14" s="6">
        <f>Data!D14</f>
        <v>104.43259999999999</v>
      </c>
      <c r="G14" s="6">
        <f>Data!N14</f>
        <v>108.047489509464</v>
      </c>
      <c r="H14" s="2">
        <f t="shared" si="1"/>
        <v>-3.3456487752520858E-2</v>
      </c>
      <c r="I14" s="2">
        <f>IF(Data!V14=0,"",Data!V14)</f>
        <v>3.6960964395359203E-2</v>
      </c>
      <c r="J14" s="2">
        <f>IF(Data!W14=0,"",Data!W14)</f>
        <v>3.1993755535222497E-2</v>
      </c>
      <c r="K14" s="2">
        <f t="shared" si="2"/>
        <v>1.386890122046357E-2</v>
      </c>
      <c r="L14" s="2">
        <f>IF(Data!X14=0,"",Data!X14)</f>
        <v>-1.5903223435888201E-3</v>
      </c>
      <c r="M14" s="2">
        <f>IF(Data!Y14=0,"",Data!Y14)</f>
        <v>2.4132806280082301E-2</v>
      </c>
      <c r="N14" s="2">
        <f>IF(Data!Z14=0,"",Data!Z14)</f>
        <v>2.9963335357763101E-2</v>
      </c>
      <c r="O14" s="2">
        <f>IF(Data!AA14=0,"",Data!AA14)</f>
        <v>2.24472908830292E-2</v>
      </c>
      <c r="P14" s="2">
        <f>IF(Data!AB14=0,"",Data!AB14)</f>
        <v>-1.46372459897101E-2</v>
      </c>
      <c r="Q14" s="2">
        <f>IF(Data!AC14=0,"",Data!AC14)</f>
        <v>9.1862859933406593E-2</v>
      </c>
      <c r="R14" s="2">
        <f>IF(Data!AD14=0,"",Data!AD14)</f>
        <v>5.6968006829817897E-2</v>
      </c>
      <c r="S14" s="2">
        <f>IF(Data!AE14=0,"",Data!AE14)</f>
        <v>5.71233855376303E-2</v>
      </c>
      <c r="T14" s="2">
        <f>IF(Data!AF14=0,"",Data!AF14)</f>
        <v>6.6915032292239204E-2</v>
      </c>
      <c r="U14" s="2">
        <f>IF(Data!AG14=0,"",Data!AG14)</f>
        <v>5.2888827624591503E-2</v>
      </c>
      <c r="V14" s="2">
        <f>IF(Data!AH14=0,"",Data!AH14)</f>
        <v>5.5624180121677101E-2</v>
      </c>
      <c r="W14" s="2">
        <f>IF(Data!AI14=0,"",Data!AI14)</f>
        <v>2.3168737906079599E-2</v>
      </c>
    </row>
    <row r="15" spans="1:23">
      <c r="A15" s="1">
        <f>Data!A15</f>
        <v>43033</v>
      </c>
      <c r="B15" t="str">
        <f>Data!B15</f>
        <v>127003.SZ</v>
      </c>
      <c r="C15" t="str">
        <f>Data!C15</f>
        <v>海印转债</v>
      </c>
      <c r="D15" t="str">
        <f>Data!E15</f>
        <v>000861.SZ</v>
      </c>
      <c r="E15" t="str">
        <f>Data!F15</f>
        <v>海印股份</v>
      </c>
      <c r="F15" s="6">
        <f>Data!D15</f>
        <v>100.9324</v>
      </c>
      <c r="G15" s="6">
        <f>Data!N15</f>
        <v>97.926194099826006</v>
      </c>
      <c r="H15" s="2">
        <f t="shared" si="1"/>
        <v>3.0698690251450778E-2</v>
      </c>
      <c r="I15" s="2">
        <f>IF(Data!V15=0,"",Data!V15)</f>
        <v>1.4314904500717301E-2</v>
      </c>
      <c r="J15" s="2">
        <f>IF(Data!W15=0,"",Data!W15)</f>
        <v>3.4484888061081201E-2</v>
      </c>
      <c r="K15" s="2">
        <f t="shared" si="2"/>
        <v>0.68264231023303279</v>
      </c>
      <c r="L15" s="2">
        <f>IF(Data!X15=0,"",Data!X15)</f>
        <v>2.8861022199582399E-2</v>
      </c>
      <c r="M15" s="2">
        <f>IF(Data!Y15=0,"",Data!Y15)</f>
        <v>3.9162021798345298E-2</v>
      </c>
      <c r="N15" s="2">
        <f>IF(Data!Z15=0,"",Data!Z15)</f>
        <v>5.7687370743966702E-2</v>
      </c>
      <c r="O15" s="2">
        <f>IF(Data!AA15=0,"",Data!AA15)</f>
        <v>4.6817892717250502E-2</v>
      </c>
      <c r="P15" s="2">
        <f>IF(Data!AB15=0,"",Data!AB15)</f>
        <v>4.1137414608309303E-2</v>
      </c>
      <c r="Q15" s="2">
        <f>IF(Data!AC15=0,"",Data!AC15)</f>
        <v>3.2156188231471303E-2</v>
      </c>
      <c r="R15" s="2">
        <f>IF(Data!AD15=0,"",Data!AD15)</f>
        <v>2.6890253653285401E-2</v>
      </c>
      <c r="S15" s="2">
        <f>IF(Data!AE15=0,"",Data!AE15)</f>
        <v>1.7570560186098601E-2</v>
      </c>
      <c r="T15" s="2">
        <f>IF(Data!AF15=0,"",Data!AF15)</f>
        <v>-1.6015635275527702E-2</v>
      </c>
      <c r="U15" s="2">
        <f>IF(Data!AG15=0,"",Data!AG15)</f>
        <v>-3.8415136859875201E-2</v>
      </c>
      <c r="V15" s="2">
        <f>IF(Data!AH15=0,"",Data!AH15)</f>
        <v>-3.1705885830539203E-2</v>
      </c>
      <c r="W15" s="2">
        <f>IF(Data!AI15=0,"",Data!AI15)</f>
        <v>-1.2733610396095401E-2</v>
      </c>
    </row>
    <row r="16" spans="1:23">
      <c r="A16" s="1">
        <f>Data!A16</f>
        <v>43033</v>
      </c>
      <c r="B16" t="str">
        <f>Data!B16</f>
        <v>127004.SZ</v>
      </c>
      <c r="C16" t="str">
        <f>Data!C16</f>
        <v>模塑转债</v>
      </c>
      <c r="D16" t="str">
        <f>Data!E16</f>
        <v>000700.SZ</v>
      </c>
      <c r="E16" t="str">
        <f>Data!F16</f>
        <v>模塑科技</v>
      </c>
      <c r="F16" s="6">
        <f>Data!D16</f>
        <v>107.3014</v>
      </c>
      <c r="G16" s="6">
        <f>Data!N16</f>
        <v>110.452156122978</v>
      </c>
      <c r="H16" s="2">
        <f t="shared" si="1"/>
        <v>-2.8525981144903345E-2</v>
      </c>
      <c r="I16" s="2">
        <f>IF(Data!V16=0,"",Data!V16)</f>
        <v>-2.0331353797059901E-2</v>
      </c>
      <c r="J16" s="2">
        <f>IF(Data!W16=0,"",Data!W16)</f>
        <v>3.1374180920679298E-2</v>
      </c>
      <c r="K16" s="2">
        <f t="shared" si="2"/>
        <v>0.39697293283780694</v>
      </c>
      <c r="L16" s="2">
        <f>IF(Data!X16=0,"",Data!X16)</f>
        <v>-2.40760485590964E-2</v>
      </c>
      <c r="M16" s="2">
        <f>IF(Data!Y16=0,"",Data!Y16)</f>
        <v>-1.7054697708723001E-3</v>
      </c>
      <c r="N16" s="2">
        <f>IF(Data!Z16=0,"",Data!Z16)</f>
        <v>1.91065485501024E-3</v>
      </c>
      <c r="O16" s="2">
        <f>IF(Data!AA16=0,"",Data!AA16)</f>
        <v>-2.17852215074117E-2</v>
      </c>
      <c r="P16" s="2">
        <f>IF(Data!AB16=0,"",Data!AB16)</f>
        <v>-5.95455209267595E-2</v>
      </c>
      <c r="Q16" s="2" t="str">
        <f>IF(Data!AC16=0,"",Data!AC16)</f>
        <v/>
      </c>
      <c r="R16" s="2" t="str">
        <f>IF(Data!AD16=0,"",Data!AD16)</f>
        <v/>
      </c>
      <c r="S16" s="2" t="str">
        <f>IF(Data!AE16=0,"",Data!AE16)</f>
        <v/>
      </c>
      <c r="T16" s="2" t="str">
        <f>IF(Data!AF16=0,"",Data!AF16)</f>
        <v/>
      </c>
      <c r="U16" s="2" t="str">
        <f>IF(Data!AG16=0,"",Data!AG16)</f>
        <v/>
      </c>
      <c r="V16" s="2" t="str">
        <f>IF(Data!AH16=0,"",Data!AH16)</f>
        <v/>
      </c>
      <c r="W16" s="2" t="str">
        <f>IF(Data!AI16=0,"",Data!AI16)</f>
        <v/>
      </c>
    </row>
    <row r="17" spans="1:23">
      <c r="A17" s="1">
        <f>Data!A17</f>
        <v>43033</v>
      </c>
      <c r="B17" t="str">
        <f>Data!B17</f>
        <v>128010.SZ</v>
      </c>
      <c r="C17" t="str">
        <f>Data!C17</f>
        <v>顺昌转债</v>
      </c>
      <c r="D17" t="str">
        <f>Data!E17</f>
        <v>002245.SZ</v>
      </c>
      <c r="E17" t="str">
        <f>Data!F17</f>
        <v>澳洋顺昌</v>
      </c>
      <c r="F17" s="6">
        <f>Data!D17</f>
        <v>115.1657</v>
      </c>
      <c r="G17" s="6">
        <f>Data!N17</f>
        <v>121.75227009182601</v>
      </c>
      <c r="H17" s="2">
        <f t="shared" si="1"/>
        <v>-5.4098129643565529E-2</v>
      </c>
      <c r="I17" s="2">
        <f>IF(Data!V17=0,"",Data!V17)</f>
        <v>-3.8874718563437598E-2</v>
      </c>
      <c r="J17" s="2">
        <f>IF(Data!W17=0,"",Data!W17)</f>
        <v>4.8803666984673102E-2</v>
      </c>
      <c r="K17" s="2">
        <f t="shared" si="2"/>
        <v>0.37754621314247727</v>
      </c>
      <c r="L17" s="2">
        <f>IF(Data!X17=0,"",Data!X17)</f>
        <v>-8.0428510794126606E-3</v>
      </c>
      <c r="M17" s="2">
        <f>IF(Data!Y17=0,"",Data!Y17)</f>
        <v>2.7272893261696001E-2</v>
      </c>
      <c r="N17" s="2">
        <f>IF(Data!Z17=0,"",Data!Z17)</f>
        <v>3.8001215926298099E-2</v>
      </c>
      <c r="O17" s="2">
        <f>IF(Data!AA17=0,"",Data!AA17)</f>
        <v>1.7188945997378E-2</v>
      </c>
      <c r="P17" s="2">
        <f>IF(Data!AB17=0,"",Data!AB17)</f>
        <v>-2.5302147264597601E-2</v>
      </c>
      <c r="Q17" s="2">
        <f>IF(Data!AC17=0,"",Data!AC17)</f>
        <v>-5.97470353375186E-2</v>
      </c>
      <c r="R17" s="2">
        <f>IF(Data!AD17=0,"",Data!AD17)</f>
        <v>-4.7444147413765798E-2</v>
      </c>
      <c r="S17" s="2">
        <f>IF(Data!AE17=0,"",Data!AE17)</f>
        <v>-6.22774836583984E-2</v>
      </c>
      <c r="T17" s="2">
        <f>IF(Data!AF17=0,"",Data!AF17)</f>
        <v>-8.3755383284628504E-2</v>
      </c>
      <c r="U17" s="2">
        <f>IF(Data!AG17=0,"",Data!AG17)</f>
        <v>-8.7733675927879895E-2</v>
      </c>
      <c r="V17" s="2">
        <f>IF(Data!AH17=0,"",Data!AH17)</f>
        <v>-7.5844350348641495E-2</v>
      </c>
      <c r="W17" s="2">
        <f>IF(Data!AI17=0,"",Data!AI17)</f>
        <v>-7.0993417063771699E-2</v>
      </c>
    </row>
    <row r="18" spans="1:23">
      <c r="A18" s="1">
        <f>Data!A18</f>
        <v>43033</v>
      </c>
      <c r="B18" t="str">
        <f>Data!B18</f>
        <v>128012.SZ</v>
      </c>
      <c r="C18" t="str">
        <f>Data!C18</f>
        <v>辉丰转债</v>
      </c>
      <c r="D18" t="str">
        <f>Data!E18</f>
        <v>002496.SZ</v>
      </c>
      <c r="E18" t="str">
        <f>Data!F18</f>
        <v>辉丰股份</v>
      </c>
      <c r="F18" s="6">
        <f>Data!D18</f>
        <v>105.04640000000001</v>
      </c>
      <c r="G18" s="6">
        <f>Data!N18</f>
        <v>100.71477062835601</v>
      </c>
      <c r="H18" s="2">
        <f t="shared" si="1"/>
        <v>4.3008878882601964E-2</v>
      </c>
      <c r="I18" s="2">
        <f>IF(Data!V18=0,"",Data!V18)</f>
        <v>0.121119034071158</v>
      </c>
      <c r="J18" s="2">
        <f>IF(Data!W18=0,"",Data!W18)</f>
        <v>3.8277701752493003E-2</v>
      </c>
      <c r="K18" s="2">
        <f t="shared" si="2"/>
        <v>2.064442140655702E-2</v>
      </c>
      <c r="L18" s="2">
        <f>IF(Data!X18=0,"",Data!X18)</f>
        <v>5.5282327118502401E-2</v>
      </c>
      <c r="M18" s="2">
        <f>IF(Data!Y18=0,"",Data!Y18)</f>
        <v>8.5691780462897105E-2</v>
      </c>
      <c r="N18" s="2">
        <f>IF(Data!Z18=0,"",Data!Z18)</f>
        <v>0.116191303330528</v>
      </c>
      <c r="O18" s="2">
        <f>IF(Data!AA18=0,"",Data!AA18)</f>
        <v>0.120125199320143</v>
      </c>
      <c r="P18" s="2">
        <f>IF(Data!AB18=0,"",Data!AB18)</f>
        <v>0.119138868818666</v>
      </c>
      <c r="Q18" s="2">
        <f>IF(Data!AC18=0,"",Data!AC18)</f>
        <v>0.13622761457853699</v>
      </c>
      <c r="R18" s="2">
        <f>IF(Data!AD18=0,"",Data!AD18)</f>
        <v>0.14487111797968599</v>
      </c>
      <c r="S18" s="2">
        <f>IF(Data!AE18=0,"",Data!AE18)</f>
        <v>0.14787306622188601</v>
      </c>
      <c r="T18" s="2">
        <f>IF(Data!AF18=0,"",Data!AF18)</f>
        <v>0.16276475223824</v>
      </c>
      <c r="U18" s="2">
        <f>IF(Data!AG18=0,"",Data!AG18)</f>
        <v>0.15534119709643501</v>
      </c>
      <c r="V18" s="2">
        <f>IF(Data!AH18=0,"",Data!AH18)</f>
        <v>0.15532088344132</v>
      </c>
      <c r="W18" s="2">
        <f>IF(Data!AI18=0,"",Data!AI18)</f>
        <v>8.9538637419793607E-2</v>
      </c>
    </row>
    <row r="19" spans="1:23">
      <c r="A19" s="1">
        <f>Data!A19</f>
        <v>43033</v>
      </c>
      <c r="B19" t="str">
        <f>Data!B19</f>
        <v>128013.SZ</v>
      </c>
      <c r="C19" t="str">
        <f>Data!C19</f>
        <v>洪涛转债</v>
      </c>
      <c r="D19" t="str">
        <f>Data!E19</f>
        <v>002325.SZ</v>
      </c>
      <c r="E19" t="str">
        <f>Data!F19</f>
        <v>洪涛股份</v>
      </c>
      <c r="F19" s="6">
        <f>Data!D19</f>
        <v>100.9353</v>
      </c>
      <c r="G19" s="6">
        <f>Data!N19</f>
        <v>99.652011891424806</v>
      </c>
      <c r="H19" s="2">
        <f t="shared" si="1"/>
        <v>1.2877693929284506E-2</v>
      </c>
      <c r="I19" s="2">
        <f>IF(Data!V19=0,"",Data!V19)</f>
        <v>1.5338167463493599E-2</v>
      </c>
      <c r="J19" s="2">
        <f>IF(Data!W19=0,"",Data!W19)</f>
        <v>2.4729996767015601E-2</v>
      </c>
      <c r="K19" s="2">
        <f t="shared" si="2"/>
        <v>0.46037323067845454</v>
      </c>
      <c r="L19" s="2">
        <f>IF(Data!X19=0,"",Data!X19)</f>
        <v>1.1766151877122001E-2</v>
      </c>
      <c r="M19" s="2">
        <f>IF(Data!Y19=0,"",Data!Y19)</f>
        <v>1.53029001040253E-2</v>
      </c>
      <c r="N19" s="2">
        <f>IF(Data!Z19=0,"",Data!Z19)</f>
        <v>2.2656660986593E-2</v>
      </c>
      <c r="O19" s="2">
        <f>IF(Data!AA19=0,"",Data!AA19)</f>
        <v>-1.6957148188072702E-2</v>
      </c>
      <c r="P19" s="2">
        <f>IF(Data!AB19=0,"",Data!AB19)</f>
        <v>-2.7688658888574999E-3</v>
      </c>
      <c r="Q19" s="2">
        <f>IF(Data!AC19=0,"",Data!AC19)</f>
        <v>4.4305270320695499E-2</v>
      </c>
      <c r="R19" s="2">
        <f>IF(Data!AD19=0,"",Data!AD19)</f>
        <v>3.9524308200140197E-2</v>
      </c>
      <c r="S19" s="2">
        <f>IF(Data!AE19=0,"",Data!AE19)</f>
        <v>3.6483496264697199E-2</v>
      </c>
      <c r="T19" s="2">
        <f>IF(Data!AF19=0,"",Data!AF19)</f>
        <v>3.3224476218895703E-2</v>
      </c>
      <c r="U19" s="2">
        <f>IF(Data!AG19=0,"",Data!AG19)</f>
        <v>2.19508598870648E-2</v>
      </c>
      <c r="V19" s="2">
        <f>IF(Data!AH19=0,"",Data!AH19)</f>
        <v>1.25004179964827E-2</v>
      </c>
      <c r="W19" s="2">
        <f>IF(Data!AI19=0,"",Data!AI19)</f>
        <v>-3.0639196754808501E-3</v>
      </c>
    </row>
    <row r="20" spans="1:23">
      <c r="A20" s="1">
        <f>Data!A20</f>
        <v>43033</v>
      </c>
      <c r="B20" t="str">
        <f>Data!B20</f>
        <v>128014.SZ</v>
      </c>
      <c r="C20" t="str">
        <f>Data!C20</f>
        <v>永东转债</v>
      </c>
      <c r="D20" t="str">
        <f>Data!E20</f>
        <v>002753.SZ</v>
      </c>
      <c r="E20" t="str">
        <f>Data!F20</f>
        <v>永东股份</v>
      </c>
      <c r="F20" s="6">
        <f>Data!D20</f>
        <v>114.5314</v>
      </c>
      <c r="G20" s="6">
        <f>Data!N20</f>
        <v>139.88896222615799</v>
      </c>
      <c r="H20" s="2">
        <f t="shared" si="1"/>
        <v>-0.1812692139724541</v>
      </c>
      <c r="I20" s="2">
        <f>IF(Data!V20=0,"",Data!V20)</f>
        <v>-0.1640415740674</v>
      </c>
      <c r="J20" s="2">
        <f>IF(Data!W20=0,"",Data!W20)</f>
        <v>4.1499984098945099E-2</v>
      </c>
      <c r="K20" s="2">
        <f t="shared" si="2"/>
        <v>0.33902556104901738</v>
      </c>
      <c r="L20" s="2">
        <f>IF(Data!X20=0,"",Data!X20)</f>
        <v>-0.19663956065190399</v>
      </c>
      <c r="M20" s="2">
        <f>IF(Data!Y20=0,"",Data!Y20)</f>
        <v>-0.217604870377161</v>
      </c>
      <c r="N20" s="2">
        <f>IF(Data!Z20=0,"",Data!Z20)</f>
        <v>-0.199816698163991</v>
      </c>
      <c r="O20" s="2">
        <f>IF(Data!AA20=0,"",Data!AA20)</f>
        <v>-0.14598764499892999</v>
      </c>
      <c r="P20" s="2">
        <f>IF(Data!AB20=0,"",Data!AB20)</f>
        <v>-0.11432852003251399</v>
      </c>
      <c r="Q20" s="2">
        <f>IF(Data!AC20=0,"",Data!AC20)</f>
        <v>-0.134435271459692</v>
      </c>
      <c r="R20" s="2">
        <f>IF(Data!AD20=0,"",Data!AD20)</f>
        <v>-0.133393058970835</v>
      </c>
      <c r="S20" s="2" t="str">
        <f>IF(Data!AE20=0,"",Data!AE20)</f>
        <v/>
      </c>
      <c r="T20" s="2" t="str">
        <f>IF(Data!AF20=0,"",Data!AF20)</f>
        <v/>
      </c>
      <c r="U20" s="2" t="str">
        <f>IF(Data!AG20=0,"",Data!AG20)</f>
        <v/>
      </c>
      <c r="V20" s="2" t="str">
        <f>IF(Data!AH20=0,"",Data!AH20)</f>
        <v/>
      </c>
      <c r="W20" s="2" t="str">
        <f>IF(Data!AI20=0,"",Data!AI20)</f>
        <v/>
      </c>
    </row>
    <row r="21" spans="1:23">
      <c r="A21" s="1">
        <f>Data!A21</f>
        <v>43033</v>
      </c>
      <c r="B21" t="str">
        <f>Data!B21</f>
        <v>128015.SZ</v>
      </c>
      <c r="C21" t="str">
        <f>Data!C21</f>
        <v>久其转债</v>
      </c>
      <c r="D21" t="str">
        <f>Data!E21</f>
        <v>002279.SZ</v>
      </c>
      <c r="E21" t="str">
        <f>Data!F21</f>
        <v>久其软件</v>
      </c>
      <c r="F21" s="6">
        <f>Data!D21</f>
        <v>113.7868</v>
      </c>
      <c r="G21" s="6">
        <f>Data!N21</f>
        <v>115.051517490587</v>
      </c>
      <c r="H21" s="2">
        <f t="shared" si="1"/>
        <v>-1.0992618942991972E-2</v>
      </c>
      <c r="I21" s="2">
        <f>IF(Data!V21=0,"",Data!V21)</f>
        <v>-3.0229784669977399E-2</v>
      </c>
      <c r="J21" s="2">
        <f>IF(Data!W21=0,"",Data!W21)</f>
        <v>5.79586596943771E-2</v>
      </c>
      <c r="K21" s="2">
        <f t="shared" si="2"/>
        <v>0.63002208738401189</v>
      </c>
      <c r="L21" s="2">
        <f>IF(Data!X21=0,"",Data!X21)</f>
        <v>-1.26145274585103E-2</v>
      </c>
      <c r="M21" s="2">
        <f>IF(Data!Y21=0,"",Data!Y21)</f>
        <v>-3.4637958882455101E-3</v>
      </c>
      <c r="N21" s="2">
        <f>IF(Data!Z21=0,"",Data!Z21)</f>
        <v>9.8117099410860407E-3</v>
      </c>
      <c r="O21" s="2">
        <f>IF(Data!AA21=0,"",Data!AA21)</f>
        <v>-2.5139678070061799E-2</v>
      </c>
      <c r="P21" s="2">
        <f>IF(Data!AB21=0,"",Data!AB21)</f>
        <v>-0.13722570954163199</v>
      </c>
      <c r="Q21" s="2" t="str">
        <f>IF(Data!AC21=0,"",Data!AC21)</f>
        <v/>
      </c>
      <c r="R21" s="2" t="str">
        <f>IF(Data!AD21=0,"",Data!AD21)</f>
        <v/>
      </c>
      <c r="S21" s="2" t="str">
        <f>IF(Data!AE21=0,"",Data!AE21)</f>
        <v/>
      </c>
      <c r="T21" s="2" t="str">
        <f>IF(Data!AF21=0,"",Data!AF21)</f>
        <v/>
      </c>
      <c r="U21" s="2" t="str">
        <f>IF(Data!AG21=0,"",Data!AG21)</f>
        <v/>
      </c>
      <c r="V21" s="2" t="str">
        <f>IF(Data!AH21=0,"",Data!AH21)</f>
        <v/>
      </c>
      <c r="W21" s="2" t="str">
        <f>IF(Data!AI21=0,"",Data!AI21)</f>
        <v/>
      </c>
    </row>
    <row r="22" spans="1:23">
      <c r="A22" s="1">
        <f>Data!A22</f>
        <v>43033</v>
      </c>
      <c r="B22" t="str">
        <f>Data!B22</f>
        <v>128016.SZ</v>
      </c>
      <c r="C22" t="str">
        <f>Data!C22</f>
        <v>雨虹转债</v>
      </c>
      <c r="D22" t="str">
        <f>Data!E22</f>
        <v>002271.SZ</v>
      </c>
      <c r="E22" t="str">
        <f>Data!F22</f>
        <v>东方雨虹</v>
      </c>
      <c r="F22" s="6">
        <f>Data!D22</f>
        <v>119.9393</v>
      </c>
      <c r="G22" s="6">
        <f>Data!N22</f>
        <v>120.674033095116</v>
      </c>
      <c r="H22" s="2">
        <f t="shared" si="1"/>
        <v>-6.0885766081661963E-3</v>
      </c>
      <c r="I22" s="2">
        <f>IF(Data!V22=0,"",Data!V22)</f>
        <v>-0.126517139873149</v>
      </c>
      <c r="J22" s="2">
        <f>IF(Data!W22=0,"",Data!W22)</f>
        <v>7.0985948608566093E-2</v>
      </c>
      <c r="K22" s="2">
        <f t="shared" si="2"/>
        <v>0.95510558635090081</v>
      </c>
      <c r="L22" s="2">
        <f>IF(Data!X22=0,"",Data!X22)</f>
        <v>-0.115217298743252</v>
      </c>
      <c r="M22" s="2">
        <f>IF(Data!Y22=0,"",Data!Y22)</f>
        <v>-0.15589672681088401</v>
      </c>
      <c r="N22" s="2" t="str">
        <f>IF(Data!Z22=0,"",Data!Z22)</f>
        <v/>
      </c>
      <c r="O22" s="2" t="str">
        <f>IF(Data!AA22=0,"",Data!AA22)</f>
        <v/>
      </c>
      <c r="P22" s="2" t="str">
        <f>IF(Data!AB22=0,"",Data!AB22)</f>
        <v/>
      </c>
      <c r="Q22" s="2" t="str">
        <f>IF(Data!AC22=0,"",Data!AC22)</f>
        <v/>
      </c>
      <c r="R22" s="2" t="str">
        <f>IF(Data!AD22=0,"",Data!AD22)</f>
        <v/>
      </c>
      <c r="S22" s="2" t="str">
        <f>IF(Data!AE22=0,"",Data!AE22)</f>
        <v/>
      </c>
      <c r="T22" s="2" t="str">
        <f>IF(Data!AF22=0,"",Data!AF22)</f>
        <v/>
      </c>
      <c r="U22" s="2" t="str">
        <f>IF(Data!AG22=0,"",Data!AG22)</f>
        <v/>
      </c>
      <c r="V22" s="2" t="str">
        <f>IF(Data!AH22=0,"",Data!AH22)</f>
        <v/>
      </c>
      <c r="W22" s="2" t="str">
        <f>IF(Data!AI22=0,"",Data!AI22)</f>
        <v/>
      </c>
    </row>
    <row r="23" spans="1:23">
      <c r="A23" s="1">
        <f>Data!A23</f>
        <v>43033</v>
      </c>
      <c r="B23" t="str">
        <f>Data!B23</f>
        <v>132001.SH</v>
      </c>
      <c r="C23" t="str">
        <f>Data!C23</f>
        <v>14宝钢EB</v>
      </c>
      <c r="D23" t="str">
        <f>Data!E23</f>
        <v>601336.SH</v>
      </c>
      <c r="E23" t="str">
        <f>Data!F23</f>
        <v>新华保险</v>
      </c>
      <c r="F23" s="6">
        <f>Data!D23</f>
        <v>140.30000000000001</v>
      </c>
      <c r="G23" s="6">
        <f>Data!N23</f>
        <v>144.021089866165</v>
      </c>
      <c r="H23" s="2">
        <f t="shared" si="1"/>
        <v>-2.5837117811168486E-2</v>
      </c>
      <c r="I23" s="2">
        <f>IF(Data!V23=0,"",Data!V23)</f>
        <v>3.8592897135716802E-3</v>
      </c>
      <c r="J23" s="2">
        <f>IF(Data!W23=0,"",Data!W23)</f>
        <v>2.6623779013171599E-2</v>
      </c>
      <c r="K23" s="2">
        <f t="shared" si="2"/>
        <v>0.13233755866896466</v>
      </c>
      <c r="L23" s="2">
        <f>IF(Data!X23=0,"",Data!X23)</f>
        <v>-1.1574144773287101E-2</v>
      </c>
      <c r="M23" s="2">
        <f>IF(Data!Y23=0,"",Data!Y23)</f>
        <v>1.1911418647532999E-2</v>
      </c>
      <c r="N23" s="2">
        <f>IF(Data!Z23=0,"",Data!Z23)</f>
        <v>-1.5547543179172899E-2</v>
      </c>
      <c r="O23" s="2">
        <f>IF(Data!AA23=0,"",Data!AA23)</f>
        <v>-1.30285291955022E-2</v>
      </c>
      <c r="P23" s="2">
        <f>IF(Data!AB23=0,"",Data!AB23)</f>
        <v>-3.4033998743630898E-3</v>
      </c>
      <c r="Q23" s="2">
        <f>IF(Data!AC23=0,"",Data!AC23)</f>
        <v>-3.2247200402336897E-2</v>
      </c>
      <c r="R23" s="2">
        <f>IF(Data!AD23=0,"",Data!AD23)</f>
        <v>-9.3154701821645102E-3</v>
      </c>
      <c r="S23" s="2">
        <f>IF(Data!AE23=0,"",Data!AE23)</f>
        <v>-4.8814367035250898E-4</v>
      </c>
      <c r="T23" s="2">
        <f>IF(Data!AF23=0,"",Data!AF23)</f>
        <v>-1.80834911250938E-3</v>
      </c>
      <c r="U23" s="2">
        <f>IF(Data!AG23=0,"",Data!AG23)</f>
        <v>1.20222737112645E-2</v>
      </c>
      <c r="V23" s="2">
        <f>IF(Data!AH23=0,"",Data!AH23)</f>
        <v>2.1450849725337399E-2</v>
      </c>
      <c r="W23" s="2">
        <f>IF(Data!AI23=0,"",Data!AI23)</f>
        <v>5.4404327529804598E-2</v>
      </c>
    </row>
    <row r="24" spans="1:23">
      <c r="A24" s="1">
        <f>Data!A24</f>
        <v>43033</v>
      </c>
      <c r="B24" t="str">
        <f>Data!B24</f>
        <v>132002.SH</v>
      </c>
      <c r="C24" t="str">
        <f>Data!C24</f>
        <v>15天集EB</v>
      </c>
      <c r="D24" t="str">
        <f>Data!E24</f>
        <v>600535.SH</v>
      </c>
      <c r="E24" t="str">
        <f>Data!F24</f>
        <v>天士力</v>
      </c>
      <c r="F24" s="6">
        <f>Data!D24</f>
        <v>103.6</v>
      </c>
      <c r="G24" s="6">
        <f>Data!N24</f>
        <v>92.054207267904502</v>
      </c>
      <c r="H24" s="2">
        <f t="shared" si="1"/>
        <v>0.12542384617461177</v>
      </c>
      <c r="I24" s="2">
        <f>IF(Data!V24=0,"",Data!V24)</f>
        <v>0.112125311405227</v>
      </c>
      <c r="J24" s="2">
        <f>IF(Data!W24=0,"",Data!W24)</f>
        <v>1.6211955549000699E-2</v>
      </c>
      <c r="K24" s="2">
        <f t="shared" si="2"/>
        <v>0.79397512010185334</v>
      </c>
      <c r="L24" s="2">
        <f>IF(Data!X24=0,"",Data!X24)</f>
        <v>0.124276893970104</v>
      </c>
      <c r="M24" s="2">
        <f>IF(Data!Y24=0,"",Data!Y24)</f>
        <v>0.13046130242630399</v>
      </c>
      <c r="N24" s="2">
        <f>IF(Data!Z24=0,"",Data!Z24)</f>
        <v>0.12811014658498901</v>
      </c>
      <c r="O24" s="2">
        <f>IF(Data!AA24=0,"",Data!AA24)</f>
        <v>0.122106794087927</v>
      </c>
      <c r="P24" s="2">
        <f>IF(Data!AB24=0,"",Data!AB24)</f>
        <v>0.13053309904238899</v>
      </c>
      <c r="Q24" s="2">
        <f>IF(Data!AC24=0,"",Data!AC24)</f>
        <v>0.11111255248416101</v>
      </c>
      <c r="R24" s="2">
        <f>IF(Data!AD24=0,"",Data!AD24)</f>
        <v>9.9558537784547804E-2</v>
      </c>
      <c r="S24" s="2">
        <f>IF(Data!AE24=0,"",Data!AE24)</f>
        <v>0.10569657143412001</v>
      </c>
      <c r="T24" s="2">
        <f>IF(Data!AF24=0,"",Data!AF24)</f>
        <v>0.114844734761814</v>
      </c>
      <c r="U24" s="2">
        <f>IF(Data!AG24=0,"",Data!AG24)</f>
        <v>9.5094528183474497E-2</v>
      </c>
      <c r="V24" s="2">
        <f>IF(Data!AH24=0,"",Data!AH24)</f>
        <v>8.6073043466407803E-2</v>
      </c>
      <c r="W24" s="2">
        <f>IF(Data!AI24=0,"",Data!AI24)</f>
        <v>0.108048134108701</v>
      </c>
    </row>
    <row r="25" spans="1:23">
      <c r="A25" s="1">
        <f>Data!A25</f>
        <v>43033</v>
      </c>
      <c r="B25" t="str">
        <f>Data!B25</f>
        <v>132003.SH</v>
      </c>
      <c r="C25" t="str">
        <f>Data!C25</f>
        <v>15清控EB</v>
      </c>
      <c r="D25" t="str">
        <f>Data!E25</f>
        <v>600109.SH</v>
      </c>
      <c r="E25" t="str">
        <f>Data!F25</f>
        <v>国金证券</v>
      </c>
      <c r="F25" s="6">
        <f>Data!D25</f>
        <v>102.13</v>
      </c>
      <c r="G25" s="6">
        <f>Data!N25</f>
        <v>98.250968719983206</v>
      </c>
      <c r="H25" s="2">
        <f t="shared" si="1"/>
        <v>3.9480845131126374E-2</v>
      </c>
      <c r="I25" s="2">
        <f>IF(Data!V25=0,"",Data!V25)</f>
        <v>8.6400796574885003E-2</v>
      </c>
      <c r="J25" s="2">
        <f>IF(Data!W25=0,"",Data!W25)</f>
        <v>3.83131282715264E-2</v>
      </c>
      <c r="K25" s="2">
        <f t="shared" si="2"/>
        <v>0.11035464782995677</v>
      </c>
      <c r="L25" s="2">
        <f>IF(Data!X25=0,"",Data!X25)</f>
        <v>4.2096368679950001E-2</v>
      </c>
      <c r="M25" s="2">
        <f>IF(Data!Y25=0,"",Data!Y25)</f>
        <v>5.1691637039516798E-2</v>
      </c>
      <c r="N25" s="2">
        <f>IF(Data!Z25=0,"",Data!Z25)</f>
        <v>6.8642226312463694E-2</v>
      </c>
      <c r="O25" s="2">
        <f>IF(Data!AA25=0,"",Data!AA25)</f>
        <v>6.9274509947361507E-2</v>
      </c>
      <c r="P25" s="2">
        <f>IF(Data!AB25=0,"",Data!AB25)</f>
        <v>5.64202278022886E-2</v>
      </c>
      <c r="Q25" s="2">
        <f>IF(Data!AC25=0,"",Data!AC25)</f>
        <v>4.6074026708987803E-2</v>
      </c>
      <c r="R25" s="2">
        <f>IF(Data!AD25=0,"",Data!AD25)</f>
        <v>5.8520006370922202E-2</v>
      </c>
      <c r="S25" s="2">
        <f>IF(Data!AE25=0,"",Data!AE25)</f>
        <v>9.8222245283364804E-2</v>
      </c>
      <c r="T25" s="2">
        <f>IF(Data!AF25=0,"",Data!AF25)</f>
        <v>0.119216721471503</v>
      </c>
      <c r="U25" s="2">
        <f>IF(Data!AG25=0,"",Data!AG25)</f>
        <v>0.11675218909893</v>
      </c>
      <c r="V25" s="2">
        <f>IF(Data!AH25=0,"",Data!AH25)</f>
        <v>0.114644040930832</v>
      </c>
      <c r="W25" s="2">
        <f>IF(Data!AI25=0,"",Data!AI25)</f>
        <v>0.16150769180024999</v>
      </c>
    </row>
    <row r="26" spans="1:23">
      <c r="A26" s="1">
        <f>Data!A26</f>
        <v>43033</v>
      </c>
      <c r="B26" t="str">
        <f>Data!B26</f>
        <v>132004.SH</v>
      </c>
      <c r="C26" t="str">
        <f>Data!C26</f>
        <v>15国盛EB</v>
      </c>
      <c r="D26" t="str">
        <f>Data!E26</f>
        <v>600170.SH</v>
      </c>
      <c r="E26" t="str">
        <f>Data!F26</f>
        <v>上海建工</v>
      </c>
      <c r="F26" s="6">
        <f>Data!D26</f>
        <v>92.85</v>
      </c>
      <c r="G26" s="6">
        <f>Data!N26</f>
        <v>90.370756170438199</v>
      </c>
      <c r="H26" s="2">
        <f t="shared" si="1"/>
        <v>2.743413837199693E-2</v>
      </c>
      <c r="I26" s="2">
        <f>IF(Data!V26=0,"",Data!V26)</f>
        <v>4.5574656401794901E-2</v>
      </c>
      <c r="J26" s="2">
        <f>IF(Data!W26=0,"",Data!W26)</f>
        <v>1.24568695047397E-2</v>
      </c>
      <c r="K26" s="2">
        <f t="shared" si="2"/>
        <v>7.2659522557042527E-2</v>
      </c>
      <c r="L26" s="2">
        <f>IF(Data!X26=0,"",Data!X26)</f>
        <v>2.7715864666197701E-2</v>
      </c>
      <c r="M26" s="2">
        <f>IF(Data!Y26=0,"",Data!Y26)</f>
        <v>3.2251736319454598E-2</v>
      </c>
      <c r="N26" s="2">
        <f>IF(Data!Z26=0,"",Data!Z26)</f>
        <v>4.3778004845818501E-2</v>
      </c>
      <c r="O26" s="2">
        <f>IF(Data!AA26=0,"",Data!AA26)</f>
        <v>3.91908602366784E-2</v>
      </c>
      <c r="P26" s="2">
        <f>IF(Data!AB26=0,"",Data!AB26)</f>
        <v>4.3298993303570801E-2</v>
      </c>
      <c r="Q26" s="2">
        <f>IF(Data!AC26=0,"",Data!AC26)</f>
        <v>3.4556127903019498E-2</v>
      </c>
      <c r="R26" s="2">
        <f>IF(Data!AD26=0,"",Data!AD26)</f>
        <v>4.15225101551484E-2</v>
      </c>
      <c r="S26" s="2">
        <f>IF(Data!AE26=0,"",Data!AE26)</f>
        <v>6.4566577364886996E-2</v>
      </c>
      <c r="T26" s="2">
        <f>IF(Data!AF26=0,"",Data!AF26)</f>
        <v>5.7415856721002002E-2</v>
      </c>
      <c r="U26" s="2">
        <f>IF(Data!AG26=0,"",Data!AG26)</f>
        <v>4.2834995431011998E-2</v>
      </c>
      <c r="V26" s="2">
        <f>IF(Data!AH26=0,"",Data!AH26)</f>
        <v>5.4985653701809301E-2</v>
      </c>
      <c r="W26" s="2">
        <f>IF(Data!AI26=0,"",Data!AI26)</f>
        <v>5.85304441790249E-2</v>
      </c>
    </row>
    <row r="27" spans="1:23">
      <c r="A27" s="1">
        <f>Data!A27</f>
        <v>43033</v>
      </c>
      <c r="B27" t="str">
        <f>Data!B27</f>
        <v>132005.SH</v>
      </c>
      <c r="C27" t="str">
        <f>Data!C27</f>
        <v>15国资EB</v>
      </c>
      <c r="D27" t="str">
        <f>Data!E27</f>
        <v>601601.SH</v>
      </c>
      <c r="E27" t="str">
        <f>Data!F27</f>
        <v>中国太保</v>
      </c>
      <c r="F27" s="6">
        <f>Data!D27</f>
        <v>125.43</v>
      </c>
      <c r="G27" s="6">
        <f>Data!N27</f>
        <v>124.366972171801</v>
      </c>
      <c r="H27" s="2">
        <f t="shared" si="1"/>
        <v>8.5475091146429705E-3</v>
      </c>
      <c r="I27" s="2">
        <f>IF(Data!V27=0,"",Data!V27)</f>
        <v>4.4406559995891902E-2</v>
      </c>
      <c r="J27" s="2">
        <f>IF(Data!W27=0,"",Data!W27)</f>
        <v>2.4059529518660201E-2</v>
      </c>
      <c r="K27" s="2">
        <f t="shared" si="2"/>
        <v>6.8055570242472871E-2</v>
      </c>
      <c r="L27" s="2">
        <f>IF(Data!X27=0,"",Data!X27)</f>
        <v>4.5942612917487698E-3</v>
      </c>
      <c r="M27" s="2">
        <f>IF(Data!Y27=0,"",Data!Y27)</f>
        <v>2.4967973515629401E-2</v>
      </c>
      <c r="N27" s="2">
        <f>IF(Data!Z27=0,"",Data!Z27)</f>
        <v>3.07801841635966E-2</v>
      </c>
      <c r="O27" s="2">
        <f>IF(Data!AA27=0,"",Data!AA27)</f>
        <v>2.80064704348136E-2</v>
      </c>
      <c r="P27" s="2">
        <f>IF(Data!AB27=0,"",Data!AB27)</f>
        <v>1.9210297244119798E-2</v>
      </c>
      <c r="Q27" s="2">
        <f>IF(Data!AC27=0,"",Data!AC27)</f>
        <v>3.25138373682545E-2</v>
      </c>
      <c r="R27" s="2">
        <f>IF(Data!AD27=0,"",Data!AD27)</f>
        <v>3.3362227751618602E-2</v>
      </c>
      <c r="S27" s="2">
        <f>IF(Data!AE27=0,"",Data!AE27)</f>
        <v>5.9441082552434001E-2</v>
      </c>
      <c r="T27" s="2">
        <f>IF(Data!AF27=0,"",Data!AF27)</f>
        <v>7.4860244802746195E-2</v>
      </c>
      <c r="U27" s="2">
        <f>IF(Data!AG27=0,"",Data!AG27)</f>
        <v>7.2305340338014404E-2</v>
      </c>
      <c r="V27" s="2">
        <f>IF(Data!AH27=0,"",Data!AH27)</f>
        <v>7.0570787623700601E-2</v>
      </c>
      <c r="W27" s="2">
        <f>IF(Data!AI27=0,"",Data!AI27)</f>
        <v>6.68712766263002E-2</v>
      </c>
    </row>
    <row r="28" spans="1:23">
      <c r="A28" s="1">
        <f>Data!A28</f>
        <v>43033</v>
      </c>
      <c r="B28" t="str">
        <f>Data!B28</f>
        <v>132006.SH</v>
      </c>
      <c r="C28" t="str">
        <f>Data!C28</f>
        <v>16皖新EB</v>
      </c>
      <c r="D28" t="str">
        <f>Data!E28</f>
        <v>601801.SH</v>
      </c>
      <c r="E28" t="str">
        <f>Data!F28</f>
        <v>皖新传媒</v>
      </c>
      <c r="F28" s="6">
        <f>Data!D28</f>
        <v>101.99</v>
      </c>
      <c r="G28" s="6">
        <f>Data!N28</f>
        <v>106.79602035262</v>
      </c>
      <c r="H28" s="2">
        <f t="shared" si="1"/>
        <v>-4.5001867454905642E-2</v>
      </c>
      <c r="I28" s="2">
        <f>IF(Data!V28=0,"",Data!V28)</f>
        <v>-0.13616503309536199</v>
      </c>
      <c r="J28" s="2">
        <f>IF(Data!W28=0,"",Data!W28)</f>
        <v>6.8392913524326596E-2</v>
      </c>
      <c r="K28" s="2">
        <f t="shared" si="2"/>
        <v>0.90872309022368103</v>
      </c>
      <c r="L28" s="2">
        <f>IF(Data!X28=0,"",Data!X28)</f>
        <v>-4.7696353228807498E-2</v>
      </c>
      <c r="M28" s="2">
        <f>IF(Data!Y28=0,"",Data!Y28)</f>
        <v>-5.0017080361870303E-2</v>
      </c>
      <c r="N28" s="2">
        <f>IF(Data!Z28=0,"",Data!Z28)</f>
        <v>-6.2725336673352894E-2</v>
      </c>
      <c r="O28" s="2">
        <f>IF(Data!AA28=0,"",Data!AA28)</f>
        <v>-7.63261571408618E-2</v>
      </c>
      <c r="P28" s="2">
        <f>IF(Data!AB28=0,"",Data!AB28)</f>
        <v>-0.10173193034875901</v>
      </c>
      <c r="Q28" s="2">
        <f>IF(Data!AC28=0,"",Data!AC28)</f>
        <v>-0.14610607507274301</v>
      </c>
      <c r="R28" s="2">
        <f>IF(Data!AD28=0,"",Data!AD28)</f>
        <v>-0.203003954190945</v>
      </c>
      <c r="S28" s="2">
        <f>IF(Data!AE28=0,"",Data!AE28)</f>
        <v>-0.22692635197402</v>
      </c>
      <c r="T28" s="2">
        <f>IF(Data!AF28=0,"",Data!AF28)</f>
        <v>-0.227860274054242</v>
      </c>
      <c r="U28" s="2">
        <f>IF(Data!AG28=0,"",Data!AG28)</f>
        <v>-0.21502503963231501</v>
      </c>
      <c r="V28" s="2">
        <f>IF(Data!AH28=0,"",Data!AH28)</f>
        <v>-0.18730770497707799</v>
      </c>
      <c r="W28" s="2">
        <f>IF(Data!AI28=0,"",Data!AI28)</f>
        <v>-0.110992863237796</v>
      </c>
    </row>
    <row r="29" spans="1:23">
      <c r="A29" s="1">
        <f>Data!A29</f>
        <v>43033</v>
      </c>
      <c r="B29" t="str">
        <f>Data!B29</f>
        <v>132007.SH</v>
      </c>
      <c r="C29" t="str">
        <f>Data!C29</f>
        <v>16凤凰EB</v>
      </c>
      <c r="D29" t="str">
        <f>Data!E29</f>
        <v>601928.SH</v>
      </c>
      <c r="E29" t="str">
        <f>Data!F29</f>
        <v>凤凰传媒</v>
      </c>
      <c r="F29" s="6">
        <f>Data!D29</f>
        <v>92.74</v>
      </c>
      <c r="G29" s="6">
        <f>Data!N29</f>
        <v>91.887824076663605</v>
      </c>
      <c r="H29" s="2">
        <f t="shared" si="1"/>
        <v>9.2740897055676452E-3</v>
      </c>
      <c r="I29" s="2">
        <f>IF(Data!V29=0,"",Data!V29)</f>
        <v>5.1869192416294702E-2</v>
      </c>
      <c r="J29" s="2">
        <f>IF(Data!W29=0,"",Data!W29)</f>
        <v>3.9371699060963702E-2</v>
      </c>
      <c r="K29" s="2">
        <f t="shared" si="2"/>
        <v>0.13965490775554501</v>
      </c>
      <c r="L29" s="2">
        <f>IF(Data!X29=0,"",Data!X29)</f>
        <v>1.1635487591679599E-2</v>
      </c>
      <c r="M29" s="2">
        <f>IF(Data!Y29=0,"",Data!Y29)</f>
        <v>2.39962835029911E-2</v>
      </c>
      <c r="N29" s="2">
        <f>IF(Data!Z29=0,"",Data!Z29)</f>
        <v>3.0496358545474299E-2</v>
      </c>
      <c r="O29" s="2">
        <f>IF(Data!AA29=0,"",Data!AA29)</f>
        <v>2.5970334716573201E-2</v>
      </c>
      <c r="P29" s="2">
        <f>IF(Data!AB29=0,"",Data!AB29)</f>
        <v>2.87096233099251E-2</v>
      </c>
      <c r="Q29" s="2">
        <f>IF(Data!AC29=0,"",Data!AC29)</f>
        <v>3.9894816718214501E-2</v>
      </c>
      <c r="R29" s="2">
        <f>IF(Data!AD29=0,"",Data!AD29)</f>
        <v>6.2616010554276E-2</v>
      </c>
      <c r="S29" s="2">
        <f>IF(Data!AE29=0,"",Data!AE29)</f>
        <v>9.3069509008616699E-2</v>
      </c>
      <c r="T29" s="2">
        <f>IF(Data!AF29=0,"",Data!AF29)</f>
        <v>0.103628665102124</v>
      </c>
      <c r="U29" s="2">
        <f>IF(Data!AG29=0,"",Data!AG29)</f>
        <v>9.3497913727799295E-2</v>
      </c>
      <c r="V29" s="2">
        <f>IF(Data!AH29=0,"",Data!AH29)</f>
        <v>0.11166892942277599</v>
      </c>
      <c r="W29" s="2">
        <f>IF(Data!AI29=0,"",Data!AI29)</f>
        <v>-1.67328903110515E-3</v>
      </c>
    </row>
    <row r="30" spans="1:23">
      <c r="A30" s="1">
        <f>Data!A30</f>
        <v>43033</v>
      </c>
      <c r="B30" t="str">
        <f>Data!B30</f>
        <v>132008.SH</v>
      </c>
      <c r="C30" t="str">
        <f>Data!C30</f>
        <v>17山高EB</v>
      </c>
      <c r="D30" t="str">
        <f>Data!E30</f>
        <v>600350.SH</v>
      </c>
      <c r="E30" t="str">
        <f>Data!F30</f>
        <v>山东高速</v>
      </c>
      <c r="F30" s="6">
        <f>Data!D30</f>
        <v>95.41</v>
      </c>
      <c r="G30" s="6">
        <f>Data!N30</f>
        <v>95.139476318690299</v>
      </c>
      <c r="H30" s="2">
        <f t="shared" si="1"/>
        <v>2.843443035186688E-3</v>
      </c>
      <c r="I30" s="2">
        <f>IF(Data!V30=0,"",Data!V30)</f>
        <v>-2.8048428896931101E-3</v>
      </c>
      <c r="J30" s="2">
        <f>IF(Data!W30=0,"",Data!W30)</f>
        <v>1.2948681683487E-2</v>
      </c>
      <c r="K30" s="2">
        <f t="shared" si="2"/>
        <v>0.66865617427567203</v>
      </c>
      <c r="L30" s="2">
        <f>IF(Data!X30=0,"",Data!X30)</f>
        <v>-9.6327360384033204E-5</v>
      </c>
      <c r="M30" s="2">
        <f>IF(Data!Y30=0,"",Data!Y30)</f>
        <v>5.8038754111388097E-5</v>
      </c>
      <c r="N30" s="2">
        <f>IF(Data!Z30=0,"",Data!Z30)</f>
        <v>1.15602493344569E-3</v>
      </c>
      <c r="O30" s="2">
        <f>IF(Data!AA30=0,"",Data!AA30)</f>
        <v>-4.8546617391110602E-3</v>
      </c>
      <c r="P30" s="2">
        <f>IF(Data!AB30=0,"",Data!AB30)</f>
        <v>-1.17416411778885E-2</v>
      </c>
      <c r="Q30" s="2">
        <f>IF(Data!AC30=0,"",Data!AC30)</f>
        <v>-5.4810129705025702E-3</v>
      </c>
      <c r="R30" s="2">
        <f>IF(Data!AD30=0,"",Data!AD30)</f>
        <v>1.8544753802538901E-2</v>
      </c>
      <c r="S30" s="2" t="str">
        <f>IF(Data!AE30=0,"",Data!AE30)</f>
        <v/>
      </c>
      <c r="T30" s="2" t="str">
        <f>IF(Data!AF30=0,"",Data!AF30)</f>
        <v/>
      </c>
      <c r="U30" s="2" t="str">
        <f>IF(Data!AG30=0,"",Data!AG30)</f>
        <v/>
      </c>
      <c r="V30" s="2" t="str">
        <f>IF(Data!AH30=0,"",Data!AH30)</f>
        <v/>
      </c>
      <c r="W30" s="2" t="str">
        <f>IF(Data!AI30=0,"",Data!AI30)</f>
        <v/>
      </c>
    </row>
    <row r="31" spans="1:23">
      <c r="A31" s="1">
        <f>Data!A31</f>
        <v>43033</v>
      </c>
      <c r="B31" t="str">
        <f>Data!B31</f>
        <v>132009.SH</v>
      </c>
      <c r="C31" t="str">
        <f>Data!C31</f>
        <v>17中油EB</v>
      </c>
      <c r="D31" t="str">
        <f>Data!E31</f>
        <v>601857.SH</v>
      </c>
      <c r="E31" t="str">
        <f>Data!F31</f>
        <v>中国石油</v>
      </c>
      <c r="F31" s="6">
        <f>Data!D31</f>
        <v>101.7</v>
      </c>
      <c r="G31" s="6">
        <f>Data!N31</f>
        <v>97.666631787684295</v>
      </c>
      <c r="H31" s="2">
        <f t="shared" si="1"/>
        <v>4.129730019853417E-2</v>
      </c>
      <c r="I31" s="2">
        <f>IF(Data!V31=0,"",Data!V31)</f>
        <v>5.3689456691043601E-2</v>
      </c>
      <c r="J31" s="2">
        <f>IF(Data!W31=0,"",Data!W31)</f>
        <v>1.5040809156659901E-2</v>
      </c>
      <c r="K31" s="2">
        <f t="shared" si="2"/>
        <v>0.20499755119693105</v>
      </c>
      <c r="L31" s="2">
        <f>IF(Data!X31=0,"",Data!X31)</f>
        <v>4.9509164972069197E-2</v>
      </c>
      <c r="M31" s="2">
        <f>IF(Data!Y31=0,"",Data!Y31)</f>
        <v>6.2170986407339597E-2</v>
      </c>
      <c r="N31" s="2">
        <f>IF(Data!Z31=0,"",Data!Z31)</f>
        <v>6.1126650590453198E-2</v>
      </c>
      <c r="O31" s="2">
        <f>IF(Data!AA31=0,"",Data!AA31)</f>
        <v>3.10107035078151E-2</v>
      </c>
      <c r="P31" s="2" t="str">
        <f>IF(Data!AB31=0,"",Data!AB31)</f>
        <v/>
      </c>
      <c r="Q31" s="2" t="str">
        <f>IF(Data!AC31=0,"",Data!AC31)</f>
        <v/>
      </c>
      <c r="R31" s="2" t="str">
        <f>IF(Data!AD31=0,"",Data!AD31)</f>
        <v/>
      </c>
      <c r="S31" s="2" t="str">
        <f>IF(Data!AE31=0,"",Data!AE31)</f>
        <v/>
      </c>
      <c r="T31" s="2" t="str">
        <f>IF(Data!AF31=0,"",Data!AF31)</f>
        <v/>
      </c>
      <c r="U31" s="2" t="str">
        <f>IF(Data!AG31=0,"",Data!AG31)</f>
        <v/>
      </c>
      <c r="V31" s="2" t="str">
        <f>IF(Data!AH31=0,"",Data!AH31)</f>
        <v/>
      </c>
      <c r="W31" s="2" t="str">
        <f>IF(Data!AI31=0,"",Data!AI31)</f>
        <v/>
      </c>
    </row>
    <row r="32" spans="1:23">
      <c r="A32" s="1">
        <f>Data!A32</f>
        <v>43033</v>
      </c>
      <c r="B32" t="str">
        <f>Data!B32</f>
        <v>132010.SH</v>
      </c>
      <c r="C32" t="str">
        <f>Data!C32</f>
        <v>17桐昆EB</v>
      </c>
      <c r="D32" t="str">
        <f>Data!E32</f>
        <v>601233.SH</v>
      </c>
      <c r="E32" t="str">
        <f>Data!F32</f>
        <v>桐昆股份</v>
      </c>
      <c r="F32" s="6">
        <f>Data!D32</f>
        <v>114</v>
      </c>
      <c r="G32" s="6">
        <f>Data!N32</f>
        <v>117.933328282613</v>
      </c>
      <c r="H32" s="2">
        <f t="shared" si="1"/>
        <v>-3.3352134972289282E-2</v>
      </c>
      <c r="I32" s="2">
        <f>IF(Data!V32=0,"",Data!V32)</f>
        <v>-4.1883971057553003E-2</v>
      </c>
      <c r="J32" s="2">
        <f>IF(Data!W32=0,"",Data!W32)</f>
        <v>4.2873953066854903E-2</v>
      </c>
      <c r="K32" s="2">
        <f t="shared" si="2"/>
        <v>0.57886789265170657</v>
      </c>
      <c r="L32" s="2">
        <f>IF(Data!X32=0,"",Data!X32)</f>
        <v>-3.6669142614567503E-2</v>
      </c>
      <c r="M32" s="2">
        <f>IF(Data!Y32=0,"",Data!Y32)</f>
        <v>-1.3436348929881801E-2</v>
      </c>
      <c r="N32" s="2">
        <f>IF(Data!Z32=0,"",Data!Z32)</f>
        <v>-7.3559820316596206E-2</v>
      </c>
      <c r="O32" s="2" t="str">
        <f>IF(Data!AA32=0,"",Data!AA32)</f>
        <v/>
      </c>
      <c r="P32" s="2" t="str">
        <f>IF(Data!AB32=0,"",Data!AB32)</f>
        <v/>
      </c>
      <c r="Q32" s="2" t="str">
        <f>IF(Data!AC32=0,"",Data!AC32)</f>
        <v/>
      </c>
      <c r="R32" s="2" t="str">
        <f>IF(Data!AD32=0,"",Data!AD32)</f>
        <v/>
      </c>
      <c r="S32" s="2" t="str">
        <f>IF(Data!AE32=0,"",Data!AE32)</f>
        <v/>
      </c>
      <c r="T32" s="2" t="str">
        <f>IF(Data!AF32=0,"",Data!AF32)</f>
        <v/>
      </c>
      <c r="U32" s="2" t="str">
        <f>IF(Data!AG32=0,"",Data!AG32)</f>
        <v/>
      </c>
      <c r="V32" s="2" t="str">
        <f>IF(Data!AH32=0,"",Data!AH32)</f>
        <v/>
      </c>
      <c r="W32" s="2" t="str">
        <f>IF(Data!AI32=0,"",Data!AI32)</f>
        <v/>
      </c>
    </row>
    <row r="33" spans="1:23">
      <c r="A33" s="1">
        <f>Data!A33</f>
        <v>43033</v>
      </c>
      <c r="B33" t="str">
        <f>Data!B33</f>
        <v>132011.SH</v>
      </c>
      <c r="C33" t="str">
        <f>Data!C33</f>
        <v>17浙报EB</v>
      </c>
      <c r="D33" t="str">
        <f>Data!E33</f>
        <v>600633.SH</v>
      </c>
      <c r="E33" t="str">
        <f>Data!F33</f>
        <v>浙数文化</v>
      </c>
      <c r="F33" s="6">
        <f>Data!D33</f>
        <v>92.9</v>
      </c>
      <c r="G33" s="6">
        <f>Data!N33</f>
        <v>96.663508973042298</v>
      </c>
      <c r="H33" s="2">
        <f t="shared" si="1"/>
        <v>-3.893412325939738E-2</v>
      </c>
      <c r="I33" s="2">
        <f>IF(Data!V33=0,"",Data!V33)</f>
        <v>-4.9924069382249602E-2</v>
      </c>
      <c r="J33" s="2">
        <f>IF(Data!W33=0,"",Data!W33)</f>
        <v>1.7903567439783101E-2</v>
      </c>
      <c r="K33" s="2">
        <f t="shared" si="2"/>
        <v>0.73033984342501546</v>
      </c>
      <c r="L33" s="2">
        <f>IF(Data!X33=0,"",Data!X33)</f>
        <v>-5.9367836885056799E-2</v>
      </c>
      <c r="M33" s="2">
        <f>IF(Data!Y33=0,"",Data!Y33)</f>
        <v>-5.1057671409835401E-2</v>
      </c>
      <c r="N33" s="2">
        <f>IF(Data!Z33=0,"",Data!Z33)</f>
        <v>-3.6599103917177501E-2</v>
      </c>
      <c r="O33" s="2" t="str">
        <f>IF(Data!AA33=0,"",Data!AA33)</f>
        <v/>
      </c>
      <c r="P33" s="2" t="str">
        <f>IF(Data!AB33=0,"",Data!AB33)</f>
        <v/>
      </c>
      <c r="Q33" s="2" t="str">
        <f>IF(Data!AC33=0,"",Data!AC33)</f>
        <v/>
      </c>
      <c r="R33" s="2" t="str">
        <f>IF(Data!AD33=0,"",Data!AD33)</f>
        <v/>
      </c>
      <c r="S33" s="2" t="str">
        <f>IF(Data!AE33=0,"",Data!AE33)</f>
        <v/>
      </c>
      <c r="T33" s="2" t="str">
        <f>IF(Data!AF33=0,"",Data!AF33)</f>
        <v/>
      </c>
      <c r="U33" s="2" t="str">
        <f>IF(Data!AG33=0,"",Data!AG33)</f>
        <v/>
      </c>
      <c r="V33" s="2" t="str">
        <f>IF(Data!AH33=0,"",Data!AH33)</f>
        <v/>
      </c>
      <c r="W33" s="2" t="str">
        <f>IF(Data!AI33=0,"",Data!AI33)</f>
        <v/>
      </c>
    </row>
    <row r="34" spans="1:23">
      <c r="A34" s="1">
        <f>Data!A34</f>
        <v>43033</v>
      </c>
      <c r="B34" t="str">
        <f>Data!B34</f>
        <v>132012.SH</v>
      </c>
      <c r="C34" t="str">
        <f>Data!C34</f>
        <v>17巨化EB</v>
      </c>
      <c r="D34" t="str">
        <f>Data!E34</f>
        <v>600160.SH</v>
      </c>
      <c r="E34" t="str">
        <f>Data!F34</f>
        <v>巨化股份</v>
      </c>
      <c r="F34" s="6">
        <f>Data!D34</f>
        <v>103.52</v>
      </c>
      <c r="G34" s="6">
        <f>Data!N34</f>
        <v>111.37125387349801</v>
      </c>
      <c r="H34" s="2">
        <f t="shared" si="1"/>
        <v>-7.0496233098137906E-2</v>
      </c>
      <c r="I34" s="2">
        <f>IF(Data!V34=0,"",Data!V34)</f>
        <v>-9.7431721255876097E-2</v>
      </c>
      <c r="J34" s="2">
        <f>IF(Data!W34=0,"",Data!W34)</f>
        <v>1.56656541395933E-2</v>
      </c>
      <c r="K34" s="2">
        <f t="shared" si="2"/>
        <v>0.95722900068268191</v>
      </c>
      <c r="L34" s="2">
        <f>IF(Data!X34=0,"",Data!X34)</f>
        <v>-8.6169861461395103E-2</v>
      </c>
      <c r="M34" s="2">
        <f>IF(Data!Y34=0,"",Data!Y34)</f>
        <v>-0.10475193012228901</v>
      </c>
      <c r="N34" s="2" t="str">
        <f>IF(Data!Z34=0,"",Data!Z34)</f>
        <v/>
      </c>
      <c r="O34" s="2" t="str">
        <f>IF(Data!AA34=0,"",Data!AA34)</f>
        <v/>
      </c>
      <c r="P34" s="2" t="str">
        <f>IF(Data!AB34=0,"",Data!AB34)</f>
        <v/>
      </c>
      <c r="Q34" s="2" t="str">
        <f>IF(Data!AC34=0,"",Data!AC34)</f>
        <v/>
      </c>
      <c r="R34" s="2" t="str">
        <f>IF(Data!AD34=0,"",Data!AD34)</f>
        <v/>
      </c>
      <c r="S34" s="2" t="str">
        <f>IF(Data!AE34=0,"",Data!AE34)</f>
        <v/>
      </c>
      <c r="T34" s="2" t="str">
        <f>IF(Data!AF34=0,"",Data!AF34)</f>
        <v/>
      </c>
      <c r="U34" s="2" t="str">
        <f>IF(Data!AG34=0,"",Data!AG34)</f>
        <v/>
      </c>
      <c r="V34" s="2" t="str">
        <f>IF(Data!AH34=0,"",Data!AH34)</f>
        <v/>
      </c>
      <c r="W34" s="2" t="str">
        <f>IF(Data!AI34=0,"",Data!AI34)</f>
        <v/>
      </c>
    </row>
  </sheetData>
  <phoneticPr fontId="1" type="noConversion"/>
  <conditionalFormatting sqref="K1:K1048576">
    <cfRule type="colorScale" priority="1">
      <colorScale>
        <cfvo type="min"/>
        <cfvo type="percentile" val="50"/>
        <cfvo type="max"/>
        <color rgb="FF5A8AC6"/>
        <color rgb="FFFCFCFF"/>
        <color rgb="FFF8696B"/>
      </colorScale>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O34"/>
  <sheetViews>
    <sheetView workbookViewId="0"/>
  </sheetViews>
  <sheetFormatPr defaultRowHeight="13.5"/>
  <cols>
    <col min="1" max="1" width="11.625" bestFit="1" customWidth="1"/>
    <col min="2" max="2" width="10.5" bestFit="1" customWidth="1"/>
    <col min="4" max="4" width="10.5" bestFit="1" customWidth="1"/>
    <col min="8" max="8" width="9" style="5"/>
    <col min="9" max="9" width="9" style="3"/>
    <col min="10" max="10" width="10.5" bestFit="1" customWidth="1"/>
    <col min="12" max="12" width="9.125" bestFit="1" customWidth="1"/>
    <col min="13" max="13" width="9.5" bestFit="1" customWidth="1"/>
    <col min="14" max="14" width="11" bestFit="1" customWidth="1"/>
  </cols>
  <sheetData>
    <row r="1" spans="1:15">
      <c r="A1" t="s">
        <v>115</v>
      </c>
      <c r="B1" t="s">
        <v>109</v>
      </c>
      <c r="C1" t="s">
        <v>109</v>
      </c>
      <c r="D1" t="s">
        <v>111</v>
      </c>
      <c r="E1" t="s">
        <v>112</v>
      </c>
      <c r="F1" t="s">
        <v>136</v>
      </c>
      <c r="G1" t="s">
        <v>120</v>
      </c>
      <c r="H1" s="5" t="str">
        <f>Data!P1</f>
        <v>Delta</v>
      </c>
      <c r="I1" s="4" t="str">
        <f>Data!Q1</f>
        <v>对冲比例</v>
      </c>
      <c r="J1" s="2" t="s">
        <v>138</v>
      </c>
      <c r="K1" t="str">
        <f>Data!R1</f>
        <v>Theta</v>
      </c>
      <c r="L1" t="str">
        <f>Data!S1</f>
        <v>期权流逝</v>
      </c>
      <c r="M1" t="str">
        <f>Data!T1</f>
        <v>溢价流逝</v>
      </c>
      <c r="N1" t="s">
        <v>127</v>
      </c>
      <c r="O1" t="s">
        <v>128</v>
      </c>
    </row>
    <row r="2" spans="1:15">
      <c r="A2" s="1">
        <f>Data!A2</f>
        <v>43033</v>
      </c>
      <c r="B2" t="str">
        <f>Data!B2</f>
        <v>110030.SH</v>
      </c>
      <c r="C2" t="str">
        <f>Data!C2</f>
        <v>格力转债</v>
      </c>
      <c r="D2" t="str">
        <f>Data!E2</f>
        <v>600185.SH</v>
      </c>
      <c r="E2" t="str">
        <f>Data!F2</f>
        <v>格力地产</v>
      </c>
      <c r="F2" s="6">
        <f>Data!L2</f>
        <v>98.384799999999998</v>
      </c>
      <c r="G2" s="6">
        <f>Data!M2</f>
        <v>9.2045069243562896</v>
      </c>
      <c r="H2" s="5">
        <f>Data!P2</f>
        <v>0.45120868595463498</v>
      </c>
      <c r="I2" s="3">
        <f>Data!Q2</f>
        <v>6.23216417064413</v>
      </c>
      <c r="J2" t="str">
        <f>ROUND(10*Data!D2,0)&amp;":"&amp;ROUND(Data!G2*I2*10,0)</f>
        <v>1111:385</v>
      </c>
      <c r="K2">
        <f>Data!R2</f>
        <v>-0.25445774580748998</v>
      </c>
      <c r="L2" s="6">
        <f>Data!S2</f>
        <v>-2.34215808324113</v>
      </c>
      <c r="M2" s="6">
        <f>Data!T2</f>
        <v>-5.8965056962025297</v>
      </c>
      <c r="N2" s="2">
        <f>Data!J2</f>
        <v>0.26769504128565902</v>
      </c>
      <c r="O2" s="2">
        <f>Data!K2</f>
        <v>0.354933274025521</v>
      </c>
    </row>
    <row r="3" spans="1:15">
      <c r="A3" s="1">
        <f>Data!A3</f>
        <v>43033</v>
      </c>
      <c r="B3" t="str">
        <f>Data!B3</f>
        <v>110031.SH</v>
      </c>
      <c r="C3" t="str">
        <f>Data!C3</f>
        <v>航信转债</v>
      </c>
      <c r="D3" t="str">
        <f>Data!E3</f>
        <v>600271.SH</v>
      </c>
      <c r="E3" t="str">
        <f>Data!F3</f>
        <v>航天信息</v>
      </c>
      <c r="F3" s="6">
        <f>Data!L3</f>
        <v>94.066599999999994</v>
      </c>
      <c r="G3" s="6">
        <f>Data!M3</f>
        <v>0.59833009664403003</v>
      </c>
      <c r="H3" s="5">
        <f>Data!P3</f>
        <v>7.7397949045919706E-2</v>
      </c>
      <c r="I3" s="3">
        <f>Data!Q3</f>
        <v>0.180836329546541</v>
      </c>
      <c r="J3" t="str">
        <f>ROUND(10*Data!D3,0)&amp;":"&amp;ROUND(Data!G3*I3*10,0)</f>
        <v>1039:34</v>
      </c>
      <c r="K3">
        <f>Data!R3</f>
        <v>-0.192280818359229</v>
      </c>
      <c r="L3" s="6">
        <f>Data!S3</f>
        <v>-0.11504740063167</v>
      </c>
      <c r="M3" s="6">
        <f>Data!T3</f>
        <v>-2.71986981132076</v>
      </c>
      <c r="N3" s="2">
        <f>Data!J3</f>
        <v>0.245572957993377</v>
      </c>
      <c r="O3" s="2">
        <f>Data!K3</f>
        <v>0.60854191537858704</v>
      </c>
    </row>
    <row r="4" spans="1:15">
      <c r="A4" s="1">
        <f>Data!A4</f>
        <v>43033</v>
      </c>
      <c r="B4" t="str">
        <f>Data!B4</f>
        <v>110032.SH</v>
      </c>
      <c r="C4" t="str">
        <f>Data!C4</f>
        <v>三一转债</v>
      </c>
      <c r="D4" t="str">
        <f>Data!E4</f>
        <v>600031.SH</v>
      </c>
      <c r="E4" t="str">
        <f>Data!F4</f>
        <v>三一重工</v>
      </c>
      <c r="F4" s="6">
        <f>Data!L4</f>
        <v>91.335499999999996</v>
      </c>
      <c r="G4" s="6">
        <f>Data!M4</f>
        <v>29.516352360910702</v>
      </c>
      <c r="H4" s="5">
        <f>Data!P4</f>
        <v>0.69159866289072802</v>
      </c>
      <c r="I4" s="3">
        <f>Data!Q4</f>
        <v>9.3081919635360499</v>
      </c>
      <c r="J4" t="str">
        <f>ROUND(10*Data!D4,0)&amp;":"&amp;ROUND(Data!G4*I4*10,0)</f>
        <v>1183:733</v>
      </c>
      <c r="K4">
        <f>Data!R4</f>
        <v>-0.24185698258507801</v>
      </c>
      <c r="L4" s="6">
        <f>Data!S4</f>
        <v>-7.1387359189278197</v>
      </c>
      <c r="M4" s="6">
        <f>Data!T4</f>
        <v>-6.41832593076421</v>
      </c>
      <c r="N4" s="2">
        <f>Data!J4</f>
        <v>0.28502078548887999</v>
      </c>
      <c r="O4" s="2">
        <f>Data!K4</f>
        <v>0.25613670572227998</v>
      </c>
    </row>
    <row r="5" spans="1:15">
      <c r="A5" s="1">
        <f>Data!A5</f>
        <v>43033</v>
      </c>
      <c r="B5" t="str">
        <f>Data!B5</f>
        <v>110033.SH</v>
      </c>
      <c r="C5" t="str">
        <f>Data!C5</f>
        <v>国贸转债</v>
      </c>
      <c r="D5" t="str">
        <f>Data!E5</f>
        <v>600755.SH</v>
      </c>
      <c r="E5" t="str">
        <f>Data!F5</f>
        <v>厦门国贸</v>
      </c>
      <c r="F5" s="6">
        <f>Data!L5</f>
        <v>92.852800000000002</v>
      </c>
      <c r="G5" s="6">
        <f>Data!M5</f>
        <v>54.386194249441097</v>
      </c>
      <c r="H5" s="5">
        <f>Data!P5</f>
        <v>0.77519854225148099</v>
      </c>
      <c r="I5" s="3">
        <f>Data!Q5</f>
        <v>8.7990753944549507</v>
      </c>
      <c r="J5" t="str">
        <f>ROUND(10*Data!D5,0)&amp;":"&amp;ROUND(Data!G5*I5*10,0)</f>
        <v>1277:958</v>
      </c>
      <c r="K5">
        <f>Data!R5</f>
        <v>-0.40621913896613998</v>
      </c>
      <c r="L5" s="6">
        <f>Data!S5</f>
        <v>-22.092712999653202</v>
      </c>
      <c r="M5" s="6">
        <f>Data!T5</f>
        <v>-8.2925045691905996</v>
      </c>
      <c r="N5" s="2">
        <f>Data!J5</f>
        <v>0.44114966767922098</v>
      </c>
      <c r="O5" s="2">
        <f>Data!K5</f>
        <v>0.184423674499956</v>
      </c>
    </row>
    <row r="6" spans="1:15">
      <c r="A6" s="1">
        <f>Data!A6</f>
        <v>43033</v>
      </c>
      <c r="B6" t="str">
        <f>Data!B6</f>
        <v>110034.SH</v>
      </c>
      <c r="C6" t="str">
        <f>Data!C6</f>
        <v>九州转债</v>
      </c>
      <c r="D6" t="str">
        <f>Data!E6</f>
        <v>600998.SH</v>
      </c>
      <c r="E6" t="str">
        <f>Data!F6</f>
        <v>九州通</v>
      </c>
      <c r="F6" s="6">
        <f>Data!L6</f>
        <v>91.74</v>
      </c>
      <c r="G6" s="6">
        <f>Data!M6</f>
        <v>32.843012967090701</v>
      </c>
      <c r="H6" s="5">
        <f>Data!P6</f>
        <v>0.77433858786088505</v>
      </c>
      <c r="I6" s="3">
        <f>Data!Q6</f>
        <v>4.1519495327661398</v>
      </c>
      <c r="J6" t="str">
        <f>ROUND(10*Data!D6,0)&amp;":"&amp;ROUND(Data!G6*I6*10,0)</f>
        <v>1272:916</v>
      </c>
      <c r="K6">
        <f>Data!R6</f>
        <v>-0.50264108151194997</v>
      </c>
      <c r="L6" s="6">
        <f>Data!S6</f>
        <v>-16.508247557889401</v>
      </c>
      <c r="M6" s="6">
        <f>Data!T6</f>
        <v>-8.3911890402075198</v>
      </c>
      <c r="N6" s="2">
        <f>Data!J6</f>
        <v>0.20967564189089699</v>
      </c>
      <c r="O6" s="2">
        <f>Data!K6</f>
        <v>0.24883152631585101</v>
      </c>
    </row>
    <row r="7" spans="1:15">
      <c r="A7" s="1">
        <f>Data!A7</f>
        <v>43033</v>
      </c>
      <c r="B7" t="str">
        <f>Data!B7</f>
        <v>113008.SH</v>
      </c>
      <c r="C7" t="str">
        <f>Data!C7</f>
        <v>电气转债</v>
      </c>
      <c r="D7" t="str">
        <f>Data!E7</f>
        <v>601727.SH</v>
      </c>
      <c r="E7" t="str">
        <f>Data!F7</f>
        <v>上海电气</v>
      </c>
      <c r="F7" s="6">
        <f>Data!L7</f>
        <v>95.314400000000006</v>
      </c>
      <c r="G7" s="6">
        <f>Data!M7</f>
        <v>11.5078021223052</v>
      </c>
      <c r="H7" s="5">
        <f>Data!P7</f>
        <v>0.46449073312641698</v>
      </c>
      <c r="I7" s="3">
        <f>Data!Q7</f>
        <v>4.4406379840001602</v>
      </c>
      <c r="J7" t="str">
        <f>ROUND(10*Data!D7,0)&amp;":"&amp;ROUND(Data!G7*I7*10,0)</f>
        <v>1061:356</v>
      </c>
      <c r="K7">
        <f>Data!R7</f>
        <v>-0.31812756345209098</v>
      </c>
      <c r="L7" s="6">
        <f>Data!S7</f>
        <v>-3.6609490498577602</v>
      </c>
      <c r="M7" s="6">
        <f>Data!T7</f>
        <v>-3.29251380753138</v>
      </c>
      <c r="N7" s="2">
        <f>Data!J7</f>
        <v>0.31877828896240001</v>
      </c>
      <c r="O7" s="2">
        <f>Data!K7</f>
        <v>0.318580423098073</v>
      </c>
    </row>
    <row r="8" spans="1:15">
      <c r="A8" s="1">
        <f>Data!A8</f>
        <v>43033</v>
      </c>
      <c r="B8" t="str">
        <f>Data!B8</f>
        <v>113009.SH</v>
      </c>
      <c r="C8" t="str">
        <f>Data!C8</f>
        <v>广汽转债</v>
      </c>
      <c r="D8" t="str">
        <f>Data!E8</f>
        <v>601238.SH</v>
      </c>
      <c r="E8" t="str">
        <f>Data!F8</f>
        <v>广汽集团</v>
      </c>
      <c r="F8" s="6">
        <f>Data!L8</f>
        <v>91.039900000000003</v>
      </c>
      <c r="G8" s="6">
        <f>Data!M8</f>
        <v>42.529670399428603</v>
      </c>
      <c r="H8" s="5">
        <f>Data!P8</f>
        <v>0.82706454954764796</v>
      </c>
      <c r="I8" s="3">
        <f>Data!Q8</f>
        <v>3.8593772727375102</v>
      </c>
      <c r="J8" t="str">
        <f>ROUND(10*Data!D8,0)&amp;":"&amp;ROUND(Data!G8*I8*10,0)</f>
        <v>1312:1072</v>
      </c>
      <c r="K8">
        <f>Data!R8</f>
        <v>-0.58428639306449404</v>
      </c>
      <c r="L8" s="6">
        <f>Data!S8</f>
        <v>-24.849507715903901</v>
      </c>
      <c r="M8" s="6">
        <f>Data!T8</f>
        <v>-9.4683214977404795</v>
      </c>
      <c r="N8" s="2">
        <f>Data!J8</f>
        <v>0.218331335842466</v>
      </c>
      <c r="O8" s="2">
        <f>Data!K8</f>
        <v>0.18829286329651801</v>
      </c>
    </row>
    <row r="9" spans="1:15">
      <c r="A9" s="1">
        <f>Data!A9</f>
        <v>43033</v>
      </c>
      <c r="B9" t="str">
        <f>Data!B9</f>
        <v>113010.SH</v>
      </c>
      <c r="C9" t="str">
        <f>Data!C9</f>
        <v>江南转债</v>
      </c>
      <c r="D9" t="str">
        <f>Data!E9</f>
        <v>601199.SH</v>
      </c>
      <c r="E9" t="str">
        <f>Data!F9</f>
        <v>江南水务</v>
      </c>
      <c r="F9" s="6">
        <f>Data!L9</f>
        <v>92.2667</v>
      </c>
      <c r="G9" s="6">
        <f>Data!M9</f>
        <v>2.3248681408458798</v>
      </c>
      <c r="H9" s="5">
        <f>Data!P9</f>
        <v>0.21275083528093999</v>
      </c>
      <c r="I9" s="3">
        <f>Data!Q9</f>
        <v>2.2876433901176401</v>
      </c>
      <c r="J9" t="str">
        <f>ROUND(10*Data!D9,0)&amp;":"&amp;ROUND(Data!G9*I9*10,0)</f>
        <v>1055:146</v>
      </c>
      <c r="K9">
        <f>Data!R9</f>
        <v>-8.5619151273331306E-2</v>
      </c>
      <c r="L9" s="6">
        <f>Data!S9</f>
        <v>-0.199053237041632</v>
      </c>
      <c r="M9" s="6">
        <f>Data!T9</f>
        <v>-3.0152549875311698</v>
      </c>
      <c r="N9" s="2">
        <f>Data!J9</f>
        <v>0.15532667004932499</v>
      </c>
      <c r="O9" s="2">
        <f>Data!K9</f>
        <v>0.36639441638397902</v>
      </c>
    </row>
    <row r="10" spans="1:15">
      <c r="A10" s="1">
        <f>Data!A10</f>
        <v>43033</v>
      </c>
      <c r="B10" t="str">
        <f>Data!B10</f>
        <v>113011.SH</v>
      </c>
      <c r="C10" t="str">
        <f>Data!C10</f>
        <v>光大转债</v>
      </c>
      <c r="D10" t="str">
        <f>Data!E10</f>
        <v>601818.SH</v>
      </c>
      <c r="E10" t="str">
        <f>Data!F10</f>
        <v>光大银行</v>
      </c>
      <c r="F10" s="6">
        <f>Data!L10</f>
        <v>85.7637</v>
      </c>
      <c r="G10" s="6">
        <f>Data!M10</f>
        <v>13.422406174180299</v>
      </c>
      <c r="H10" s="5">
        <f>Data!P10</f>
        <v>0.60610961608851499</v>
      </c>
      <c r="I10" s="3">
        <f>Data!Q10</f>
        <v>14.2279252602938</v>
      </c>
      <c r="J10" t="str">
        <f>ROUND(10*Data!D10,0)&amp;":"&amp;ROUND(Data!G10*I10*10,0)</f>
        <v>1113:579</v>
      </c>
      <c r="K10">
        <f>Data!R10</f>
        <v>-7.3952080705644602E-2</v>
      </c>
      <c r="L10" s="6">
        <f>Data!S10</f>
        <v>-0.99261486465692605</v>
      </c>
      <c r="M10" s="6">
        <f>Data!T10</f>
        <v>-4.7395658028455303</v>
      </c>
      <c r="N10" s="2">
        <f>Data!J10</f>
        <v>0.13501648454956799</v>
      </c>
      <c r="O10" s="2">
        <f>Data!K10</f>
        <v>0.27960674417089998</v>
      </c>
    </row>
    <row r="11" spans="1:15">
      <c r="A11" s="1">
        <f>Data!A11</f>
        <v>43033</v>
      </c>
      <c r="B11" t="str">
        <f>Data!B11</f>
        <v>113012.SH</v>
      </c>
      <c r="C11" t="str">
        <f>Data!C11</f>
        <v>骆驼转债</v>
      </c>
      <c r="D11" t="str">
        <f>Data!E11</f>
        <v>601311.SH</v>
      </c>
      <c r="E11" t="str">
        <f>Data!F11</f>
        <v>骆驼股份</v>
      </c>
      <c r="F11" s="6">
        <f>Data!L11</f>
        <v>85.369799999999998</v>
      </c>
      <c r="G11" s="6">
        <f>Data!M11</f>
        <v>19.443510577102401</v>
      </c>
      <c r="H11" s="5">
        <f>Data!P11</f>
        <v>0.59123907183144997</v>
      </c>
      <c r="I11" s="3">
        <f>Data!Q11</f>
        <v>3.5361188506665702</v>
      </c>
      <c r="J11" t="str">
        <f>ROUND(10*Data!D11,0)&amp;":"&amp;ROUND(Data!G11*I11*10,0)</f>
        <v>1108:523</v>
      </c>
      <c r="K11">
        <f>Data!R11</f>
        <v>-0.40017070161377999</v>
      </c>
      <c r="L11" s="6">
        <f>Data!S11</f>
        <v>-7.7807232694740103</v>
      </c>
      <c r="M11" s="6">
        <f>Data!T11</f>
        <v>-4.7003683544303803</v>
      </c>
      <c r="N11" s="2">
        <f>Data!J11</f>
        <v>0.25706657608799099</v>
      </c>
      <c r="O11" s="2">
        <f>Data!K11</f>
        <v>0.33518666397055802</v>
      </c>
    </row>
    <row r="12" spans="1:15">
      <c r="A12" s="1">
        <f>Data!A12</f>
        <v>43033</v>
      </c>
      <c r="B12" t="str">
        <f>Data!B12</f>
        <v>113013.SH</v>
      </c>
      <c r="C12" t="str">
        <f>Data!C12</f>
        <v>国君转债</v>
      </c>
      <c r="D12" t="str">
        <f>Data!E12</f>
        <v>601211.SH</v>
      </c>
      <c r="E12" t="str">
        <f>Data!F12</f>
        <v>国泰君安</v>
      </c>
      <c r="F12" s="6">
        <f>Data!L12</f>
        <v>84.456800000000001</v>
      </c>
      <c r="G12" s="6">
        <f>Data!M12</f>
        <v>25.2867285321542</v>
      </c>
      <c r="H12" s="5">
        <f>Data!P12</f>
        <v>0.68788490877603503</v>
      </c>
      <c r="I12" s="3">
        <f>Data!Q12</f>
        <v>3.4053708355249199</v>
      </c>
      <c r="J12" t="str">
        <f>ROUND(10*Data!D12,0)&amp;":"&amp;ROUND(Data!G12*I12*10,0)</f>
        <v>1221:712</v>
      </c>
      <c r="K12">
        <f>Data!R12</f>
        <v>-0.45704229154863102</v>
      </c>
      <c r="L12" s="6">
        <f>Data!S12</f>
        <v>-11.557104354103901</v>
      </c>
      <c r="M12" s="6">
        <f>Data!T12</f>
        <v>-6.6035153920153897</v>
      </c>
      <c r="N12" s="2">
        <f>Data!J12</f>
        <v>0.205094259731958</v>
      </c>
      <c r="O12" s="2">
        <f>Data!K12</f>
        <v>0.34833729629007698</v>
      </c>
    </row>
    <row r="13" spans="1:15">
      <c r="A13" s="1">
        <f>Data!A13</f>
        <v>43033</v>
      </c>
      <c r="B13" t="str">
        <f>Data!B13</f>
        <v>120001.SZ</v>
      </c>
      <c r="C13" t="str">
        <f>Data!C13</f>
        <v>16以岭EB</v>
      </c>
      <c r="D13" t="str">
        <f>Data!E13</f>
        <v>002603.SZ</v>
      </c>
      <c r="E13" t="str">
        <f>Data!F13</f>
        <v>以岭药业</v>
      </c>
      <c r="F13" s="6">
        <f>Data!L13</f>
        <v>94.671300000000002</v>
      </c>
      <c r="G13" s="6">
        <f>Data!M13</f>
        <v>12.4153664924143</v>
      </c>
      <c r="H13" s="5">
        <f>Data!P13</f>
        <v>0.57837527621327101</v>
      </c>
      <c r="I13" s="3">
        <f>Data!Q13</f>
        <v>3.24929930456894</v>
      </c>
      <c r="J13" t="str">
        <f>ROUND(10*Data!D13,0)&amp;":"&amp;ROUND(Data!G13*I13*10,0)</f>
        <v>1085:556</v>
      </c>
      <c r="K13">
        <f>Data!R13</f>
        <v>-0.41381149967748898</v>
      </c>
      <c r="L13" s="6">
        <f>Data!S13</f>
        <v>-5.1376214272715899</v>
      </c>
      <c r="M13" s="6">
        <f>Data!T13</f>
        <v>-3.96849842519685</v>
      </c>
      <c r="N13" s="2">
        <f>Data!J13</f>
        <v>0.16623028031711301</v>
      </c>
      <c r="O13" s="2">
        <f>Data!K13</f>
        <v>0.193446994098116</v>
      </c>
    </row>
    <row r="14" spans="1:15">
      <c r="A14" s="1">
        <f>Data!A14</f>
        <v>43033</v>
      </c>
      <c r="B14" t="str">
        <f>Data!B14</f>
        <v>123001.SZ</v>
      </c>
      <c r="C14" t="str">
        <f>Data!C14</f>
        <v>蓝标转债</v>
      </c>
      <c r="D14" t="str">
        <f>Data!E14</f>
        <v>300058.SZ</v>
      </c>
      <c r="E14" t="str">
        <f>Data!F14</f>
        <v>蓝色光标</v>
      </c>
      <c r="F14" s="6">
        <f>Data!L14</f>
        <v>93.554000000000002</v>
      </c>
      <c r="G14" s="6">
        <f>Data!M14</f>
        <v>14.493489509463901</v>
      </c>
      <c r="H14" s="5">
        <f>Data!P14</f>
        <v>0.51714857226597799</v>
      </c>
      <c r="I14" s="3">
        <f>Data!Q14</f>
        <v>5.2932300129578103</v>
      </c>
      <c r="J14" t="str">
        <f>ROUND(10*Data!D14,0)&amp;":"&amp;ROUND(Data!G14*I14*10,0)</f>
        <v>1044:417</v>
      </c>
      <c r="K14">
        <f>Data!R14</f>
        <v>-0.26606682904638002</v>
      </c>
      <c r="L14" s="6">
        <f>Data!S14</f>
        <v>-3.8562367956000401</v>
      </c>
      <c r="M14" s="6">
        <f>Data!T14</f>
        <v>-2.62264795244386</v>
      </c>
      <c r="N14" s="2">
        <f>Data!J14</f>
        <v>0.29333645484976301</v>
      </c>
      <c r="O14" s="2">
        <f>Data!K14</f>
        <v>0.24716181836215101</v>
      </c>
    </row>
    <row r="15" spans="1:15">
      <c r="A15" s="1">
        <f>Data!A15</f>
        <v>43033</v>
      </c>
      <c r="B15" t="str">
        <f>Data!B15</f>
        <v>127003.SZ</v>
      </c>
      <c r="C15" t="str">
        <f>Data!C15</f>
        <v>海印转债</v>
      </c>
      <c r="D15" t="str">
        <f>Data!E15</f>
        <v>000861.SZ</v>
      </c>
      <c r="E15" t="str">
        <f>Data!F15</f>
        <v>海印股份</v>
      </c>
      <c r="F15" s="6">
        <f>Data!L15</f>
        <v>93.089200000000005</v>
      </c>
      <c r="G15" s="6">
        <f>Data!M15</f>
        <v>4.8369940998259704</v>
      </c>
      <c r="H15" s="5">
        <f>Data!P15</f>
        <v>0.31634691387390002</v>
      </c>
      <c r="I15" s="3">
        <f>Data!Q15</f>
        <v>6.0256555023599896</v>
      </c>
      <c r="J15" t="str">
        <f>ROUND(10*Data!D15,0)&amp;":"&amp;ROUND(Data!G15*I15*10,0)</f>
        <v>1009:223</v>
      </c>
      <c r="K15">
        <f>Data!R15</f>
        <v>-7.2283323811988806E-2</v>
      </c>
      <c r="L15" s="6">
        <f>Data!S15</f>
        <v>-0.34963401079439999</v>
      </c>
      <c r="M15" s="6">
        <f>Data!T15</f>
        <v>-1.69796441281139</v>
      </c>
      <c r="N15" s="2">
        <f>Data!J15</f>
        <v>0.191081936975731</v>
      </c>
      <c r="O15" s="2">
        <f>Data!K15</f>
        <v>0.24570425620932501</v>
      </c>
    </row>
    <row r="16" spans="1:15">
      <c r="A16" s="1">
        <f>Data!A16</f>
        <v>43033</v>
      </c>
      <c r="B16" t="str">
        <f>Data!B16</f>
        <v>127004.SZ</v>
      </c>
      <c r="C16" t="str">
        <f>Data!C16</f>
        <v>模塑转债</v>
      </c>
      <c r="D16" t="str">
        <f>Data!E16</f>
        <v>000700.SZ</v>
      </c>
      <c r="E16" t="str">
        <f>Data!F16</f>
        <v>模塑科技</v>
      </c>
      <c r="F16" s="6">
        <f>Data!L16</f>
        <v>89.18</v>
      </c>
      <c r="G16" s="6">
        <f>Data!M16</f>
        <v>21.272156122977901</v>
      </c>
      <c r="H16" s="5">
        <f>Data!P16</f>
        <v>0.59969087285045797</v>
      </c>
      <c r="I16" s="3">
        <f>Data!Q16</f>
        <v>7.4961359106307297</v>
      </c>
      <c r="J16" t="str">
        <f>ROUND(10*Data!D16,0)&amp;":"&amp;ROUND(Data!G16*I16*10,0)</f>
        <v>1073:518</v>
      </c>
      <c r="K16">
        <f>Data!R16</f>
        <v>-0.20030787887100401</v>
      </c>
      <c r="L16" s="6">
        <f>Data!S16</f>
        <v>-4.2609804720065503</v>
      </c>
      <c r="M16" s="6">
        <f>Data!T16</f>
        <v>-3.23438190709046</v>
      </c>
      <c r="N16" s="2">
        <f>Data!J16</f>
        <v>0.29018710421434002</v>
      </c>
      <c r="O16" s="2">
        <f>Data!K16</f>
        <v>0.25302390042731798</v>
      </c>
    </row>
    <row r="17" spans="1:15">
      <c r="A17" s="1">
        <f>Data!A17</f>
        <v>43033</v>
      </c>
      <c r="B17" t="str">
        <f>Data!B17</f>
        <v>128010.SZ</v>
      </c>
      <c r="C17" t="str">
        <f>Data!C17</f>
        <v>顺昌转债</v>
      </c>
      <c r="D17" t="str">
        <f>Data!E17</f>
        <v>002245.SZ</v>
      </c>
      <c r="E17" t="str">
        <f>Data!F17</f>
        <v>澳洋顺昌</v>
      </c>
      <c r="F17" s="6">
        <f>Data!L17</f>
        <v>93.0548</v>
      </c>
      <c r="G17" s="6">
        <f>Data!M17</f>
        <v>28.697470091825998</v>
      </c>
      <c r="H17" s="5">
        <f>Data!P17</f>
        <v>0.678416699092106</v>
      </c>
      <c r="I17" s="3">
        <f>Data!Q17</f>
        <v>7.2791491318895503</v>
      </c>
      <c r="J17" t="str">
        <f>ROUND(10*Data!D17,0)&amp;":"&amp;ROUND(Data!G17*I17*10,0)</f>
        <v>1152:701</v>
      </c>
      <c r="K17">
        <f>Data!R17</f>
        <v>-0.30635984854190201</v>
      </c>
      <c r="L17" s="6">
        <f>Data!S17</f>
        <v>-8.7917525908675795</v>
      </c>
      <c r="M17" s="6">
        <f>Data!T17</f>
        <v>-5.2101216914138204</v>
      </c>
      <c r="N17" s="2">
        <f>Data!J17</f>
        <v>0.296669106692034</v>
      </c>
      <c r="O17" s="2">
        <f>Data!K17</f>
        <v>0.27789426762659702</v>
      </c>
    </row>
    <row r="18" spans="1:15">
      <c r="A18" s="1">
        <f>Data!A18</f>
        <v>43033</v>
      </c>
      <c r="B18" t="str">
        <f>Data!B18</f>
        <v>128012.SZ</v>
      </c>
      <c r="C18" t="str">
        <f>Data!C18</f>
        <v>辉丰转债</v>
      </c>
      <c r="D18" t="str">
        <f>Data!E18</f>
        <v>002496.SZ</v>
      </c>
      <c r="E18" t="str">
        <f>Data!F18</f>
        <v>辉丰股份</v>
      </c>
      <c r="F18" s="6">
        <f>Data!L18</f>
        <v>87.394099999999995</v>
      </c>
      <c r="G18" s="6">
        <f>Data!M18</f>
        <v>13.320670628355799</v>
      </c>
      <c r="H18" s="5">
        <f>Data!P18</f>
        <v>0.49722978569993698</v>
      </c>
      <c r="I18" s="3">
        <f>Data!Q18</f>
        <v>6.4241574379836797</v>
      </c>
      <c r="J18" t="str">
        <f>ROUND(10*Data!D18,0)&amp;":"&amp;ROUND(Data!G18*I18*10,0)</f>
        <v>1050:384</v>
      </c>
      <c r="K18">
        <f>Data!R18</f>
        <v>-0.19143599833557101</v>
      </c>
      <c r="L18" s="6">
        <f>Data!S18</f>
        <v>-2.5500558802386202</v>
      </c>
      <c r="M18" s="6">
        <f>Data!T18</f>
        <v>-3.9335100732600798</v>
      </c>
      <c r="N18" s="2">
        <f>Data!J18</f>
        <v>0.28824227560782001</v>
      </c>
      <c r="O18" s="2">
        <f>Data!K18</f>
        <v>0.36350081815976998</v>
      </c>
    </row>
    <row r="19" spans="1:15">
      <c r="A19" s="1">
        <f>Data!A19</f>
        <v>43033</v>
      </c>
      <c r="B19" t="str">
        <f>Data!B19</f>
        <v>128013.SZ</v>
      </c>
      <c r="C19" t="str">
        <f>Data!C19</f>
        <v>洪涛转债</v>
      </c>
      <c r="D19" t="str">
        <f>Data!E19</f>
        <v>002325.SZ</v>
      </c>
      <c r="E19" t="str">
        <f>Data!F19</f>
        <v>洪涛股份</v>
      </c>
      <c r="F19" s="6">
        <f>Data!L19</f>
        <v>90.762699999999995</v>
      </c>
      <c r="G19" s="6">
        <f>Data!M19</f>
        <v>8.8893118914248408</v>
      </c>
      <c r="H19" s="5">
        <f>Data!P19</f>
        <v>0.40712626906017002</v>
      </c>
      <c r="I19" s="3">
        <f>Data!Q19</f>
        <v>4.0590854342988099</v>
      </c>
      <c r="J19" t="str">
        <f>ROUND(10*Data!D19,0)&amp;":"&amp;ROUND(Data!G19*I19*10,0)</f>
        <v>1009:248</v>
      </c>
      <c r="K19">
        <f>Data!R19</f>
        <v>-0.202244430735462</v>
      </c>
      <c r="L19" s="6">
        <f>Data!S19</f>
        <v>-1.79781382311119</v>
      </c>
      <c r="M19" s="6">
        <f>Data!T19</f>
        <v>-2.1375929763960899</v>
      </c>
      <c r="N19" s="2">
        <f>Data!J19</f>
        <v>0.32808214244987099</v>
      </c>
      <c r="O19" s="2">
        <f>Data!K19</f>
        <v>0.35629640503223797</v>
      </c>
    </row>
    <row r="20" spans="1:15">
      <c r="A20" s="1">
        <f>Data!A20</f>
        <v>43033</v>
      </c>
      <c r="B20" t="str">
        <f>Data!B20</f>
        <v>128014.SZ</v>
      </c>
      <c r="C20" t="str">
        <f>Data!C20</f>
        <v>永东转债</v>
      </c>
      <c r="D20" t="str">
        <f>Data!E20</f>
        <v>002753.SZ</v>
      </c>
      <c r="E20" t="str">
        <f>Data!F20</f>
        <v>永东股份</v>
      </c>
      <c r="F20" s="6">
        <f>Data!L20</f>
        <v>88.193200000000004</v>
      </c>
      <c r="G20" s="6">
        <f>Data!M20</f>
        <v>51.695762226157903</v>
      </c>
      <c r="H20" s="5">
        <f>Data!P20</f>
        <v>0.76457091156608104</v>
      </c>
      <c r="I20" s="3">
        <f>Data!Q20</f>
        <v>3.7369057261294301</v>
      </c>
      <c r="J20" t="str">
        <f>ROUND(10*Data!D20,0)&amp;":"&amp;ROUND(Data!G20*I20*10,0)</f>
        <v>1145:785</v>
      </c>
      <c r="K20">
        <f>Data!R20</f>
        <v>-0.83234147637969802</v>
      </c>
      <c r="L20" s="6">
        <f>Data!S20</f>
        <v>-43.028527053894102</v>
      </c>
      <c r="M20" s="6">
        <f>Data!T20</f>
        <v>-4.8091260630315196</v>
      </c>
      <c r="N20" s="2">
        <f>Data!J20</f>
        <v>0.54318423743484301</v>
      </c>
      <c r="O20" s="2">
        <f>Data!K20</f>
        <v>0.23278719344007401</v>
      </c>
    </row>
    <row r="21" spans="1:15">
      <c r="A21" s="1">
        <f>Data!A21</f>
        <v>43033</v>
      </c>
      <c r="B21" t="str">
        <f>Data!B21</f>
        <v>128015.SZ</v>
      </c>
      <c r="C21" t="str">
        <f>Data!C21</f>
        <v>久其转债</v>
      </c>
      <c r="D21" t="str">
        <f>Data!E21</f>
        <v>002279.SZ</v>
      </c>
      <c r="E21" t="str">
        <f>Data!F21</f>
        <v>久其软件</v>
      </c>
      <c r="F21" s="6">
        <f>Data!L21</f>
        <v>86.785799999999995</v>
      </c>
      <c r="G21" s="6">
        <f>Data!M21</f>
        <v>28.265717490587299</v>
      </c>
      <c r="H21" s="5">
        <f>Data!P21</f>
        <v>0.66441128445048303</v>
      </c>
      <c r="I21" s="3">
        <f>Data!Q21</f>
        <v>5.1504750732595603</v>
      </c>
      <c r="J21" t="str">
        <f>ROUND(10*Data!D21,0)&amp;":"&amp;ROUND(Data!G21*I21*10,0)</f>
        <v>1138:644</v>
      </c>
      <c r="K21">
        <f>Data!R21</f>
        <v>-0.35194777431118002</v>
      </c>
      <c r="L21" s="6">
        <f>Data!S21</f>
        <v>-9.9480563601207894</v>
      </c>
      <c r="M21" s="6">
        <f>Data!T21</f>
        <v>-4.80515114578255</v>
      </c>
      <c r="N21" s="2">
        <f>Data!J21</f>
        <v>0.29310988593468401</v>
      </c>
      <c r="O21" s="2">
        <f>Data!K21</f>
        <v>0.28166105954826198</v>
      </c>
    </row>
    <row r="22" spans="1:15">
      <c r="A22" s="1">
        <f>Data!A22</f>
        <v>43033</v>
      </c>
      <c r="B22" t="str">
        <f>Data!B22</f>
        <v>128016.SZ</v>
      </c>
      <c r="C22" t="str">
        <f>Data!C22</f>
        <v>雨虹转债</v>
      </c>
      <c r="D22" t="str">
        <f>Data!E22</f>
        <v>002271.SZ</v>
      </c>
      <c r="E22" t="str">
        <f>Data!F22</f>
        <v>东方雨虹</v>
      </c>
      <c r="F22" s="6">
        <f>Data!L22</f>
        <v>83.994399999999999</v>
      </c>
      <c r="G22" s="6">
        <f>Data!M22</f>
        <v>36.679633095115797</v>
      </c>
      <c r="H22" s="5">
        <f>Data!P22</f>
        <v>0.71123163992208605</v>
      </c>
      <c r="I22" s="3">
        <f>Data!Q22</f>
        <v>1.8483150725625901</v>
      </c>
      <c r="J22" t="str">
        <f>ROUND(10*Data!D22,0)&amp;":"&amp;ROUND(Data!G22*I22*10,0)</f>
        <v>1199:739</v>
      </c>
      <c r="K22">
        <f>Data!R22</f>
        <v>-1.1293947277152301</v>
      </c>
      <c r="L22" s="6">
        <f>Data!S22</f>
        <v>-41.4257842321529</v>
      </c>
      <c r="M22" s="6">
        <f>Data!T22</f>
        <v>-6.0740224537037104</v>
      </c>
      <c r="N22" s="2">
        <f>Data!J22</f>
        <v>0.32555851118905799</v>
      </c>
      <c r="O22" s="2">
        <f>Data!K22</f>
        <v>0.31811190903654701</v>
      </c>
    </row>
    <row r="23" spans="1:15">
      <c r="A23" s="1">
        <f>Data!A23</f>
        <v>43033</v>
      </c>
      <c r="B23" t="str">
        <f>Data!B23</f>
        <v>132001.SH</v>
      </c>
      <c r="C23" t="str">
        <f>Data!C23</f>
        <v>14宝钢EB</v>
      </c>
      <c r="D23" t="str">
        <f>Data!E23</f>
        <v>601336.SH</v>
      </c>
      <c r="E23" t="str">
        <f>Data!F23</f>
        <v>新华保险</v>
      </c>
      <c r="F23" s="6">
        <f>Data!L23</f>
        <v>102.48690000000001</v>
      </c>
      <c r="G23" s="6">
        <f>Data!M23</f>
        <v>41.5341898661651</v>
      </c>
      <c r="H23" s="5">
        <f>Data!P23</f>
        <v>0.99782245509164302</v>
      </c>
      <c r="I23" s="3">
        <f>Data!Q23</f>
        <v>2.3583608014456199</v>
      </c>
      <c r="J23" t="str">
        <f>ROUND(10*Data!D23,0)&amp;":"&amp;ROUND(Data!G23*I23*10,0)</f>
        <v>1403:1410</v>
      </c>
      <c r="K23">
        <f>Data!R23</f>
        <v>-0.83860989564428001</v>
      </c>
      <c r="L23" s="6">
        <f>Data!S23</f>
        <v>-34.8309826293344</v>
      </c>
      <c r="M23" s="6">
        <f>Data!T23</f>
        <v>-306.70625555555603</v>
      </c>
      <c r="N23" s="2">
        <f>Data!J23</f>
        <v>0.355206944448408</v>
      </c>
      <c r="O23" s="2">
        <f>Data!K23</f>
        <v>0.39010288238525398</v>
      </c>
    </row>
    <row r="24" spans="1:15">
      <c r="A24" s="1">
        <f>Data!A24</f>
        <v>43033</v>
      </c>
      <c r="B24" t="str">
        <f>Data!B24</f>
        <v>132002.SH</v>
      </c>
      <c r="C24" t="str">
        <f>Data!C24</f>
        <v>15天集EB</v>
      </c>
      <c r="D24" t="str">
        <f>Data!E24</f>
        <v>600535.SH</v>
      </c>
      <c r="E24" t="str">
        <f>Data!F24</f>
        <v>天士力</v>
      </c>
      <c r="F24" s="6">
        <f>Data!L24</f>
        <v>91.396900000000002</v>
      </c>
      <c r="G24" s="6">
        <f>Data!M24</f>
        <v>0.65730726790448701</v>
      </c>
      <c r="H24" s="5">
        <f>Data!P24</f>
        <v>9.1236684731433496E-2</v>
      </c>
      <c r="I24" s="3">
        <f>Data!Q24</f>
        <v>0.162864485418482</v>
      </c>
      <c r="J24" t="str">
        <f>ROUND(10*Data!D24,0)&amp;":"&amp;ROUND(Data!G24*I24*10,0)</f>
        <v>1036:60</v>
      </c>
      <c r="K24">
        <f>Data!R24</f>
        <v>-0.34604008066581599</v>
      </c>
      <c r="L24" s="6">
        <f>Data!S24</f>
        <v>-0.22745466000789599</v>
      </c>
      <c r="M24" s="6">
        <f>Data!T24</f>
        <v>-4.6591333682008296</v>
      </c>
      <c r="N24" s="2">
        <f>Data!J24</f>
        <v>0.16211215905291701</v>
      </c>
      <c r="O24" s="2">
        <f>Data!K24</f>
        <v>0.49749314715314302</v>
      </c>
    </row>
    <row r="25" spans="1:15">
      <c r="A25" s="1">
        <f>Data!A25</f>
        <v>43033</v>
      </c>
      <c r="B25" t="str">
        <f>Data!B25</f>
        <v>132003.SH</v>
      </c>
      <c r="C25" t="str">
        <f>Data!C25</f>
        <v>15清控EB</v>
      </c>
      <c r="D25" t="str">
        <f>Data!E25</f>
        <v>600109.SH</v>
      </c>
      <c r="E25" t="str">
        <f>Data!F25</f>
        <v>国金证券</v>
      </c>
      <c r="F25" s="6">
        <f>Data!L25</f>
        <v>97.525700000000001</v>
      </c>
      <c r="G25" s="6">
        <f>Data!M25</f>
        <v>0.72526871998320397</v>
      </c>
      <c r="H25" s="5">
        <f>Data!P25</f>
        <v>9.6204624983133105E-2</v>
      </c>
      <c r="I25" s="3">
        <f>Data!Q25</f>
        <v>0.57435597004855599</v>
      </c>
      <c r="J25" t="str">
        <f>ROUND(10*Data!D25,0)&amp;":"&amp;ROUND(Data!G25*I25*10,0)</f>
        <v>1021:65</v>
      </c>
      <c r="K25">
        <f>Data!R25</f>
        <v>-0.26901630000177701</v>
      </c>
      <c r="L25" s="6">
        <f>Data!S25</f>
        <v>-0.195109107556907</v>
      </c>
      <c r="M25" s="6">
        <f>Data!T25</f>
        <v>-4.6042999999999896</v>
      </c>
      <c r="N25" s="2">
        <f>Data!J25</f>
        <v>0.264327147549408</v>
      </c>
      <c r="O25" s="2">
        <f>Data!K25</f>
        <v>0.51828041902506705</v>
      </c>
    </row>
    <row r="26" spans="1:15">
      <c r="A26" s="1">
        <f>Data!A26</f>
        <v>43033</v>
      </c>
      <c r="B26" t="str">
        <f>Data!B26</f>
        <v>132004.SH</v>
      </c>
      <c r="C26" t="str">
        <f>Data!C26</f>
        <v>15国盛EB</v>
      </c>
      <c r="D26" t="str">
        <f>Data!E26</f>
        <v>600170.SH</v>
      </c>
      <c r="E26" t="str">
        <f>Data!F26</f>
        <v>上海建工</v>
      </c>
      <c r="F26" s="6">
        <f>Data!L26</f>
        <v>89.9255</v>
      </c>
      <c r="G26" s="6">
        <f>Data!M26</f>
        <v>0.44525617043816701</v>
      </c>
      <c r="H26" s="5">
        <f>Data!P26</f>
        <v>6.5806786579743495E-2</v>
      </c>
      <c r="I26" s="3">
        <f>Data!Q26</f>
        <v>0.97347317425655999</v>
      </c>
      <c r="J26" t="str">
        <f>ROUND(10*Data!D26,0)&amp;":"&amp;ROUND(Data!G26*I26*10,0)</f>
        <v>929:37</v>
      </c>
      <c r="K26">
        <f>Data!R26</f>
        <v>-2.1926057264035299E-2</v>
      </c>
      <c r="L26" s="6">
        <f>Data!S26</f>
        <v>-9.7627122901922901E-3</v>
      </c>
      <c r="M26" s="6">
        <f>Data!T26</f>
        <v>-0.72565771583956395</v>
      </c>
      <c r="N26" s="2">
        <f>Data!J26</f>
        <v>0.15229245398765201</v>
      </c>
      <c r="O26" s="2">
        <f>Data!K26</f>
        <v>0.27800369564392102</v>
      </c>
    </row>
    <row r="27" spans="1:15">
      <c r="A27" s="1">
        <f>Data!A27</f>
        <v>43033</v>
      </c>
      <c r="B27" t="str">
        <f>Data!B27</f>
        <v>132005.SH</v>
      </c>
      <c r="C27" t="str">
        <f>Data!C27</f>
        <v>15国资EB</v>
      </c>
      <c r="D27" t="str">
        <f>Data!E27</f>
        <v>601601.SH</v>
      </c>
      <c r="E27" t="str">
        <f>Data!F27</f>
        <v>中国太保</v>
      </c>
      <c r="F27" s="6">
        <f>Data!L27</f>
        <v>99.330500000000001</v>
      </c>
      <c r="G27" s="6">
        <f>Data!M27</f>
        <v>25.036472171800799</v>
      </c>
      <c r="H27" s="5">
        <f>Data!P27</f>
        <v>0.67224608694889398</v>
      </c>
      <c r="I27" s="3">
        <f>Data!Q27</f>
        <v>1.78884003977886</v>
      </c>
      <c r="J27" t="str">
        <f>ROUND(10*Data!D27,0)&amp;":"&amp;ROUND(Data!G27*I27*10,0)</f>
        <v>1254:708</v>
      </c>
      <c r="K27">
        <f>Data!R27</f>
        <v>-1.3983802517763999</v>
      </c>
      <c r="L27" s="6">
        <f>Data!S27</f>
        <v>-35.010508259195497</v>
      </c>
      <c r="M27" s="6">
        <f>Data!T27</f>
        <v>-8.3637554872695397</v>
      </c>
      <c r="N27" s="2">
        <f>Data!J27</f>
        <v>0.28205285028708899</v>
      </c>
      <c r="O27" s="2">
        <f>Data!K27</f>
        <v>0.31982083868682698</v>
      </c>
    </row>
    <row r="28" spans="1:15">
      <c r="A28" s="1">
        <f>Data!A28</f>
        <v>43033</v>
      </c>
      <c r="B28" t="str">
        <f>Data!B28</f>
        <v>132006.SH</v>
      </c>
      <c r="C28" t="str">
        <f>Data!C28</f>
        <v>16皖新EB</v>
      </c>
      <c r="D28" t="str">
        <f>Data!E28</f>
        <v>601801.SH</v>
      </c>
      <c r="E28" t="str">
        <f>Data!F28</f>
        <v>皖新传媒</v>
      </c>
      <c r="F28" s="6">
        <f>Data!L28</f>
        <v>97.2393</v>
      </c>
      <c r="G28" s="6">
        <f>Data!M28</f>
        <v>9.5567203526197595</v>
      </c>
      <c r="H28" s="5">
        <f>Data!P28</f>
        <v>0.432205200186209</v>
      </c>
      <c r="I28" s="3">
        <f>Data!Q28</f>
        <v>2.6695812241272998</v>
      </c>
      <c r="J28" t="str">
        <f>ROUND(10*Data!D28,0)&amp;":"&amp;ROUND(Data!G28*I28*10,0)</f>
        <v>1020:326</v>
      </c>
      <c r="K28">
        <f>Data!R28</f>
        <v>-0.40001259847044901</v>
      </c>
      <c r="L28" s="6">
        <f>Data!S28</f>
        <v>-3.82280854110686</v>
      </c>
      <c r="M28" s="6">
        <f>Data!T28</f>
        <v>-1.2979083083832299</v>
      </c>
      <c r="N28" s="2">
        <f>Data!J28</f>
        <v>0.274239910285833</v>
      </c>
      <c r="O28" s="2">
        <f>Data!K28</f>
        <v>0.193040869695211</v>
      </c>
    </row>
    <row r="29" spans="1:15">
      <c r="A29" s="1">
        <f>Data!A29</f>
        <v>43033</v>
      </c>
      <c r="B29" t="str">
        <f>Data!B29</f>
        <v>132007.SH</v>
      </c>
      <c r="C29" t="str">
        <f>Data!C29</f>
        <v>16凤凰EB</v>
      </c>
      <c r="D29" t="str">
        <f>Data!E29</f>
        <v>601928.SH</v>
      </c>
      <c r="E29" t="str">
        <f>Data!F29</f>
        <v>凤凰传媒</v>
      </c>
      <c r="F29" s="6">
        <f>Data!L29</f>
        <v>91.640799999999999</v>
      </c>
      <c r="G29" s="6">
        <f>Data!M29</f>
        <v>0.24702407666357001</v>
      </c>
      <c r="H29" s="5">
        <f>Data!P29</f>
        <v>4.3799881749891703E-2</v>
      </c>
      <c r="I29" s="3">
        <f>Data!Q29</f>
        <v>0.27809448730089897</v>
      </c>
      <c r="J29" t="str">
        <f>ROUND(10*Data!D29,0)&amp;":"&amp;ROUND(Data!G29*I29*10,0)</f>
        <v>927:26</v>
      </c>
      <c r="K29">
        <f>Data!R29</f>
        <v>-3.2937128392327798E-2</v>
      </c>
      <c r="L29" s="6">
        <f>Data!S29</f>
        <v>-8.1362637290642303E-3</v>
      </c>
      <c r="M29" s="6">
        <f>Data!T29</f>
        <v>-0.27367530695770698</v>
      </c>
      <c r="N29" s="2">
        <f>Data!J29</f>
        <v>0.12822129824857301</v>
      </c>
      <c r="O29" s="2">
        <f>Data!K29</f>
        <v>0.211930095015336</v>
      </c>
    </row>
    <row r="30" spans="1:15">
      <c r="A30" s="1">
        <f>Data!A30</f>
        <v>43033</v>
      </c>
      <c r="B30" t="str">
        <f>Data!B30</f>
        <v>132008.SH</v>
      </c>
      <c r="C30" t="str">
        <f>Data!C30</f>
        <v>17山高EB</v>
      </c>
      <c r="D30" t="str">
        <f>Data!E30</f>
        <v>600350.SH</v>
      </c>
      <c r="E30" t="str">
        <f>Data!F30</f>
        <v>山东高速</v>
      </c>
      <c r="F30" s="6">
        <f>Data!L30</f>
        <v>93.498800000000003</v>
      </c>
      <c r="G30" s="6">
        <f>Data!M30</f>
        <v>1.6406763186903399</v>
      </c>
      <c r="H30" s="5">
        <f>Data!P30</f>
        <v>0.16229547649360099</v>
      </c>
      <c r="I30" s="3">
        <f>Data!Q30</f>
        <v>1.65607629075103</v>
      </c>
      <c r="J30" t="str">
        <f>ROUND(10*Data!D30,0)&amp;":"&amp;ROUND(Data!G30*I30*10,0)</f>
        <v>954:99</v>
      </c>
      <c r="K30">
        <f>Data!R30</f>
        <v>-7.2035874792223606E-2</v>
      </c>
      <c r="L30" s="6">
        <f>Data!S30</f>
        <v>-0.118187553867744</v>
      </c>
      <c r="M30" s="6">
        <f>Data!T30</f>
        <v>-0.42509932967702502</v>
      </c>
      <c r="N30" s="2">
        <f>Data!J30</f>
        <v>0.17402163147931801</v>
      </c>
      <c r="O30" s="2">
        <f>Data!K30</f>
        <v>0.20635828103041101</v>
      </c>
    </row>
    <row r="31" spans="1:15">
      <c r="A31" s="1">
        <f>Data!A31</f>
        <v>43033</v>
      </c>
      <c r="B31" t="str">
        <f>Data!B31</f>
        <v>132009.SH</v>
      </c>
      <c r="C31" t="str">
        <f>Data!C31</f>
        <v>17中油EB</v>
      </c>
      <c r="D31" t="str">
        <f>Data!E31</f>
        <v>601857.SH</v>
      </c>
      <c r="E31" t="str">
        <f>Data!F31</f>
        <v>中国石油</v>
      </c>
      <c r="F31" s="6">
        <f>Data!L31</f>
        <v>88.630399999999995</v>
      </c>
      <c r="G31" s="6">
        <f>Data!M31</f>
        <v>9.0362317876842599</v>
      </c>
      <c r="H31" s="5">
        <f>Data!P31</f>
        <v>0.52764430749290503</v>
      </c>
      <c r="I31" s="3">
        <f>Data!Q31</f>
        <v>5.9152949270505104</v>
      </c>
      <c r="J31" t="str">
        <f>ROUND(10*Data!D31,0)&amp;":"&amp;ROUND(Data!G31*I31*10,0)</f>
        <v>1017:483</v>
      </c>
      <c r="K31">
        <f>Data!R31</f>
        <v>-0.14458707021301401</v>
      </c>
      <c r="L31" s="6">
        <f>Data!S31</f>
        <v>-1.30652227994698</v>
      </c>
      <c r="M31" s="6">
        <f>Data!T31</f>
        <v>-2.7718791400348701</v>
      </c>
      <c r="N31" s="2">
        <f>Data!J31</f>
        <v>0.122897659343153</v>
      </c>
      <c r="O31" s="2">
        <f>Data!K31</f>
        <v>0.17744349346351199</v>
      </c>
    </row>
    <row r="32" spans="1:15">
      <c r="A32" s="1">
        <f>Data!A32</f>
        <v>43033</v>
      </c>
      <c r="B32" t="str">
        <f>Data!B32</f>
        <v>132010.SH</v>
      </c>
      <c r="C32" t="str">
        <f>Data!C32</f>
        <v>17桐昆EB</v>
      </c>
      <c r="D32" t="str">
        <f>Data!E32</f>
        <v>601233.SH</v>
      </c>
      <c r="E32" t="str">
        <f>Data!F32</f>
        <v>桐昆股份</v>
      </c>
      <c r="F32" s="6">
        <f>Data!L32</f>
        <v>92.485299999999995</v>
      </c>
      <c r="G32" s="6">
        <f>Data!M32</f>
        <v>25.448028282613301</v>
      </c>
      <c r="H32" s="5">
        <f>Data!P32</f>
        <v>0.63064860642272402</v>
      </c>
      <c r="I32" s="3">
        <f>Data!Q32</f>
        <v>3.6836951309738599</v>
      </c>
      <c r="J32" t="str">
        <f>ROUND(10*Data!D32,0)&amp;":"&amp;ROUND(Data!G32*I32*10,0)</f>
        <v>1140:600</v>
      </c>
      <c r="K32">
        <f>Data!R32</f>
        <v>-0.85566539826214705</v>
      </c>
      <c r="L32" s="6">
        <f>Data!S32</f>
        <v>-21.774997255428701</v>
      </c>
      <c r="M32" s="6">
        <f>Data!T32</f>
        <v>-7.7597485177865604</v>
      </c>
      <c r="N32" s="2">
        <f>Data!J32</f>
        <v>0.415789236870867</v>
      </c>
      <c r="O32" s="2">
        <f>Data!K32</f>
        <v>0.35394994995962697</v>
      </c>
    </row>
    <row r="33" spans="1:15">
      <c r="A33" s="1">
        <f>Data!A33</f>
        <v>43033</v>
      </c>
      <c r="B33" t="str">
        <f>Data!B33</f>
        <v>132011.SH</v>
      </c>
      <c r="C33" t="str">
        <f>Data!C33</f>
        <v>17浙报EB</v>
      </c>
      <c r="D33" t="str">
        <f>Data!E33</f>
        <v>600633.SH</v>
      </c>
      <c r="E33" t="str">
        <f>Data!F33</f>
        <v>浙数文化</v>
      </c>
      <c r="F33" s="6">
        <f>Data!L33</f>
        <v>86.625500000000002</v>
      </c>
      <c r="G33" s="6">
        <f>Data!M33</f>
        <v>10.038008973042301</v>
      </c>
      <c r="H33" s="5">
        <f>Data!P33</f>
        <v>0.433348129886516</v>
      </c>
      <c r="I33" s="3">
        <f>Data!Q33</f>
        <v>1.73339251954606</v>
      </c>
      <c r="J33" t="str">
        <f>ROUND(10*Data!D33,0)&amp;":"&amp;ROUND(Data!G33*I33*10,0)</f>
        <v>929:292</v>
      </c>
      <c r="K33">
        <f>Data!R33</f>
        <v>-0.52116274533859397</v>
      </c>
      <c r="L33" s="6">
        <f>Data!S33</f>
        <v>-5.2314363141241502</v>
      </c>
      <c r="M33" s="6">
        <f>Data!T33</f>
        <v>-1.30420985193622</v>
      </c>
      <c r="N33" s="2">
        <f>Data!J33</f>
        <v>0.29713059649638801</v>
      </c>
      <c r="O33" s="2">
        <f>Data!K33</f>
        <v>0.234955511019138</v>
      </c>
    </row>
    <row r="34" spans="1:15">
      <c r="A34" s="1">
        <f>Data!A34</f>
        <v>43033</v>
      </c>
      <c r="B34" t="str">
        <f>Data!B34</f>
        <v>132012.SH</v>
      </c>
      <c r="C34" t="str">
        <f>Data!C34</f>
        <v>17巨化EB</v>
      </c>
      <c r="D34" t="str">
        <f>Data!E34</f>
        <v>600160.SH</v>
      </c>
      <c r="E34" t="str">
        <f>Data!F34</f>
        <v>巨化股份</v>
      </c>
      <c r="F34" s="6">
        <f>Data!L34</f>
        <v>92.099100000000007</v>
      </c>
      <c r="G34" s="6">
        <f>Data!M34</f>
        <v>19.272153873497999</v>
      </c>
      <c r="H34" s="5">
        <f>Data!P34</f>
        <v>0.57166097120352799</v>
      </c>
      <c r="I34" s="3">
        <f>Data!Q34</f>
        <v>4.2376647235250404</v>
      </c>
      <c r="J34" t="str">
        <f>ROUND(10*Data!D34,0)&amp;":"&amp;ROUND(Data!G34*I34*10,0)</f>
        <v>1035:498</v>
      </c>
      <c r="K34">
        <f>Data!R34</f>
        <v>-0.58713140319638601</v>
      </c>
      <c r="L34" s="6">
        <f>Data!S34</f>
        <v>-11.315286746363601</v>
      </c>
      <c r="M34" s="6">
        <f>Data!T34</f>
        <v>-3.9929391762452102</v>
      </c>
      <c r="N34" s="2">
        <f>Data!J34</f>
        <v>0.38494305224675002</v>
      </c>
      <c r="O34" s="2">
        <f>Data!K34</f>
        <v>0.25296170388665301</v>
      </c>
    </row>
  </sheetData>
  <phoneticPr fontId="1" type="noConversion"/>
  <conditionalFormatting sqref="H2:H34">
    <cfRule type="cellIs" dxfId="0" priority="1" operator="greaterThan">
      <formula>0.6</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P24"/>
  <sheetViews>
    <sheetView workbookViewId="0">
      <selection activeCell="M10" sqref="M10"/>
    </sheetView>
  </sheetViews>
  <sheetFormatPr defaultRowHeight="13.5"/>
  <cols>
    <col min="1" max="1" width="8" customWidth="1"/>
    <col min="2" max="2" width="12.125" customWidth="1"/>
    <col min="3" max="3" width="12.5" customWidth="1"/>
    <col min="4" max="4" width="11" bestFit="1" customWidth="1"/>
    <col min="5" max="5" width="13" bestFit="1" customWidth="1"/>
    <col min="6" max="6" width="12.75" bestFit="1" customWidth="1"/>
    <col min="7" max="7" width="10.5" bestFit="1" customWidth="1"/>
    <col min="8" max="9" width="13.25" customWidth="1"/>
    <col min="11" max="12" width="14.75" customWidth="1"/>
  </cols>
  <sheetData>
    <row r="1" spans="2:12" ht="35.25" customHeight="1" thickBot="1"/>
    <row r="2" spans="2:12">
      <c r="B2" s="53" t="s">
        <v>187</v>
      </c>
      <c r="C2" s="54"/>
      <c r="E2" s="53" t="s">
        <v>187</v>
      </c>
      <c r="F2" s="54"/>
      <c r="H2" s="53" t="s">
        <v>210</v>
      </c>
      <c r="I2" s="54"/>
      <c r="K2" s="53" t="s">
        <v>218</v>
      </c>
      <c r="L2" s="54"/>
    </row>
    <row r="3" spans="2:12">
      <c r="B3" s="18" t="s">
        <v>170</v>
      </c>
      <c r="C3" s="14" t="s">
        <v>171</v>
      </c>
      <c r="E3" s="18" t="s">
        <v>167</v>
      </c>
      <c r="F3" s="14">
        <v>41.5</v>
      </c>
      <c r="H3" s="18" t="s">
        <v>111</v>
      </c>
      <c r="I3" s="14" t="s">
        <v>211</v>
      </c>
      <c r="K3" s="18" t="s">
        <v>111</v>
      </c>
      <c r="L3" s="14" t="s">
        <v>216</v>
      </c>
    </row>
    <row r="4" spans="2:12">
      <c r="B4" s="18" t="s">
        <v>173</v>
      </c>
      <c r="C4" s="14" t="s">
        <v>174</v>
      </c>
      <c r="E4" s="18" t="s">
        <v>169</v>
      </c>
      <c r="F4" s="14">
        <v>38.479999999999997</v>
      </c>
      <c r="H4" s="18" t="s">
        <v>172</v>
      </c>
      <c r="I4" s="19" t="str">
        <f>[1]!S_Info_Name(I3)</f>
        <v>林洋能源</v>
      </c>
      <c r="K4" s="18" t="s">
        <v>173</v>
      </c>
      <c r="L4" s="14"/>
    </row>
    <row r="5" spans="2:12" ht="14.25" thickBot="1">
      <c r="B5" s="18" t="s">
        <v>176</v>
      </c>
      <c r="C5" s="15">
        <v>1.4999999999999999E-2</v>
      </c>
      <c r="E5" s="18" t="s">
        <v>176</v>
      </c>
      <c r="F5" s="14">
        <v>1.4999999999999999E-2</v>
      </c>
      <c r="H5" s="18" t="s">
        <v>122</v>
      </c>
      <c r="I5" s="19">
        <f>RTD("wdf.rtq", ,I3, "LastPrice","RT_Price")</f>
        <v>9</v>
      </c>
      <c r="K5" s="18" t="s">
        <v>176</v>
      </c>
      <c r="L5" s="15">
        <v>1.4999999999999999E-2</v>
      </c>
    </row>
    <row r="6" spans="2:12">
      <c r="B6" s="53" t="s">
        <v>188</v>
      </c>
      <c r="C6" s="54"/>
      <c r="E6" s="18" t="s">
        <v>179</v>
      </c>
      <c r="F6" s="16">
        <v>0.35</v>
      </c>
      <c r="H6" s="39" t="s">
        <v>212</v>
      </c>
      <c r="I6" s="14">
        <v>1.7</v>
      </c>
      <c r="K6" s="53" t="s">
        <v>188</v>
      </c>
      <c r="L6" s="54"/>
    </row>
    <row r="7" spans="2:12" ht="14.25" thickBot="1">
      <c r="B7" s="18" t="s">
        <v>172</v>
      </c>
      <c r="C7" s="19" t="str">
        <f>[1]!S_Info_Name(C3)</f>
        <v>东方雨虹</v>
      </c>
      <c r="E7" s="20" t="s">
        <v>178</v>
      </c>
      <c r="F7" s="17">
        <v>5.94</v>
      </c>
      <c r="H7" s="39" t="s">
        <v>213</v>
      </c>
      <c r="I7" s="38">
        <v>0.15</v>
      </c>
      <c r="K7" s="18" t="s">
        <v>172</v>
      </c>
      <c r="L7" s="19" t="str">
        <f>[1]!S_Info_Name(L3)</f>
        <v>林洋能源</v>
      </c>
    </row>
    <row r="8" spans="2:12">
      <c r="B8" s="18" t="s">
        <v>168</v>
      </c>
      <c r="C8" s="19">
        <f>RTD("wdf.rtq", ,C3, "LastPrice","RT_Price")</f>
        <v>40</v>
      </c>
      <c r="E8" s="53" t="s">
        <v>190</v>
      </c>
      <c r="F8" s="54"/>
      <c r="H8" s="39" t="s">
        <v>214</v>
      </c>
      <c r="I8" s="40">
        <f>I7*I6</f>
        <v>0.255</v>
      </c>
      <c r="K8" s="18" t="s">
        <v>168</v>
      </c>
      <c r="L8" s="19">
        <f>RTD("wdf.rtq", ,L3, "LastPrice","RT_Price")</f>
        <v>9</v>
      </c>
    </row>
    <row r="9" spans="2:12" ht="14.25" thickBot="1">
      <c r="B9" s="20" t="s">
        <v>179</v>
      </c>
      <c r="C9" s="21">
        <f>[1]!s_risk_stdevr100(C3,"")/100</f>
        <v>0.35107254028320312</v>
      </c>
      <c r="E9" s="18" t="s">
        <v>192</v>
      </c>
      <c r="F9" s="24">
        <f>BlackScholes(F3,F4,F5,F7,0,F6,"C",0,0)</f>
        <v>16.0364369314429</v>
      </c>
      <c r="G9" t="s">
        <v>193</v>
      </c>
      <c r="H9" s="41" t="s">
        <v>215</v>
      </c>
      <c r="I9" s="42">
        <f>I8/I5</f>
        <v>2.8333333333333335E-2</v>
      </c>
      <c r="K9" s="20" t="s">
        <v>179</v>
      </c>
      <c r="L9" s="21">
        <f>[1]!s_risk_stdevr100(L3,"")/100</f>
        <v>0.38551273345947268</v>
      </c>
    </row>
    <row r="10" spans="2:12">
      <c r="B10" s="53" t="s">
        <v>189</v>
      </c>
      <c r="C10" s="54"/>
      <c r="E10" s="18" t="s">
        <v>191</v>
      </c>
      <c r="F10" s="24">
        <f>BlackScholes(F3,F4,F5,F7,0,F6,"C",0,0)*100/F4</f>
        <v>41.674732150319386</v>
      </c>
      <c r="G10" t="s">
        <v>194</v>
      </c>
      <c r="K10" s="53" t="s">
        <v>189</v>
      </c>
      <c r="L10" s="54"/>
    </row>
    <row r="11" spans="2:12">
      <c r="B11" s="18" t="s">
        <v>109</v>
      </c>
      <c r="C11" s="19" t="str">
        <f>[1]!S_Info_Name(C4)</f>
        <v>雨虹转债</v>
      </c>
      <c r="E11" s="18" t="s">
        <v>183</v>
      </c>
      <c r="F11" s="26">
        <f>BlackScholes(F3,F4,F5,F7,0,F6,"C",0,1)</f>
        <v>0.73221861513268105</v>
      </c>
      <c r="K11" s="18" t="s">
        <v>109</v>
      </c>
      <c r="L11" s="19" t="s">
        <v>217</v>
      </c>
    </row>
    <row r="12" spans="2:12" ht="14.25" thickBot="1">
      <c r="B12" s="18" t="s">
        <v>121</v>
      </c>
      <c r="C12" s="19">
        <f>IF(RTD("wdf.rtq", ,C4, "LastPrice","RT_Price")=0,100,RTD("wdf.rtq", ,C4, "LastPrice","RT_Price"))</f>
        <v>118.202</v>
      </c>
      <c r="E12" s="20" t="s">
        <v>184</v>
      </c>
      <c r="F12" s="28">
        <f>BlackScholes(F3,F4,F5,F7,0,F6,"C",0,2)</f>
        <v>9.3015210176909113E-3</v>
      </c>
      <c r="K12" s="18" t="s">
        <v>121</v>
      </c>
      <c r="L12" s="19">
        <v>100</v>
      </c>
    </row>
    <row r="13" spans="2:12">
      <c r="B13" s="18" t="s">
        <v>180</v>
      </c>
      <c r="C13" s="22">
        <f>[1]!cb_anal_straightbondvalue(C4,"")</f>
        <v>83.836399999999998</v>
      </c>
      <c r="K13" s="18" t="s">
        <v>180</v>
      </c>
      <c r="L13" s="22">
        <v>81</v>
      </c>
    </row>
    <row r="14" spans="2:12">
      <c r="B14" s="18" t="s">
        <v>175</v>
      </c>
      <c r="C14" s="22">
        <f>[1]!cb_clause_conversion2_swapshareprice(C4,"")</f>
        <v>38.479999999999997</v>
      </c>
      <c r="K14" s="18" t="s">
        <v>175</v>
      </c>
      <c r="L14" s="22">
        <v>8.8000000000000007</v>
      </c>
    </row>
    <row r="15" spans="2:12" ht="14.25" thickBot="1">
      <c r="B15" s="18" t="s">
        <v>177</v>
      </c>
      <c r="C15" s="19" t="str">
        <f>[1]!cb_info_maturitydate(C4)</f>
        <v>2023-09-25</v>
      </c>
      <c r="K15" s="20" t="s">
        <v>178</v>
      </c>
      <c r="L15" s="23">
        <v>6</v>
      </c>
    </row>
    <row r="16" spans="2:12" ht="14.25" thickBot="1">
      <c r="B16" s="20" t="s">
        <v>178</v>
      </c>
      <c r="C16" s="23">
        <f ca="1">(C15-TODAY())/365</f>
        <v>5.9178082191780819</v>
      </c>
      <c r="K16" s="53" t="s">
        <v>190</v>
      </c>
      <c r="L16" s="54"/>
    </row>
    <row r="17" spans="2:16">
      <c r="B17" s="53" t="s">
        <v>195</v>
      </c>
      <c r="C17" s="54"/>
      <c r="K17" s="18" t="s">
        <v>120</v>
      </c>
      <c r="L17" s="24">
        <f>BlackScholes(L8,L14,L5,L15,0,L9,"C",0,0)*100/L14</f>
        <v>40.83882202472924</v>
      </c>
    </row>
    <row r="18" spans="2:16">
      <c r="B18" s="18" t="s">
        <v>120</v>
      </c>
      <c r="C18" s="24">
        <f ca="1">BlackScholes(C8,C14,C5,C16,0,C9,"C",0,0)*100/C14</f>
        <v>38.87193878372792</v>
      </c>
      <c r="K18" s="18" t="s">
        <v>181</v>
      </c>
      <c r="L18" s="24">
        <f>L17+L13</f>
        <v>121.83882202472924</v>
      </c>
    </row>
    <row r="19" spans="2:16">
      <c r="B19" s="18" t="s">
        <v>181</v>
      </c>
      <c r="C19" s="24">
        <f ca="1">C18+C13</f>
        <v>122.70833878372792</v>
      </c>
      <c r="K19" s="18" t="s">
        <v>151</v>
      </c>
      <c r="L19" s="25">
        <f>L12/L18-1</f>
        <v>-0.17924354209774518</v>
      </c>
    </row>
    <row r="20" spans="2:16">
      <c r="B20" s="18" t="s">
        <v>182</v>
      </c>
      <c r="C20" s="25">
        <f ca="1">C12/C19-1</f>
        <v>-3.6723981665747196E-2</v>
      </c>
      <c r="K20" s="18" t="s">
        <v>135</v>
      </c>
      <c r="L20" s="26">
        <f>BlackScholes(L8,L14,L5,L15,0,L9,"C",0,1)</f>
        <v>0.72282711097409758</v>
      </c>
    </row>
    <row r="21" spans="2:16">
      <c r="B21" s="18" t="s">
        <v>183</v>
      </c>
      <c r="C21" s="26">
        <f ca="1">BlackScholes(C8,C14,C5,C16,0,C9,"C",0,1)</f>
        <v>0.71780026342963521</v>
      </c>
      <c r="K21" s="18" t="s">
        <v>184</v>
      </c>
      <c r="L21" s="26">
        <f>BlackScholes(L8,L14,L5,L15,0,L9,"C",0,2)</f>
        <v>3.9413125677441631E-2</v>
      </c>
    </row>
    <row r="22" spans="2:16">
      <c r="B22" s="18" t="s">
        <v>184</v>
      </c>
      <c r="C22" s="26">
        <f ca="1">BlackScholes(C8,C14,C5,C16,0,C9,"C",0,2)</f>
        <v>9.891192742551522E-3</v>
      </c>
      <c r="K22" s="18" t="s">
        <v>137</v>
      </c>
      <c r="L22" s="26">
        <f>L20*100/L14</f>
        <v>8.2139444428874722</v>
      </c>
    </row>
    <row r="23" spans="2:16" ht="14.25" thickBot="1">
      <c r="B23" s="18" t="s">
        <v>185</v>
      </c>
      <c r="C23" s="26">
        <f ca="1">C21*100/C14</f>
        <v>1.8653852999730647</v>
      </c>
      <c r="K23" s="20" t="s">
        <v>138</v>
      </c>
      <c r="L23" s="27" t="str">
        <f>ROUND(10*L12,0)&amp;":"&amp;ROUND(L8*L22*10,0)</f>
        <v>1000:739</v>
      </c>
      <c r="P23">
        <f>200*0.15</f>
        <v>30</v>
      </c>
    </row>
    <row r="24" spans="2:16" ht="14.25" thickBot="1">
      <c r="B24" s="20" t="s">
        <v>186</v>
      </c>
      <c r="C24" s="27" t="str">
        <f ca="1">ROUND(10*C12,0)&amp;":"&amp;ROUND(C8*C23*10,0)</f>
        <v>1182:746</v>
      </c>
    </row>
  </sheetData>
  <mergeCells count="11">
    <mergeCell ref="K16:L16"/>
    <mergeCell ref="H2:I2"/>
    <mergeCell ref="K2:L2"/>
    <mergeCell ref="K6:L6"/>
    <mergeCell ref="K10:L10"/>
    <mergeCell ref="B2:C2"/>
    <mergeCell ref="B6:C6"/>
    <mergeCell ref="B10:C10"/>
    <mergeCell ref="B17:C17"/>
    <mergeCell ref="E2:F2"/>
    <mergeCell ref="E8:F8"/>
  </mergeCells>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J34"/>
  <sheetViews>
    <sheetView workbookViewId="0">
      <selection activeCell="U1" sqref="U1"/>
    </sheetView>
  </sheetViews>
  <sheetFormatPr defaultRowHeight="13.5"/>
  <sheetData>
    <row r="1" spans="1:36">
      <c r="A1" t="s">
        <v>219</v>
      </c>
      <c r="B1" t="s">
        <v>0</v>
      </c>
      <c r="C1" t="s">
        <v>1</v>
      </c>
      <c r="D1" t="s">
        <v>220</v>
      </c>
      <c r="E1" t="s">
        <v>229</v>
      </c>
      <c r="F1" t="s">
        <v>2</v>
      </c>
      <c r="G1" t="s">
        <v>221</v>
      </c>
      <c r="H1" t="s">
        <v>222</v>
      </c>
      <c r="I1" t="s">
        <v>3</v>
      </c>
      <c r="J1" t="s">
        <v>4</v>
      </c>
      <c r="K1" t="s">
        <v>106</v>
      </c>
      <c r="L1" t="s">
        <v>223</v>
      </c>
      <c r="M1" t="s">
        <v>224</v>
      </c>
      <c r="N1" t="s">
        <v>5</v>
      </c>
      <c r="O1" t="s">
        <v>107</v>
      </c>
      <c r="P1" t="s">
        <v>6</v>
      </c>
      <c r="Q1" t="s">
        <v>225</v>
      </c>
      <c r="R1" t="s">
        <v>7</v>
      </c>
      <c r="S1" t="s">
        <v>8</v>
      </c>
      <c r="T1" t="s">
        <v>9</v>
      </c>
      <c r="U1" t="s">
        <v>108</v>
      </c>
      <c r="V1" t="s">
        <v>263</v>
      </c>
      <c r="W1" t="s">
        <v>264</v>
      </c>
      <c r="X1" s="43">
        <v>43009</v>
      </c>
      <c r="Y1" s="43">
        <v>42979</v>
      </c>
      <c r="Z1" s="43">
        <v>42948</v>
      </c>
      <c r="AA1" s="43">
        <v>42917</v>
      </c>
      <c r="AB1" s="43">
        <v>42887</v>
      </c>
      <c r="AC1" s="43">
        <v>42856</v>
      </c>
      <c r="AD1" s="43">
        <v>42826</v>
      </c>
      <c r="AE1" s="43">
        <v>42795</v>
      </c>
      <c r="AF1" s="43">
        <v>42767</v>
      </c>
      <c r="AG1" s="43">
        <v>42736</v>
      </c>
      <c r="AH1" s="43">
        <v>42705</v>
      </c>
      <c r="AI1" s="43">
        <v>42675</v>
      </c>
      <c r="AJ1" s="43">
        <v>42644</v>
      </c>
    </row>
    <row r="2" spans="1:36">
      <c r="A2" s="1">
        <v>43033</v>
      </c>
      <c r="B2" t="s">
        <v>27</v>
      </c>
      <c r="C2" t="s">
        <v>59</v>
      </c>
      <c r="D2">
        <v>111.14709999999999</v>
      </c>
      <c r="E2" t="s">
        <v>230</v>
      </c>
      <c r="F2" t="s">
        <v>91</v>
      </c>
      <c r="G2">
        <v>6.18</v>
      </c>
      <c r="H2">
        <v>7.24</v>
      </c>
      <c r="I2">
        <v>2.1643835616438398</v>
      </c>
      <c r="J2">
        <v>0.26769504128565902</v>
      </c>
      <c r="K2">
        <v>0.354933274025521</v>
      </c>
      <c r="L2">
        <v>98.384799999999998</v>
      </c>
      <c r="M2">
        <v>9.2045069243562896</v>
      </c>
      <c r="N2">
        <v>107.58930692435599</v>
      </c>
      <c r="O2">
        <v>9.2609621339559904</v>
      </c>
      <c r="P2">
        <v>0.45120868595463498</v>
      </c>
      <c r="Q2">
        <v>6.23216417064413</v>
      </c>
      <c r="R2">
        <v>-0.25445774580748998</v>
      </c>
      <c r="S2">
        <v>-2.34215808324113</v>
      </c>
      <c r="T2">
        <v>-5.8965056962025297</v>
      </c>
      <c r="U2">
        <v>3.3068277669500198E-2</v>
      </c>
      <c r="V2">
        <v>3.11615042067972E-2</v>
      </c>
      <c r="W2">
        <v>5.4123634693690199E-2</v>
      </c>
      <c r="X2">
        <v>1.75888862683043E-2</v>
      </c>
      <c r="Y2">
        <v>-1.0999949164302599E-2</v>
      </c>
      <c r="Z2">
        <v>-4.4162782677874702E-3</v>
      </c>
      <c r="AA2">
        <v>-2.0310357986584902E-2</v>
      </c>
      <c r="AB2">
        <v>-3.0486706628787101E-2</v>
      </c>
      <c r="AC2">
        <v>-3.1702029454917402E-2</v>
      </c>
      <c r="AD2">
        <v>-1.1882925665768901E-3</v>
      </c>
      <c r="AE2">
        <v>9.68683107430931E-2</v>
      </c>
      <c r="AF2">
        <v>0.103218500953941</v>
      </c>
      <c r="AG2">
        <v>8.80207860386822E-2</v>
      </c>
      <c r="AH2">
        <v>7.6202758446027696E-2</v>
      </c>
      <c r="AI2">
        <v>8.2230476202387395E-2</v>
      </c>
      <c r="AJ2">
        <v>5.4571034049515903E-2</v>
      </c>
    </row>
    <row r="3" spans="1:36">
      <c r="A3" s="1">
        <v>43033</v>
      </c>
      <c r="B3" t="s">
        <v>41</v>
      </c>
      <c r="C3" t="s">
        <v>73</v>
      </c>
      <c r="D3">
        <v>103.9401</v>
      </c>
      <c r="E3" t="s">
        <v>231</v>
      </c>
      <c r="F3" t="s">
        <v>105</v>
      </c>
      <c r="G3">
        <v>18.670000000000002</v>
      </c>
      <c r="H3">
        <v>42.8</v>
      </c>
      <c r="I3">
        <v>3.6301369863013702</v>
      </c>
      <c r="J3">
        <v>0.245572957993377</v>
      </c>
      <c r="K3">
        <v>0.60854191537858704</v>
      </c>
      <c r="L3">
        <v>94.066599999999994</v>
      </c>
      <c r="M3">
        <v>0.59833009664403003</v>
      </c>
      <c r="N3">
        <v>94.664930096643999</v>
      </c>
      <c r="O3">
        <v>0.58697968616664498</v>
      </c>
      <c r="P3">
        <v>7.7397949045919706E-2</v>
      </c>
      <c r="Q3">
        <v>0.180836329546541</v>
      </c>
      <c r="R3">
        <v>-0.192280818359229</v>
      </c>
      <c r="S3">
        <v>-0.11504740063167</v>
      </c>
      <c r="T3">
        <v>-2.71986981132076</v>
      </c>
      <c r="U3">
        <v>9.7978944197042006E-2</v>
      </c>
      <c r="V3">
        <v>0.11839825558956001</v>
      </c>
      <c r="W3">
        <v>2.5973742279770701E-2</v>
      </c>
      <c r="X3">
        <v>0.100516972339862</v>
      </c>
      <c r="Y3">
        <v>0.112719456072537</v>
      </c>
      <c r="Z3">
        <v>0.10833893047504101</v>
      </c>
      <c r="AA3">
        <v>9.4417217174105603E-2</v>
      </c>
      <c r="AB3">
        <v>8.9282236244259003E-2</v>
      </c>
      <c r="AC3">
        <v>8.5762347337054207E-2</v>
      </c>
      <c r="AD3">
        <v>0.105492961776445</v>
      </c>
      <c r="AE3">
        <v>0.126250402104604</v>
      </c>
      <c r="AF3">
        <v>0.143169977453661</v>
      </c>
      <c r="AG3">
        <v>0.136848047182203</v>
      </c>
      <c r="AH3">
        <v>0.15620618634936101</v>
      </c>
      <c r="AI3">
        <v>0.15364870455347801</v>
      </c>
      <c r="AJ3">
        <v>0.123550774451304</v>
      </c>
    </row>
    <row r="4" spans="1:36">
      <c r="A4" s="1">
        <v>43033</v>
      </c>
      <c r="B4" t="s">
        <v>20</v>
      </c>
      <c r="C4" t="s">
        <v>52</v>
      </c>
      <c r="D4">
        <v>118.2573</v>
      </c>
      <c r="E4" t="s">
        <v>232</v>
      </c>
      <c r="F4" t="s">
        <v>84</v>
      </c>
      <c r="G4">
        <v>7.88</v>
      </c>
      <c r="H4">
        <v>7.43</v>
      </c>
      <c r="I4">
        <v>4.1945205479452099</v>
      </c>
      <c r="J4">
        <v>0.28502078548887999</v>
      </c>
      <c r="K4">
        <v>0.25613670572227998</v>
      </c>
      <c r="L4">
        <v>91.335499999999996</v>
      </c>
      <c r="M4">
        <v>29.516352360910702</v>
      </c>
      <c r="N4">
        <v>120.851852360911</v>
      </c>
      <c r="O4">
        <v>29.6023657363213</v>
      </c>
      <c r="P4">
        <v>0.69159866289072802</v>
      </c>
      <c r="Q4">
        <v>9.3081919635360499</v>
      </c>
      <c r="R4">
        <v>-0.24185698258507801</v>
      </c>
      <c r="S4">
        <v>-7.1387359189278197</v>
      </c>
      <c r="T4">
        <v>-6.41832593076421</v>
      </c>
      <c r="U4">
        <v>-2.1468867131323201E-2</v>
      </c>
      <c r="V4">
        <v>5.9702097367431003E-3</v>
      </c>
      <c r="W4">
        <v>3.5014940933848299E-2</v>
      </c>
      <c r="X4">
        <v>-1.3655553999805401E-2</v>
      </c>
      <c r="Y4">
        <v>5.50735642616367E-3</v>
      </c>
      <c r="Z4">
        <v>2.2473262797790099E-3</v>
      </c>
      <c r="AA4">
        <v>3.1683511849336398E-3</v>
      </c>
      <c r="AB4">
        <v>-9.6802411561605402E-3</v>
      </c>
      <c r="AC4">
        <v>-2.7939873360230402E-2</v>
      </c>
      <c r="AD4">
        <v>-3.2919365974693797E-2</v>
      </c>
      <c r="AE4">
        <v>-2.6486184621253201E-2</v>
      </c>
      <c r="AF4">
        <v>-9.9573817791473607E-3</v>
      </c>
      <c r="AG4">
        <v>1.7310622106220599E-2</v>
      </c>
      <c r="AH4">
        <v>4.0978118994527198E-2</v>
      </c>
      <c r="AI4">
        <v>7.6266067013248798E-2</v>
      </c>
      <c r="AJ4">
        <v>7.7551051147816394E-2</v>
      </c>
    </row>
    <row r="5" spans="1:36">
      <c r="A5" s="1">
        <v>43033</v>
      </c>
      <c r="B5" t="s">
        <v>17</v>
      </c>
      <c r="C5" t="s">
        <v>49</v>
      </c>
      <c r="D5">
        <v>127.65860000000001</v>
      </c>
      <c r="E5" t="s">
        <v>233</v>
      </c>
      <c r="F5" t="s">
        <v>81</v>
      </c>
      <c r="G5">
        <v>10.89</v>
      </c>
      <c r="H5">
        <v>8.81</v>
      </c>
      <c r="I5">
        <v>4.1972602739726002</v>
      </c>
      <c r="J5">
        <v>0.44114966767922098</v>
      </c>
      <c r="K5">
        <v>0.184423674499956</v>
      </c>
      <c r="L5">
        <v>92.852800000000002</v>
      </c>
      <c r="M5">
        <v>54.386194249441097</v>
      </c>
      <c r="N5">
        <v>147.23899424944099</v>
      </c>
      <c r="O5">
        <v>54.398651902958598</v>
      </c>
      <c r="P5">
        <v>0.77519854225148099</v>
      </c>
      <c r="Q5">
        <v>8.7990753944549507</v>
      </c>
      <c r="R5">
        <v>-0.40621913896613998</v>
      </c>
      <c r="S5">
        <v>-22.092712999653202</v>
      </c>
      <c r="T5">
        <v>-8.2925045691905996</v>
      </c>
      <c r="U5">
        <v>-0.13298375440047799</v>
      </c>
      <c r="V5">
        <v>-2.49919470814121E-2</v>
      </c>
      <c r="W5">
        <v>5.4002330914998301E-2</v>
      </c>
      <c r="X5">
        <v>-0.12752640905972901</v>
      </c>
      <c r="Y5">
        <v>-0.116538159419242</v>
      </c>
      <c r="Z5">
        <v>-0.107712213184261</v>
      </c>
      <c r="AA5">
        <v>-1.6612917401587299E-2</v>
      </c>
      <c r="AB5">
        <v>2.0811501808082399E-2</v>
      </c>
      <c r="AC5">
        <v>1.2922738510459601E-3</v>
      </c>
      <c r="AD5">
        <v>7.2467886169931004E-3</v>
      </c>
      <c r="AE5">
        <v>1.6617069336948401E-2</v>
      </c>
      <c r="AF5">
        <v>4.1497909265860002E-3</v>
      </c>
      <c r="AG5">
        <v>-1.57267830442383E-3</v>
      </c>
      <c r="AH5">
        <v>-1.1861827523296901E-2</v>
      </c>
      <c r="AI5">
        <v>8.0458417861126695E-3</v>
      </c>
      <c r="AJ5">
        <v>-3.0595509304044002E-2</v>
      </c>
    </row>
    <row r="6" spans="1:36">
      <c r="A6" s="1">
        <v>43033</v>
      </c>
      <c r="B6" t="s">
        <v>18</v>
      </c>
      <c r="C6" t="s">
        <v>50</v>
      </c>
      <c r="D6">
        <v>127.18989999999999</v>
      </c>
      <c r="E6" t="s">
        <v>234</v>
      </c>
      <c r="F6" t="s">
        <v>82</v>
      </c>
      <c r="G6">
        <v>22.07</v>
      </c>
      <c r="H6">
        <v>18.649999999999999</v>
      </c>
      <c r="I6">
        <v>4.22465753424658</v>
      </c>
      <c r="J6">
        <v>0.20967564189089699</v>
      </c>
      <c r="K6">
        <v>0.24883152631585101</v>
      </c>
      <c r="L6">
        <v>91.74</v>
      </c>
      <c r="M6">
        <v>32.843012967090701</v>
      </c>
      <c r="N6">
        <v>124.58301296709099</v>
      </c>
      <c r="O6">
        <v>32.905592096270297</v>
      </c>
      <c r="P6">
        <v>0.77433858786088505</v>
      </c>
      <c r="Q6">
        <v>4.1519495327661398</v>
      </c>
      <c r="R6">
        <v>-0.50264108151194997</v>
      </c>
      <c r="S6">
        <v>-16.508247557889401</v>
      </c>
      <c r="T6">
        <v>-8.3911890402075198</v>
      </c>
      <c r="U6">
        <v>2.0924899557518001E-2</v>
      </c>
      <c r="V6">
        <v>1.4130729457391401E-2</v>
      </c>
      <c r="W6">
        <v>4.7454660380455399E-2</v>
      </c>
      <c r="X6">
        <v>3.8109700025409997E-2</v>
      </c>
      <c r="Y6">
        <v>5.8060109896432198E-2</v>
      </c>
      <c r="Z6">
        <v>7.5709902239126894E-2</v>
      </c>
      <c r="AA6">
        <v>6.2768589055535506E-2</v>
      </c>
      <c r="AB6">
        <v>5.0143257078988701E-2</v>
      </c>
      <c r="AC6">
        <v>4.3746096566321703E-2</v>
      </c>
      <c r="AD6">
        <v>1.7152545872002E-2</v>
      </c>
      <c r="AE6">
        <v>2.7710333633420101E-3</v>
      </c>
      <c r="AF6">
        <v>-2.7410293363982499E-2</v>
      </c>
      <c r="AG6">
        <v>-4.4745861252098E-2</v>
      </c>
      <c r="AH6">
        <v>-4.5192246507863701E-2</v>
      </c>
      <c r="AI6">
        <v>-3.4381598352843698E-2</v>
      </c>
      <c r="AJ6">
        <v>-6.0287997285089399E-2</v>
      </c>
    </row>
    <row r="7" spans="1:36">
      <c r="A7" s="1">
        <v>43033</v>
      </c>
      <c r="B7" t="s">
        <v>31</v>
      </c>
      <c r="C7" t="s">
        <v>63</v>
      </c>
      <c r="D7">
        <v>106.09399999999999</v>
      </c>
      <c r="E7" t="s">
        <v>235</v>
      </c>
      <c r="F7" t="s">
        <v>95</v>
      </c>
      <c r="G7">
        <v>8.01</v>
      </c>
      <c r="H7">
        <v>10.46</v>
      </c>
      <c r="I7">
        <v>3.2739726027397298</v>
      </c>
      <c r="J7">
        <v>0.31877828896240001</v>
      </c>
      <c r="K7">
        <v>0.318580423098073</v>
      </c>
      <c r="L7">
        <v>95.314400000000006</v>
      </c>
      <c r="M7">
        <v>11.5078021223052</v>
      </c>
      <c r="N7">
        <v>106.822202122305</v>
      </c>
      <c r="O7">
        <v>11.572744061604901</v>
      </c>
      <c r="P7">
        <v>0.46449073312641698</v>
      </c>
      <c r="Q7">
        <v>4.4406379840001602</v>
      </c>
      <c r="R7">
        <v>-0.31812756345209098</v>
      </c>
      <c r="S7">
        <v>-3.6609490498577602</v>
      </c>
      <c r="T7">
        <v>-3.29251380753138</v>
      </c>
      <c r="U7">
        <v>-6.8169547887758598E-3</v>
      </c>
      <c r="V7">
        <v>9.5408772384830004E-2</v>
      </c>
      <c r="W7">
        <v>7.8171163442768199E-2</v>
      </c>
      <c r="X7">
        <v>1.4923058222963701E-3</v>
      </c>
      <c r="Y7">
        <v>1.53530979598616E-2</v>
      </c>
      <c r="Z7">
        <v>2.9908850391689199E-2</v>
      </c>
      <c r="AA7">
        <v>2.5170476883485199E-2</v>
      </c>
      <c r="AB7">
        <v>3.2709084848829603E-2</v>
      </c>
      <c r="AC7">
        <v>7.2390257272450007E-2</v>
      </c>
      <c r="AD7">
        <v>0.212094534929579</v>
      </c>
      <c r="AE7">
        <v>0.210663563858528</v>
      </c>
      <c r="AF7">
        <v>0.20064683312591899</v>
      </c>
      <c r="AG7">
        <v>0.15362702770679501</v>
      </c>
      <c r="AH7">
        <v>0.12471743336939101</v>
      </c>
      <c r="AI7">
        <v>7.9984325961753699E-2</v>
      </c>
      <c r="AJ7">
        <v>6.4795297769183802E-2</v>
      </c>
    </row>
    <row r="8" spans="1:36">
      <c r="A8" s="1">
        <v>43033</v>
      </c>
      <c r="B8" t="s">
        <v>14</v>
      </c>
      <c r="C8" t="s">
        <v>46</v>
      </c>
      <c r="D8">
        <v>131.22190000000001</v>
      </c>
      <c r="E8" t="s">
        <v>236</v>
      </c>
      <c r="F8" t="s">
        <v>78</v>
      </c>
      <c r="G8">
        <v>27.77</v>
      </c>
      <c r="H8">
        <v>21.43</v>
      </c>
      <c r="I8">
        <v>4.2438356164383597</v>
      </c>
      <c r="J8">
        <v>0.218331335842466</v>
      </c>
      <c r="K8">
        <v>0.18829286329651801</v>
      </c>
      <c r="L8">
        <v>91.039900000000003</v>
      </c>
      <c r="M8">
        <v>42.529670399428603</v>
      </c>
      <c r="N8">
        <v>133.56957039942901</v>
      </c>
      <c r="O8">
        <v>42.468302078794999</v>
      </c>
      <c r="P8">
        <v>0.82706454954764796</v>
      </c>
      <c r="Q8">
        <v>3.8593772727375102</v>
      </c>
      <c r="R8">
        <v>-0.58428639306449404</v>
      </c>
      <c r="S8">
        <v>-24.849507715903901</v>
      </c>
      <c r="T8">
        <v>-9.4683214977404795</v>
      </c>
      <c r="U8">
        <v>-1.7576386540797601E-2</v>
      </c>
      <c r="V8">
        <v>-3.8247052506146302E-2</v>
      </c>
      <c r="W8">
        <v>2.59800153236746E-2</v>
      </c>
      <c r="X8">
        <v>-2.0473652308392501E-2</v>
      </c>
      <c r="Y8">
        <v>-9.3957998552530297E-3</v>
      </c>
      <c r="Z8">
        <v>-5.6706654738526499E-3</v>
      </c>
      <c r="AA8">
        <v>-1.5477623873460401E-2</v>
      </c>
      <c r="AB8">
        <v>-2.19940816515178E-2</v>
      </c>
      <c r="AC8">
        <v>-3.6231181814781903E-2</v>
      </c>
      <c r="AD8">
        <v>-6.2838339964362E-2</v>
      </c>
      <c r="AE8">
        <v>-5.4356894160095502E-2</v>
      </c>
      <c r="AF8">
        <v>-4.4154991769910799E-2</v>
      </c>
      <c r="AG8">
        <v>-3.60644239913731E-2</v>
      </c>
      <c r="AH8">
        <v>-6.3230429053334203E-2</v>
      </c>
      <c r="AI8">
        <v>-7.7841922908925304E-2</v>
      </c>
      <c r="AJ8">
        <v>-5.6167233087034703E-2</v>
      </c>
    </row>
    <row r="9" spans="1:36">
      <c r="A9" s="1">
        <v>43033</v>
      </c>
      <c r="B9" t="s">
        <v>35</v>
      </c>
      <c r="C9" t="s">
        <v>67</v>
      </c>
      <c r="D9">
        <v>105.51730000000001</v>
      </c>
      <c r="E9" t="s">
        <v>237</v>
      </c>
      <c r="F9" t="s">
        <v>99</v>
      </c>
      <c r="G9">
        <v>6.37</v>
      </c>
      <c r="H9">
        <v>9.3000000000000007</v>
      </c>
      <c r="I9">
        <v>4.3945205479452101</v>
      </c>
      <c r="J9">
        <v>0.15532667004932499</v>
      </c>
      <c r="K9">
        <v>0.36639441638397902</v>
      </c>
      <c r="L9">
        <v>92.2667</v>
      </c>
      <c r="M9">
        <v>2.3248681408458798</v>
      </c>
      <c r="N9">
        <v>94.591568140845894</v>
      </c>
      <c r="O9">
        <v>2.2944224443837999</v>
      </c>
      <c r="P9">
        <v>0.21275083528093999</v>
      </c>
      <c r="Q9">
        <v>2.2876433901176401</v>
      </c>
      <c r="R9">
        <v>-8.5619151273331306E-2</v>
      </c>
      <c r="S9">
        <v>-0.199053237041632</v>
      </c>
      <c r="T9">
        <v>-3.0152549875311698</v>
      </c>
      <c r="U9">
        <v>0.115504289376891</v>
      </c>
      <c r="V9">
        <v>5.0877523082565802E-2</v>
      </c>
      <c r="W9">
        <v>4.3374004676246802E-2</v>
      </c>
      <c r="X9">
        <v>0.109977426226314</v>
      </c>
      <c r="Y9">
        <v>0.11607206383839</v>
      </c>
      <c r="Z9">
        <v>0.10290041452498</v>
      </c>
      <c r="AA9">
        <v>7.9009880425110895E-2</v>
      </c>
      <c r="AB9">
        <v>7.3352075201303005E-2</v>
      </c>
      <c r="AC9">
        <v>5.8829711100671297E-2</v>
      </c>
      <c r="AD9">
        <v>4.1145475147901997E-2</v>
      </c>
      <c r="AE9">
        <v>3.4739477805029798E-2</v>
      </c>
      <c r="AF9">
        <v>2.4947808265162599E-2</v>
      </c>
      <c r="AG9">
        <v>6.2527769189997797E-3</v>
      </c>
      <c r="AH9">
        <v>3.86026054707628E-3</v>
      </c>
      <c r="AI9">
        <v>7.8243445676398002E-3</v>
      </c>
      <c r="AJ9">
        <v>-3.5821599818598497E-2</v>
      </c>
    </row>
    <row r="10" spans="1:36">
      <c r="A10" s="1">
        <v>43033</v>
      </c>
      <c r="B10" t="s">
        <v>10</v>
      </c>
      <c r="C10" t="s">
        <v>42</v>
      </c>
      <c r="D10">
        <v>111.3184</v>
      </c>
      <c r="E10" t="s">
        <v>238</v>
      </c>
      <c r="F10" t="s">
        <v>74</v>
      </c>
      <c r="G10">
        <v>4.07</v>
      </c>
      <c r="H10">
        <v>4.26</v>
      </c>
      <c r="I10">
        <v>5.3917808219178101</v>
      </c>
      <c r="J10">
        <v>0.13501648454956799</v>
      </c>
      <c r="K10">
        <v>0.27960674417089998</v>
      </c>
      <c r="L10">
        <v>85.7637</v>
      </c>
      <c r="M10">
        <v>13.422406174180299</v>
      </c>
      <c r="N10">
        <v>99.186106174180296</v>
      </c>
      <c r="O10">
        <v>13.4738636423365</v>
      </c>
      <c r="P10">
        <v>0.60610961608851499</v>
      </c>
      <c r="Q10">
        <v>14.2279252602938</v>
      </c>
      <c r="R10">
        <v>-7.3952080705644602E-2</v>
      </c>
      <c r="S10">
        <v>-0.99261486465692605</v>
      </c>
      <c r="T10">
        <v>-4.7395658028455303</v>
      </c>
      <c r="U10">
        <v>0.12231848082143899</v>
      </c>
      <c r="V10">
        <v>8.7702243338098104E-2</v>
      </c>
      <c r="W10">
        <v>4.1634006857387898E-2</v>
      </c>
      <c r="X10">
        <v>0.124223154745034</v>
      </c>
      <c r="Y10">
        <v>0.13319359986909399</v>
      </c>
      <c r="Z10">
        <v>0.13208369335046699</v>
      </c>
      <c r="AA10">
        <v>9.1085643393975596E-2</v>
      </c>
      <c r="AB10">
        <v>7.7866759994919904E-2</v>
      </c>
      <c r="AC10">
        <v>5.7427387060726101E-2</v>
      </c>
      <c r="AD10">
        <v>4.6829240834708498E-2</v>
      </c>
      <c r="AE10">
        <v>3.6490361677844403E-5</v>
      </c>
      <c r="AF10">
        <v>0</v>
      </c>
      <c r="AG10">
        <v>0</v>
      </c>
      <c r="AH10">
        <v>0</v>
      </c>
      <c r="AI10">
        <v>0</v>
      </c>
      <c r="AJ10">
        <v>0</v>
      </c>
    </row>
    <row r="11" spans="1:36">
      <c r="A11" s="1">
        <v>43033</v>
      </c>
      <c r="B11" t="s">
        <v>13</v>
      </c>
      <c r="C11" t="s">
        <v>45</v>
      </c>
      <c r="D11">
        <v>110.80329999999999</v>
      </c>
      <c r="E11" t="s">
        <v>239</v>
      </c>
      <c r="F11" t="s">
        <v>77</v>
      </c>
      <c r="G11">
        <v>14.8</v>
      </c>
      <c r="H11">
        <v>16.72</v>
      </c>
      <c r="I11">
        <v>5.4109589041095898</v>
      </c>
      <c r="J11">
        <v>0.25706657608799099</v>
      </c>
      <c r="K11">
        <v>0.33518666397055802</v>
      </c>
      <c r="L11">
        <v>85.369799999999998</v>
      </c>
      <c r="M11">
        <v>19.443510577102401</v>
      </c>
      <c r="N11">
        <v>104.813310577102</v>
      </c>
      <c r="O11">
        <v>19.498331851195999</v>
      </c>
      <c r="P11">
        <v>0.59123907183144997</v>
      </c>
      <c r="Q11">
        <v>3.5361188506665702</v>
      </c>
      <c r="R11">
        <v>-0.40017070161377999</v>
      </c>
      <c r="S11">
        <v>-7.7807232694740103</v>
      </c>
      <c r="T11">
        <v>-4.7003683544303803</v>
      </c>
      <c r="U11">
        <v>5.7149129150836801E-2</v>
      </c>
      <c r="V11">
        <v>5.69538287802097E-2</v>
      </c>
      <c r="W11">
        <v>5.75473311490231E-2</v>
      </c>
      <c r="X11">
        <v>5.0559955064964003E-2</v>
      </c>
      <c r="Y11">
        <v>7.5619773226345999E-2</v>
      </c>
      <c r="Z11">
        <v>0.125736381760509</v>
      </c>
      <c r="AA11">
        <v>8.9843198757404402E-2</v>
      </c>
      <c r="AB11">
        <v>6.2598078292150999E-2</v>
      </c>
      <c r="AC11">
        <v>4.2383159961842103E-2</v>
      </c>
      <c r="AD11">
        <v>-2.9815091551465299E-2</v>
      </c>
      <c r="AE11">
        <v>-8.5122756230430099E-2</v>
      </c>
      <c r="AF11">
        <v>0</v>
      </c>
      <c r="AG11">
        <v>0</v>
      </c>
      <c r="AH11">
        <v>0</v>
      </c>
      <c r="AI11">
        <v>0</v>
      </c>
      <c r="AJ11">
        <v>0</v>
      </c>
    </row>
    <row r="12" spans="1:36">
      <c r="A12" s="1">
        <v>43033</v>
      </c>
      <c r="B12" t="s">
        <v>12</v>
      </c>
      <c r="C12" t="s">
        <v>44</v>
      </c>
      <c r="D12">
        <v>122.0697</v>
      </c>
      <c r="E12" t="s">
        <v>240</v>
      </c>
      <c r="F12" t="s">
        <v>76</v>
      </c>
      <c r="G12">
        <v>20.91</v>
      </c>
      <c r="H12">
        <v>20.2</v>
      </c>
      <c r="I12">
        <v>5.6958904109589001</v>
      </c>
      <c r="J12">
        <v>0.205094259731958</v>
      </c>
      <c r="K12">
        <v>0.34833729629007698</v>
      </c>
      <c r="L12">
        <v>84.456800000000001</v>
      </c>
      <c r="M12">
        <v>25.2867285321542</v>
      </c>
      <c r="N12">
        <v>109.743528532154</v>
      </c>
      <c r="O12">
        <v>25.325930622439401</v>
      </c>
      <c r="P12">
        <v>0.68788490877603503</v>
      </c>
      <c r="Q12">
        <v>3.4053708355249199</v>
      </c>
      <c r="R12">
        <v>-0.45704229154863102</v>
      </c>
      <c r="S12">
        <v>-11.557104354103901</v>
      </c>
      <c r="T12">
        <v>-6.6035153920153897</v>
      </c>
      <c r="U12">
        <v>0.112317980228185</v>
      </c>
      <c r="V12">
        <v>0.117000112529123</v>
      </c>
      <c r="W12">
        <v>6.8993363874156999E-2</v>
      </c>
      <c r="X12">
        <v>0.124807365792155</v>
      </c>
      <c r="Y12">
        <v>0.13458969850091099</v>
      </c>
      <c r="Z12">
        <v>0.16742923392798301</v>
      </c>
      <c r="AA12">
        <v>2.10739131173131E-2</v>
      </c>
      <c r="AB12">
        <v>0</v>
      </c>
      <c r="AC12">
        <v>0</v>
      </c>
      <c r="AD12">
        <v>0</v>
      </c>
      <c r="AE12">
        <v>0</v>
      </c>
      <c r="AF12">
        <v>0</v>
      </c>
      <c r="AG12">
        <v>0</v>
      </c>
      <c r="AH12">
        <v>0</v>
      </c>
      <c r="AI12">
        <v>0</v>
      </c>
      <c r="AJ12">
        <v>0</v>
      </c>
    </row>
    <row r="13" spans="1:36">
      <c r="A13" s="1">
        <v>43033</v>
      </c>
      <c r="B13" t="s">
        <v>22</v>
      </c>
      <c r="C13" t="s">
        <v>54</v>
      </c>
      <c r="D13">
        <v>108.4795</v>
      </c>
      <c r="E13" t="s">
        <v>241</v>
      </c>
      <c r="F13" t="s">
        <v>86</v>
      </c>
      <c r="G13">
        <v>17.12</v>
      </c>
      <c r="H13">
        <v>17.8</v>
      </c>
      <c r="I13">
        <v>3.4794520547945198</v>
      </c>
      <c r="J13">
        <v>0.16623028031711301</v>
      </c>
      <c r="K13">
        <v>0.193446994098116</v>
      </c>
      <c r="L13">
        <v>94.671300000000002</v>
      </c>
      <c r="M13">
        <v>12.4153664924143</v>
      </c>
      <c r="N13">
        <v>107.086666492414</v>
      </c>
      <c r="O13">
        <v>12.469183391705499</v>
      </c>
      <c r="P13">
        <v>0.57837527621327101</v>
      </c>
      <c r="Q13">
        <v>3.24929930456894</v>
      </c>
      <c r="R13">
        <v>-0.41381149967748898</v>
      </c>
      <c r="S13">
        <v>-5.1376214272715899</v>
      </c>
      <c r="T13">
        <v>-3.96849842519685</v>
      </c>
      <c r="U13">
        <v>1.30066006647467E-2</v>
      </c>
      <c r="V13">
        <v>-2.1841254301074501E-4</v>
      </c>
      <c r="W13">
        <v>2.02225965179662E-2</v>
      </c>
      <c r="X13">
        <v>1.18114929568633E-2</v>
      </c>
      <c r="Y13">
        <v>1.5304979346096301E-2</v>
      </c>
      <c r="Z13">
        <v>2.62247667015428E-2</v>
      </c>
      <c r="AA13">
        <v>4.0189472676019997E-3</v>
      </c>
      <c r="AB13">
        <v>-2.0847868175832901E-3</v>
      </c>
      <c r="AC13">
        <v>-2.4308191082693002E-2</v>
      </c>
      <c r="AD13">
        <v>-2.5744449604433201E-2</v>
      </c>
      <c r="AE13">
        <v>-2.22889691319226E-2</v>
      </c>
      <c r="AF13">
        <v>-1.5297363922210699E-3</v>
      </c>
      <c r="AG13">
        <v>5.9820521918880901E-4</v>
      </c>
      <c r="AH13">
        <v>-1.45999315275508E-2</v>
      </c>
      <c r="AI13">
        <v>2.7735763038031099E-2</v>
      </c>
      <c r="AJ13">
        <v>2.08112724707383E-3</v>
      </c>
    </row>
    <row r="14" spans="1:36">
      <c r="A14" s="1">
        <v>43033</v>
      </c>
      <c r="B14" t="s">
        <v>30</v>
      </c>
      <c r="C14" t="s">
        <v>62</v>
      </c>
      <c r="D14">
        <v>104.43259999999999</v>
      </c>
      <c r="E14" t="s">
        <v>242</v>
      </c>
      <c r="F14" t="s">
        <v>94</v>
      </c>
      <c r="G14">
        <v>7.88</v>
      </c>
      <c r="H14">
        <v>9.77</v>
      </c>
      <c r="I14">
        <v>4.1479452054794503</v>
      </c>
      <c r="J14">
        <v>0.29333645484976301</v>
      </c>
      <c r="K14">
        <v>0.24716181836215101</v>
      </c>
      <c r="L14">
        <v>93.554000000000002</v>
      </c>
      <c r="M14">
        <v>14.493489509463901</v>
      </c>
      <c r="N14">
        <v>108.047489509464</v>
      </c>
      <c r="O14">
        <v>14.5377082468345</v>
      </c>
      <c r="P14">
        <v>0.51714857226597799</v>
      </c>
      <c r="Q14">
        <v>5.2932300129578103</v>
      </c>
      <c r="R14">
        <v>-0.26606682904638002</v>
      </c>
      <c r="S14">
        <v>-3.8562367956000401</v>
      </c>
      <c r="T14">
        <v>-2.62264795244386</v>
      </c>
      <c r="U14">
        <v>-3.3456487752520199E-2</v>
      </c>
      <c r="V14">
        <v>3.6960964395359203E-2</v>
      </c>
      <c r="W14">
        <v>3.1993755535222497E-2</v>
      </c>
      <c r="X14">
        <v>-1.5903223435888201E-3</v>
      </c>
      <c r="Y14">
        <v>2.4132806280082301E-2</v>
      </c>
      <c r="Z14">
        <v>2.9963335357763101E-2</v>
      </c>
      <c r="AA14">
        <v>2.24472908830292E-2</v>
      </c>
      <c r="AB14">
        <v>-1.46372459897101E-2</v>
      </c>
      <c r="AC14">
        <v>9.1862859933406593E-2</v>
      </c>
      <c r="AD14">
        <v>5.6968006829817897E-2</v>
      </c>
      <c r="AE14">
        <v>5.71233855376303E-2</v>
      </c>
      <c r="AF14">
        <v>6.6915032292239204E-2</v>
      </c>
      <c r="AG14">
        <v>5.2888827624591503E-2</v>
      </c>
      <c r="AH14">
        <v>5.5624180121677101E-2</v>
      </c>
      <c r="AI14">
        <v>2.3168737906079599E-2</v>
      </c>
      <c r="AJ14">
        <v>-1.6759657406419302E-2</v>
      </c>
    </row>
    <row r="15" spans="1:36">
      <c r="A15" s="1">
        <v>43033</v>
      </c>
      <c r="B15" t="s">
        <v>32</v>
      </c>
      <c r="C15" t="s">
        <v>64</v>
      </c>
      <c r="D15">
        <v>100.9324</v>
      </c>
      <c r="E15" t="s">
        <v>243</v>
      </c>
      <c r="F15" t="s">
        <v>96</v>
      </c>
      <c r="G15">
        <v>3.7</v>
      </c>
      <c r="H15">
        <v>5.25</v>
      </c>
      <c r="I15">
        <v>4.6191780821917803</v>
      </c>
      <c r="J15">
        <v>0.191081936975731</v>
      </c>
      <c r="K15">
        <v>0.24570425620932501</v>
      </c>
      <c r="L15">
        <v>93.089200000000005</v>
      </c>
      <c r="M15">
        <v>4.8369940998259704</v>
      </c>
      <c r="N15">
        <v>97.926194099826006</v>
      </c>
      <c r="O15">
        <v>4.7703859749542499</v>
      </c>
      <c r="P15">
        <v>0.31634691387390002</v>
      </c>
      <c r="Q15">
        <v>6.0256555023599896</v>
      </c>
      <c r="R15">
        <v>-7.2283323811988806E-2</v>
      </c>
      <c r="S15">
        <v>-0.34963401079439999</v>
      </c>
      <c r="T15">
        <v>-1.69796441281139</v>
      </c>
      <c r="U15">
        <v>3.0698690251451E-2</v>
      </c>
      <c r="V15">
        <v>1.4314904500717301E-2</v>
      </c>
      <c r="W15">
        <v>3.4484888061081201E-2</v>
      </c>
      <c r="X15">
        <v>2.8861022199582399E-2</v>
      </c>
      <c r="Y15">
        <v>3.9162021798345298E-2</v>
      </c>
      <c r="Z15">
        <v>5.7687370743966702E-2</v>
      </c>
      <c r="AA15">
        <v>4.6817892717250502E-2</v>
      </c>
      <c r="AB15">
        <v>4.1137414608309303E-2</v>
      </c>
      <c r="AC15">
        <v>3.2156188231471303E-2</v>
      </c>
      <c r="AD15">
        <v>2.6890253653285401E-2</v>
      </c>
      <c r="AE15">
        <v>1.7570560186098601E-2</v>
      </c>
      <c r="AF15">
        <v>-1.6015635275527702E-2</v>
      </c>
      <c r="AG15">
        <v>-3.8415136859875201E-2</v>
      </c>
      <c r="AH15">
        <v>-3.1705885830539203E-2</v>
      </c>
      <c r="AI15">
        <v>-1.2733610396095401E-2</v>
      </c>
      <c r="AJ15">
        <v>-4.5302935109158698E-2</v>
      </c>
    </row>
    <row r="16" spans="1:36">
      <c r="A16" s="1">
        <v>43033</v>
      </c>
      <c r="B16" t="s">
        <v>25</v>
      </c>
      <c r="C16" t="s">
        <v>57</v>
      </c>
      <c r="D16">
        <v>107.3014</v>
      </c>
      <c r="E16" t="s">
        <v>244</v>
      </c>
      <c r="F16" t="s">
        <v>89</v>
      </c>
      <c r="G16">
        <v>6.91</v>
      </c>
      <c r="H16">
        <v>8</v>
      </c>
      <c r="I16">
        <v>5.6027397260273997</v>
      </c>
      <c r="J16">
        <v>0.29018710421434002</v>
      </c>
      <c r="K16">
        <v>0.25302390042731798</v>
      </c>
      <c r="L16">
        <v>89.18</v>
      </c>
      <c r="M16">
        <v>21.272156122977901</v>
      </c>
      <c r="N16">
        <v>110.452156122978</v>
      </c>
      <c r="O16">
        <v>21.318473626408</v>
      </c>
      <c r="P16">
        <v>0.59969087285045797</v>
      </c>
      <c r="Q16">
        <v>7.4961359106307297</v>
      </c>
      <c r="R16">
        <v>-0.20030787887100401</v>
      </c>
      <c r="S16">
        <v>-4.2609804720065503</v>
      </c>
      <c r="T16">
        <v>-3.23438190709046</v>
      </c>
      <c r="U16">
        <v>-2.8525981144903002E-2</v>
      </c>
      <c r="V16">
        <v>-2.0331353797059901E-2</v>
      </c>
      <c r="W16">
        <v>3.1374180920679298E-2</v>
      </c>
      <c r="X16">
        <v>-2.40760485590964E-2</v>
      </c>
      <c r="Y16">
        <v>-1.7054697708723001E-3</v>
      </c>
      <c r="Z16">
        <v>1.91065485501024E-3</v>
      </c>
      <c r="AA16">
        <v>-2.17852215074117E-2</v>
      </c>
      <c r="AB16">
        <v>-5.95455209267595E-2</v>
      </c>
      <c r="AC16">
        <v>0</v>
      </c>
      <c r="AD16">
        <v>0</v>
      </c>
      <c r="AE16">
        <v>0</v>
      </c>
      <c r="AF16">
        <v>0</v>
      </c>
      <c r="AG16">
        <v>0</v>
      </c>
      <c r="AH16">
        <v>0</v>
      </c>
      <c r="AI16">
        <v>0</v>
      </c>
      <c r="AJ16">
        <v>0</v>
      </c>
    </row>
    <row r="17" spans="1:36">
      <c r="A17" s="1">
        <v>43033</v>
      </c>
      <c r="B17" t="s">
        <v>21</v>
      </c>
      <c r="C17" t="s">
        <v>53</v>
      </c>
      <c r="D17">
        <v>115.1657</v>
      </c>
      <c r="E17" t="s">
        <v>245</v>
      </c>
      <c r="F17" t="s">
        <v>85</v>
      </c>
      <c r="G17">
        <v>9.6300000000000008</v>
      </c>
      <c r="H17">
        <v>9.32</v>
      </c>
      <c r="I17">
        <v>4.2438356164383597</v>
      </c>
      <c r="J17">
        <v>0.296669106692034</v>
      </c>
      <c r="K17">
        <v>0.27789426762659702</v>
      </c>
      <c r="L17">
        <v>93.0548</v>
      </c>
      <c r="M17">
        <v>28.697470091825998</v>
      </c>
      <c r="N17">
        <v>121.75227009182601</v>
      </c>
      <c r="O17">
        <v>28.717526476425199</v>
      </c>
      <c r="P17">
        <v>0.678416699092106</v>
      </c>
      <c r="Q17">
        <v>7.2791491318895503</v>
      </c>
      <c r="R17">
        <v>-0.30635984854190201</v>
      </c>
      <c r="S17">
        <v>-8.7917525908675795</v>
      </c>
      <c r="T17">
        <v>-5.2101216914138204</v>
      </c>
      <c r="U17">
        <v>-5.4098129643565501E-2</v>
      </c>
      <c r="V17">
        <v>-3.8874718563437598E-2</v>
      </c>
      <c r="W17">
        <v>4.8803666984673102E-2</v>
      </c>
      <c r="X17">
        <v>-8.0428510794126606E-3</v>
      </c>
      <c r="Y17">
        <v>2.7272893261696001E-2</v>
      </c>
      <c r="Z17">
        <v>3.8001215926298099E-2</v>
      </c>
      <c r="AA17">
        <v>1.7188945997378E-2</v>
      </c>
      <c r="AB17">
        <v>-2.5302147264597601E-2</v>
      </c>
      <c r="AC17">
        <v>-5.97470353375186E-2</v>
      </c>
      <c r="AD17">
        <v>-4.7444147413765798E-2</v>
      </c>
      <c r="AE17">
        <v>-6.22774836583984E-2</v>
      </c>
      <c r="AF17">
        <v>-8.3755383284628504E-2</v>
      </c>
      <c r="AG17">
        <v>-8.7733675927879895E-2</v>
      </c>
      <c r="AH17">
        <v>-7.5844350348641495E-2</v>
      </c>
      <c r="AI17">
        <v>-7.0993417063771699E-2</v>
      </c>
      <c r="AJ17">
        <v>-0.118516721612415</v>
      </c>
    </row>
    <row r="18" spans="1:36">
      <c r="A18" s="1">
        <v>43033</v>
      </c>
      <c r="B18" t="s">
        <v>33</v>
      </c>
      <c r="C18" t="s">
        <v>65</v>
      </c>
      <c r="D18">
        <v>105.04640000000001</v>
      </c>
      <c r="E18" t="s">
        <v>246</v>
      </c>
      <c r="F18" t="s">
        <v>97</v>
      </c>
      <c r="G18">
        <v>5.98</v>
      </c>
      <c r="H18">
        <v>7.74</v>
      </c>
      <c r="I18">
        <v>4.4876712328767097</v>
      </c>
      <c r="J18">
        <v>0.28824227560782001</v>
      </c>
      <c r="K18">
        <v>0.36350081815976998</v>
      </c>
      <c r="L18">
        <v>87.394099999999995</v>
      </c>
      <c r="M18">
        <v>13.320670628355799</v>
      </c>
      <c r="N18">
        <v>100.71477062835601</v>
      </c>
      <c r="O18">
        <v>13.402376192197099</v>
      </c>
      <c r="P18">
        <v>0.49722978569993698</v>
      </c>
      <c r="Q18">
        <v>6.4241574379836797</v>
      </c>
      <c r="R18">
        <v>-0.19143599833557101</v>
      </c>
      <c r="S18">
        <v>-2.5500558802386202</v>
      </c>
      <c r="T18">
        <v>-3.9335100732600798</v>
      </c>
      <c r="U18">
        <v>4.3008878882603699E-2</v>
      </c>
      <c r="V18">
        <v>0.121119034071158</v>
      </c>
      <c r="W18">
        <v>3.8277701752493003E-2</v>
      </c>
      <c r="X18">
        <v>5.5282327118502401E-2</v>
      </c>
      <c r="Y18">
        <v>8.5691780462897105E-2</v>
      </c>
      <c r="Z18">
        <v>0.116191303330528</v>
      </c>
      <c r="AA18">
        <v>0.120125199320143</v>
      </c>
      <c r="AB18">
        <v>0.119138868818666</v>
      </c>
      <c r="AC18">
        <v>0.13622761457853699</v>
      </c>
      <c r="AD18">
        <v>0.14487111797968599</v>
      </c>
      <c r="AE18">
        <v>0.14787306622188601</v>
      </c>
      <c r="AF18">
        <v>0.16276475223824</v>
      </c>
      <c r="AG18">
        <v>0.15534119709643501</v>
      </c>
      <c r="AH18">
        <v>0.15532088344132</v>
      </c>
      <c r="AI18">
        <v>8.9538637419793607E-2</v>
      </c>
      <c r="AJ18">
        <v>1.10385682128053E-2</v>
      </c>
    </row>
    <row r="19" spans="1:36">
      <c r="A19" s="1">
        <v>43033</v>
      </c>
      <c r="B19" t="s">
        <v>39</v>
      </c>
      <c r="C19" t="s">
        <v>71</v>
      </c>
      <c r="D19">
        <v>100.9353</v>
      </c>
      <c r="E19" t="s">
        <v>247</v>
      </c>
      <c r="F19" t="s">
        <v>103</v>
      </c>
      <c r="G19">
        <v>6.11</v>
      </c>
      <c r="H19">
        <v>10.029999999999999</v>
      </c>
      <c r="I19">
        <v>4.7589041095890403</v>
      </c>
      <c r="J19">
        <v>0.32808214244987099</v>
      </c>
      <c r="K19">
        <v>0.35629640503223797</v>
      </c>
      <c r="L19">
        <v>90.762699999999995</v>
      </c>
      <c r="M19">
        <v>8.8893118914248408</v>
      </c>
      <c r="N19">
        <v>99.652011891424806</v>
      </c>
      <c r="O19">
        <v>8.9495923766636096</v>
      </c>
      <c r="P19">
        <v>0.40712626906017002</v>
      </c>
      <c r="Q19">
        <v>4.0590854342988099</v>
      </c>
      <c r="R19">
        <v>-0.202244430735462</v>
      </c>
      <c r="S19">
        <v>-1.79781382311119</v>
      </c>
      <c r="T19">
        <v>-2.1375929763960899</v>
      </c>
      <c r="U19">
        <v>1.28776939292843E-2</v>
      </c>
      <c r="V19">
        <v>1.5338167463493599E-2</v>
      </c>
      <c r="W19">
        <v>2.4729996767015601E-2</v>
      </c>
      <c r="X19">
        <v>1.1766151877122001E-2</v>
      </c>
      <c r="Y19">
        <v>1.53029001040253E-2</v>
      </c>
      <c r="Z19">
        <v>2.2656660986593E-2</v>
      </c>
      <c r="AA19">
        <v>-1.6957148188072702E-2</v>
      </c>
      <c r="AB19">
        <v>-2.7688658888574999E-3</v>
      </c>
      <c r="AC19">
        <v>4.4305270320695499E-2</v>
      </c>
      <c r="AD19">
        <v>3.9524308200140197E-2</v>
      </c>
      <c r="AE19">
        <v>3.6483496264697199E-2</v>
      </c>
      <c r="AF19">
        <v>3.3224476218895703E-2</v>
      </c>
      <c r="AG19">
        <v>2.19508598870648E-2</v>
      </c>
      <c r="AH19">
        <v>1.25004179964827E-2</v>
      </c>
      <c r="AI19">
        <v>-3.0639196754808501E-3</v>
      </c>
      <c r="AJ19">
        <v>-4.2365492552751398E-2</v>
      </c>
    </row>
    <row r="20" spans="1:36">
      <c r="A20" s="1">
        <v>43033</v>
      </c>
      <c r="B20" t="s">
        <v>16</v>
      </c>
      <c r="C20" t="s">
        <v>48</v>
      </c>
      <c r="D20">
        <v>114.5314</v>
      </c>
      <c r="E20" t="s">
        <v>248</v>
      </c>
      <c r="F20" t="s">
        <v>80</v>
      </c>
      <c r="G20">
        <v>21.01</v>
      </c>
      <c r="H20">
        <v>20.46</v>
      </c>
      <c r="I20">
        <v>5.4767123287671202</v>
      </c>
      <c r="J20">
        <v>0.54318423743484301</v>
      </c>
      <c r="K20">
        <v>0.23278719344007401</v>
      </c>
      <c r="L20">
        <v>88.193200000000004</v>
      </c>
      <c r="M20">
        <v>51.695762226157903</v>
      </c>
      <c r="N20">
        <v>139.88896222615799</v>
      </c>
      <c r="O20">
        <v>51.576461596563497</v>
      </c>
      <c r="P20">
        <v>0.76457091156608104</v>
      </c>
      <c r="Q20">
        <v>3.7369057261294301</v>
      </c>
      <c r="R20">
        <v>-0.83234147637969802</v>
      </c>
      <c r="S20">
        <v>-43.028527053894102</v>
      </c>
      <c r="T20">
        <v>-4.8091260630315196</v>
      </c>
      <c r="U20">
        <v>-0.18126921397245399</v>
      </c>
      <c r="V20">
        <v>-0.1640415740674</v>
      </c>
      <c r="W20">
        <v>4.1499984098945099E-2</v>
      </c>
      <c r="X20">
        <v>-0.19663956065190399</v>
      </c>
      <c r="Y20">
        <v>-0.217604870377161</v>
      </c>
      <c r="Z20">
        <v>-0.199816698163991</v>
      </c>
      <c r="AA20">
        <v>-0.14598764499892999</v>
      </c>
      <c r="AB20">
        <v>-0.11432852003251399</v>
      </c>
      <c r="AC20">
        <v>-0.134435271459692</v>
      </c>
      <c r="AD20">
        <v>-0.133393058970835</v>
      </c>
      <c r="AE20">
        <v>0</v>
      </c>
      <c r="AF20">
        <v>0</v>
      </c>
      <c r="AG20">
        <v>0</v>
      </c>
      <c r="AH20">
        <v>0</v>
      </c>
      <c r="AI20">
        <v>0</v>
      </c>
      <c r="AJ20">
        <v>0</v>
      </c>
    </row>
    <row r="21" spans="1:36">
      <c r="A21" s="1">
        <v>43033</v>
      </c>
      <c r="B21" t="s">
        <v>23</v>
      </c>
      <c r="C21" t="s">
        <v>55</v>
      </c>
      <c r="D21">
        <v>113.7868</v>
      </c>
      <c r="E21" t="s">
        <v>249</v>
      </c>
      <c r="F21" t="s">
        <v>87</v>
      </c>
      <c r="G21">
        <v>12.51</v>
      </c>
      <c r="H21">
        <v>12.9</v>
      </c>
      <c r="I21">
        <v>5.6191780821917803</v>
      </c>
      <c r="J21">
        <v>0.29310988593468401</v>
      </c>
      <c r="K21">
        <v>0.28166105954826198</v>
      </c>
      <c r="L21">
        <v>86.785799999999995</v>
      </c>
      <c r="M21">
        <v>28.265717490587299</v>
      </c>
      <c r="N21">
        <v>115.051517490587</v>
      </c>
      <c r="O21">
        <v>28.2658014977577</v>
      </c>
      <c r="P21">
        <v>0.66441128445048303</v>
      </c>
      <c r="Q21">
        <v>5.1504750732595603</v>
      </c>
      <c r="R21">
        <v>-0.35194777431118002</v>
      </c>
      <c r="S21">
        <v>-9.9480563601207894</v>
      </c>
      <c r="T21">
        <v>-4.80515114578255</v>
      </c>
      <c r="U21">
        <v>-1.09926189429941E-2</v>
      </c>
      <c r="V21">
        <v>-3.0229784669977399E-2</v>
      </c>
      <c r="W21">
        <v>5.79586596943771E-2</v>
      </c>
      <c r="X21">
        <v>-1.26145274585103E-2</v>
      </c>
      <c r="Y21">
        <v>-3.4637958882455101E-3</v>
      </c>
      <c r="Z21">
        <v>9.8117099410860407E-3</v>
      </c>
      <c r="AA21">
        <v>-2.5139678070061799E-2</v>
      </c>
      <c r="AB21">
        <v>-0.13722570954163199</v>
      </c>
      <c r="AC21">
        <v>0</v>
      </c>
      <c r="AD21">
        <v>0</v>
      </c>
      <c r="AE21">
        <v>0</v>
      </c>
      <c r="AF21">
        <v>0</v>
      </c>
      <c r="AG21">
        <v>0</v>
      </c>
      <c r="AH21">
        <v>0</v>
      </c>
      <c r="AI21">
        <v>0</v>
      </c>
      <c r="AJ21">
        <v>0</v>
      </c>
    </row>
    <row r="22" spans="1:36">
      <c r="A22" s="1">
        <v>43033</v>
      </c>
      <c r="B22" t="s">
        <v>203</v>
      </c>
      <c r="C22" t="s">
        <v>205</v>
      </c>
      <c r="D22">
        <v>119.9393</v>
      </c>
      <c r="E22" t="s">
        <v>250</v>
      </c>
      <c r="F22" t="s">
        <v>206</v>
      </c>
      <c r="G22">
        <v>40</v>
      </c>
      <c r="H22">
        <v>38.479999999999997</v>
      </c>
      <c r="I22">
        <v>5.9178082191780801</v>
      </c>
      <c r="J22">
        <v>0.32555851118905799</v>
      </c>
      <c r="K22">
        <v>0.31811190903654701</v>
      </c>
      <c r="L22">
        <v>83.994399999999999</v>
      </c>
      <c r="M22">
        <v>36.679633095115797</v>
      </c>
      <c r="N22">
        <v>120.674033095116</v>
      </c>
      <c r="O22">
        <v>36.689626277643498</v>
      </c>
      <c r="P22">
        <v>0.71123163992208605</v>
      </c>
      <c r="Q22">
        <v>1.8483150725625901</v>
      </c>
      <c r="R22">
        <v>-1.1293947277152301</v>
      </c>
      <c r="S22">
        <v>-41.4257842321529</v>
      </c>
      <c r="T22">
        <v>-6.0740224537037104</v>
      </c>
      <c r="U22">
        <v>-6.0885766081646402E-3</v>
      </c>
      <c r="V22">
        <v>-0.126517139873149</v>
      </c>
      <c r="W22">
        <v>7.0985948608566093E-2</v>
      </c>
      <c r="X22">
        <v>-0.115217298743252</v>
      </c>
      <c r="Y22">
        <v>-0.15589672681088401</v>
      </c>
      <c r="Z22">
        <v>0</v>
      </c>
      <c r="AA22">
        <v>0</v>
      </c>
      <c r="AB22">
        <v>0</v>
      </c>
      <c r="AC22">
        <v>0</v>
      </c>
      <c r="AD22">
        <v>0</v>
      </c>
      <c r="AE22">
        <v>0</v>
      </c>
      <c r="AF22">
        <v>0</v>
      </c>
      <c r="AG22">
        <v>0</v>
      </c>
      <c r="AH22">
        <v>0</v>
      </c>
      <c r="AI22">
        <v>0</v>
      </c>
      <c r="AJ22">
        <v>0</v>
      </c>
    </row>
    <row r="23" spans="1:36">
      <c r="A23" s="1">
        <v>43033</v>
      </c>
      <c r="B23" t="s">
        <v>15</v>
      </c>
      <c r="C23" t="s">
        <v>47</v>
      </c>
      <c r="D23">
        <v>140.30000000000001</v>
      </c>
      <c r="E23" t="s">
        <v>251</v>
      </c>
      <c r="F23" t="s">
        <v>79</v>
      </c>
      <c r="G23">
        <v>59.8</v>
      </c>
      <c r="H23">
        <v>42.31</v>
      </c>
      <c r="I23">
        <v>0.123287671232877</v>
      </c>
      <c r="J23">
        <v>0.355206944448408</v>
      </c>
      <c r="K23">
        <v>0.39010288238525398</v>
      </c>
      <c r="L23">
        <v>102.48690000000001</v>
      </c>
      <c r="M23">
        <v>41.5341898661651</v>
      </c>
      <c r="N23">
        <v>144.021089866165</v>
      </c>
      <c r="O23">
        <v>41.5329307059543</v>
      </c>
      <c r="P23">
        <v>0.99782245509164302</v>
      </c>
      <c r="Q23">
        <v>2.3583608014456199</v>
      </c>
      <c r="R23">
        <v>-0.83860989564428001</v>
      </c>
      <c r="S23">
        <v>-34.8309826293344</v>
      </c>
      <c r="T23">
        <v>-306.70625555555603</v>
      </c>
      <c r="U23">
        <v>-2.5837117811169302E-2</v>
      </c>
      <c r="V23">
        <v>3.8592897135716802E-3</v>
      </c>
      <c r="W23">
        <v>2.6623779013171599E-2</v>
      </c>
      <c r="X23">
        <v>-1.1574144773287101E-2</v>
      </c>
      <c r="Y23">
        <v>1.1911418647532999E-2</v>
      </c>
      <c r="Z23">
        <v>-1.5547543179172899E-2</v>
      </c>
      <c r="AA23">
        <v>-1.30285291955022E-2</v>
      </c>
      <c r="AB23">
        <v>-3.4033998743630898E-3</v>
      </c>
      <c r="AC23">
        <v>-3.2247200402336897E-2</v>
      </c>
      <c r="AD23">
        <v>-9.3154701821645102E-3</v>
      </c>
      <c r="AE23">
        <v>-4.8814367035250898E-4</v>
      </c>
      <c r="AF23">
        <v>-1.80834911250938E-3</v>
      </c>
      <c r="AG23">
        <v>1.20222737112645E-2</v>
      </c>
      <c r="AH23">
        <v>2.1450849725337399E-2</v>
      </c>
      <c r="AI23">
        <v>5.4404327529804598E-2</v>
      </c>
      <c r="AJ23">
        <v>6.02665728514509E-2</v>
      </c>
    </row>
    <row r="24" spans="1:36">
      <c r="A24" s="1">
        <v>43033</v>
      </c>
      <c r="B24" t="s">
        <v>40</v>
      </c>
      <c r="C24" t="s">
        <v>72</v>
      </c>
      <c r="D24">
        <v>103.6</v>
      </c>
      <c r="E24" t="s">
        <v>252</v>
      </c>
      <c r="F24" t="s">
        <v>104</v>
      </c>
      <c r="G24">
        <v>36.68</v>
      </c>
      <c r="H24">
        <v>56.02</v>
      </c>
      <c r="I24">
        <v>2.6191780821917798</v>
      </c>
      <c r="J24">
        <v>0.16211215905291701</v>
      </c>
      <c r="K24">
        <v>0.49749314715314302</v>
      </c>
      <c r="L24">
        <v>91.396900000000002</v>
      </c>
      <c r="M24">
        <v>0.65730726790448701</v>
      </c>
      <c r="N24">
        <v>92.054207267904502</v>
      </c>
      <c r="O24">
        <v>0.65295752903438098</v>
      </c>
      <c r="P24">
        <v>9.1236684731433496E-2</v>
      </c>
      <c r="Q24">
        <v>0.162864485418482</v>
      </c>
      <c r="R24">
        <v>-0.34604008066581599</v>
      </c>
      <c r="S24">
        <v>-0.22745466000789599</v>
      </c>
      <c r="T24">
        <v>-4.6591333682008296</v>
      </c>
      <c r="U24">
        <v>0.125423846174612</v>
      </c>
      <c r="V24">
        <v>0.112125311405227</v>
      </c>
      <c r="W24">
        <v>1.6211955549000699E-2</v>
      </c>
      <c r="X24">
        <v>0.124276893970104</v>
      </c>
      <c r="Y24">
        <v>0.13046130242630399</v>
      </c>
      <c r="Z24">
        <v>0.12811014658498901</v>
      </c>
      <c r="AA24">
        <v>0.122106794087927</v>
      </c>
      <c r="AB24">
        <v>0.13053309904238899</v>
      </c>
      <c r="AC24">
        <v>0.11111255248416101</v>
      </c>
      <c r="AD24">
        <v>9.9558537784547804E-2</v>
      </c>
      <c r="AE24">
        <v>0.10569657143412001</v>
      </c>
      <c r="AF24">
        <v>0.114844734761814</v>
      </c>
      <c r="AG24">
        <v>9.5094528183474497E-2</v>
      </c>
      <c r="AH24">
        <v>8.6073043466407803E-2</v>
      </c>
      <c r="AI24">
        <v>0.108048134108701</v>
      </c>
      <c r="AJ24">
        <v>8.8737571116878994E-2</v>
      </c>
    </row>
    <row r="25" spans="1:36">
      <c r="A25" s="1">
        <v>43033</v>
      </c>
      <c r="B25" t="s">
        <v>34</v>
      </c>
      <c r="C25" t="s">
        <v>66</v>
      </c>
      <c r="D25">
        <v>102.13</v>
      </c>
      <c r="E25" t="s">
        <v>253</v>
      </c>
      <c r="F25" t="s">
        <v>98</v>
      </c>
      <c r="G25">
        <v>11.29</v>
      </c>
      <c r="H25">
        <v>16.75</v>
      </c>
      <c r="I25">
        <v>1</v>
      </c>
      <c r="J25">
        <v>0.264327147549408</v>
      </c>
      <c r="K25">
        <v>0.51828041902506705</v>
      </c>
      <c r="L25">
        <v>97.525700000000001</v>
      </c>
      <c r="M25">
        <v>0.72526871998320397</v>
      </c>
      <c r="N25">
        <v>98.250968719983206</v>
      </c>
      <c r="O25">
        <v>0.72058883239007199</v>
      </c>
      <c r="P25">
        <v>9.6204624983133105E-2</v>
      </c>
      <c r="Q25">
        <v>0.57435597004855599</v>
      </c>
      <c r="R25">
        <v>-0.26901630000177701</v>
      </c>
      <c r="S25">
        <v>-0.195109107556907</v>
      </c>
      <c r="T25">
        <v>-4.6042999999999896</v>
      </c>
      <c r="U25">
        <v>3.9480845131126402E-2</v>
      </c>
      <c r="V25">
        <v>8.6400796574885003E-2</v>
      </c>
      <c r="W25">
        <v>3.83131282715264E-2</v>
      </c>
      <c r="X25">
        <v>4.2096368679950001E-2</v>
      </c>
      <c r="Y25">
        <v>5.1691637039516798E-2</v>
      </c>
      <c r="Z25">
        <v>6.8642226312463694E-2</v>
      </c>
      <c r="AA25">
        <v>6.9274509947361507E-2</v>
      </c>
      <c r="AB25">
        <v>5.64202278022886E-2</v>
      </c>
      <c r="AC25">
        <v>4.6074026708987803E-2</v>
      </c>
      <c r="AD25">
        <v>5.8520006370922202E-2</v>
      </c>
      <c r="AE25">
        <v>9.8222245283364804E-2</v>
      </c>
      <c r="AF25">
        <v>0.119216721471503</v>
      </c>
      <c r="AG25">
        <v>0.11675218909893</v>
      </c>
      <c r="AH25">
        <v>0.114644040930832</v>
      </c>
      <c r="AI25">
        <v>0.16150769180024999</v>
      </c>
      <c r="AJ25">
        <v>0.12621224962167801</v>
      </c>
    </row>
    <row r="26" spans="1:36">
      <c r="A26" s="1">
        <v>43033</v>
      </c>
      <c r="B26" t="s">
        <v>38</v>
      </c>
      <c r="C26" t="s">
        <v>70</v>
      </c>
      <c r="D26">
        <v>92.85</v>
      </c>
      <c r="E26" t="s">
        <v>254</v>
      </c>
      <c r="F26" t="s">
        <v>102</v>
      </c>
      <c r="G26">
        <v>3.83</v>
      </c>
      <c r="H26">
        <v>6.76</v>
      </c>
      <c r="I26">
        <v>4.0301369863013701</v>
      </c>
      <c r="J26">
        <v>0.15229245398765201</v>
      </c>
      <c r="K26">
        <v>0.27800369564392102</v>
      </c>
      <c r="L26">
        <v>89.9255</v>
      </c>
      <c r="M26">
        <v>0.44525617043816701</v>
      </c>
      <c r="N26">
        <v>90.370756170438199</v>
      </c>
      <c r="O26">
        <v>0.440262388700286</v>
      </c>
      <c r="P26">
        <v>6.5806786579743495E-2</v>
      </c>
      <c r="Q26">
        <v>0.97347317425655999</v>
      </c>
      <c r="R26">
        <v>-2.1926057264035299E-2</v>
      </c>
      <c r="S26">
        <v>-9.7627122901922901E-3</v>
      </c>
      <c r="T26">
        <v>-0.72565771583956395</v>
      </c>
      <c r="U26">
        <v>2.7434138371997201E-2</v>
      </c>
      <c r="V26">
        <v>4.5574656401794901E-2</v>
      </c>
      <c r="W26">
        <v>1.24568695047397E-2</v>
      </c>
      <c r="X26">
        <v>2.7715864666197701E-2</v>
      </c>
      <c r="Y26">
        <v>3.2251736319454598E-2</v>
      </c>
      <c r="Z26">
        <v>4.3778004845818501E-2</v>
      </c>
      <c r="AA26">
        <v>3.91908602366784E-2</v>
      </c>
      <c r="AB26">
        <v>4.3298993303570801E-2</v>
      </c>
      <c r="AC26">
        <v>3.4556127903019498E-2</v>
      </c>
      <c r="AD26">
        <v>4.15225101551484E-2</v>
      </c>
      <c r="AE26">
        <v>6.4566577364886996E-2</v>
      </c>
      <c r="AF26">
        <v>5.7415856721002002E-2</v>
      </c>
      <c r="AG26">
        <v>4.2834995431011998E-2</v>
      </c>
      <c r="AH26">
        <v>5.4985653701809301E-2</v>
      </c>
      <c r="AI26">
        <v>5.85304441790249E-2</v>
      </c>
      <c r="AJ26">
        <v>3.8684761735211202E-2</v>
      </c>
    </row>
    <row r="27" spans="1:36">
      <c r="A27" s="1">
        <v>43033</v>
      </c>
      <c r="B27" t="s">
        <v>26</v>
      </c>
      <c r="C27" t="s">
        <v>58</v>
      </c>
      <c r="D27">
        <v>125.43</v>
      </c>
      <c r="E27" t="s">
        <v>255</v>
      </c>
      <c r="F27" t="s">
        <v>90</v>
      </c>
      <c r="G27">
        <v>39.56</v>
      </c>
      <c r="H27">
        <v>37.58</v>
      </c>
      <c r="I27">
        <v>3.1205479452054798</v>
      </c>
      <c r="J27">
        <v>0.28205285028708899</v>
      </c>
      <c r="K27">
        <v>0.31982083868682698</v>
      </c>
      <c r="L27">
        <v>99.330500000000001</v>
      </c>
      <c r="M27">
        <v>25.036472171800799</v>
      </c>
      <c r="N27">
        <v>124.366972171801</v>
      </c>
      <c r="O27">
        <v>25.113992667552498</v>
      </c>
      <c r="P27">
        <v>0.67224608694889398</v>
      </c>
      <c r="Q27">
        <v>1.78884003977886</v>
      </c>
      <c r="R27">
        <v>-1.3983802517763999</v>
      </c>
      <c r="S27">
        <v>-35.010508259195497</v>
      </c>
      <c r="T27">
        <v>-8.3637554872695397</v>
      </c>
      <c r="U27">
        <v>8.5475091146449706E-3</v>
      </c>
      <c r="V27">
        <v>4.4406559995891902E-2</v>
      </c>
      <c r="W27">
        <v>2.4059529518660201E-2</v>
      </c>
      <c r="X27">
        <v>4.5942612917487698E-3</v>
      </c>
      <c r="Y27">
        <v>2.4967973515629401E-2</v>
      </c>
      <c r="Z27">
        <v>3.07801841635966E-2</v>
      </c>
      <c r="AA27">
        <v>2.80064704348136E-2</v>
      </c>
      <c r="AB27">
        <v>1.9210297244119798E-2</v>
      </c>
      <c r="AC27">
        <v>3.25138373682545E-2</v>
      </c>
      <c r="AD27">
        <v>3.3362227751618602E-2</v>
      </c>
      <c r="AE27">
        <v>5.9441082552434001E-2</v>
      </c>
      <c r="AF27">
        <v>7.4860244802746195E-2</v>
      </c>
      <c r="AG27">
        <v>7.2305340338014404E-2</v>
      </c>
      <c r="AH27">
        <v>7.0570787623700601E-2</v>
      </c>
      <c r="AI27">
        <v>6.68712766263002E-2</v>
      </c>
      <c r="AJ27">
        <v>5.6470312494852903E-2</v>
      </c>
    </row>
    <row r="28" spans="1:36">
      <c r="A28" s="1">
        <v>43033</v>
      </c>
      <c r="B28" t="s">
        <v>29</v>
      </c>
      <c r="C28" t="s">
        <v>61</v>
      </c>
      <c r="D28">
        <v>101.99</v>
      </c>
      <c r="E28" t="s">
        <v>256</v>
      </c>
      <c r="F28" t="s">
        <v>93</v>
      </c>
      <c r="G28">
        <v>12.21</v>
      </c>
      <c r="H28">
        <v>16.190000000000001</v>
      </c>
      <c r="I28">
        <v>3.6602739726027398</v>
      </c>
      <c r="J28">
        <v>0.274239910285833</v>
      </c>
      <c r="K28">
        <v>0.193040869695211</v>
      </c>
      <c r="L28">
        <v>97.2393</v>
      </c>
      <c r="M28">
        <v>9.5567203526197595</v>
      </c>
      <c r="N28">
        <v>106.79602035262</v>
      </c>
      <c r="O28">
        <v>9.5230299559373304</v>
      </c>
      <c r="P28">
        <v>0.432205200186209</v>
      </c>
      <c r="Q28">
        <v>2.6695812241272998</v>
      </c>
      <c r="R28">
        <v>-0.40001259847044901</v>
      </c>
      <c r="S28">
        <v>-3.82280854110686</v>
      </c>
      <c r="T28">
        <v>-1.2979083083832299</v>
      </c>
      <c r="U28">
        <v>-4.5001867454903401E-2</v>
      </c>
      <c r="V28">
        <v>-0.13616503309536199</v>
      </c>
      <c r="W28">
        <v>6.8392913524326596E-2</v>
      </c>
      <c r="X28">
        <v>-4.7696353228807498E-2</v>
      </c>
      <c r="Y28">
        <v>-5.0017080361870303E-2</v>
      </c>
      <c r="Z28">
        <v>-6.2725336673352894E-2</v>
      </c>
      <c r="AA28">
        <v>-7.63261571408618E-2</v>
      </c>
      <c r="AB28">
        <v>-0.10173193034875901</v>
      </c>
      <c r="AC28">
        <v>-0.14610607507274301</v>
      </c>
      <c r="AD28">
        <v>-0.203003954190945</v>
      </c>
      <c r="AE28">
        <v>-0.22692635197402</v>
      </c>
      <c r="AF28">
        <v>-0.227860274054242</v>
      </c>
      <c r="AG28">
        <v>-0.21502503963231501</v>
      </c>
      <c r="AH28">
        <v>-0.18730770497707799</v>
      </c>
      <c r="AI28">
        <v>-0.110992863237796</v>
      </c>
      <c r="AJ28">
        <v>-8.4129507085479394E-2</v>
      </c>
    </row>
    <row r="29" spans="1:36">
      <c r="A29" s="1">
        <v>43033</v>
      </c>
      <c r="B29" t="s">
        <v>37</v>
      </c>
      <c r="C29" t="s">
        <v>69</v>
      </c>
      <c r="D29">
        <v>92.74</v>
      </c>
      <c r="E29" t="s">
        <v>257</v>
      </c>
      <c r="F29" t="s">
        <v>101</v>
      </c>
      <c r="G29">
        <v>9.25</v>
      </c>
      <c r="H29">
        <v>15.75</v>
      </c>
      <c r="I29">
        <v>4.0164383561643797</v>
      </c>
      <c r="J29">
        <v>0.12822129824857301</v>
      </c>
      <c r="K29">
        <v>0.211930095015336</v>
      </c>
      <c r="L29">
        <v>91.640799999999999</v>
      </c>
      <c r="M29">
        <v>0.24702407666357001</v>
      </c>
      <c r="N29">
        <v>91.887824076663605</v>
      </c>
      <c r="O29">
        <v>0.238693363303523</v>
      </c>
      <c r="P29">
        <v>4.3799881749891703E-2</v>
      </c>
      <c r="Q29">
        <v>0.27809448730089897</v>
      </c>
      <c r="R29">
        <v>-3.2937128392327798E-2</v>
      </c>
      <c r="S29">
        <v>-8.1362637290642303E-3</v>
      </c>
      <c r="T29">
        <v>-0.27367530695770698</v>
      </c>
      <c r="U29">
        <v>9.2740897055680893E-3</v>
      </c>
      <c r="V29">
        <v>5.1869192416294702E-2</v>
      </c>
      <c r="W29">
        <v>3.9371699060963702E-2</v>
      </c>
      <c r="X29">
        <v>1.1635487591679599E-2</v>
      </c>
      <c r="Y29">
        <v>2.39962835029911E-2</v>
      </c>
      <c r="Z29">
        <v>3.0496358545474299E-2</v>
      </c>
      <c r="AA29">
        <v>2.5970334716573201E-2</v>
      </c>
      <c r="AB29">
        <v>2.87096233099251E-2</v>
      </c>
      <c r="AC29">
        <v>3.9894816718214501E-2</v>
      </c>
      <c r="AD29">
        <v>6.2616010554276E-2</v>
      </c>
      <c r="AE29">
        <v>9.3069509008616699E-2</v>
      </c>
      <c r="AF29">
        <v>0.103628665102124</v>
      </c>
      <c r="AG29">
        <v>9.3497913727799295E-2</v>
      </c>
      <c r="AH29">
        <v>0.11166892942277599</v>
      </c>
      <c r="AI29">
        <v>-1.67328903110515E-3</v>
      </c>
      <c r="AJ29">
        <v>-1.50094550184396E-2</v>
      </c>
    </row>
    <row r="30" spans="1:36">
      <c r="A30" s="1">
        <v>43033</v>
      </c>
      <c r="B30" t="s">
        <v>36</v>
      </c>
      <c r="C30" t="s">
        <v>68</v>
      </c>
      <c r="D30">
        <v>95.41</v>
      </c>
      <c r="E30" t="s">
        <v>258</v>
      </c>
      <c r="F30" t="s">
        <v>100</v>
      </c>
      <c r="G30">
        <v>5.95</v>
      </c>
      <c r="H30">
        <v>9.8000000000000007</v>
      </c>
      <c r="I30">
        <v>4.4958904109589</v>
      </c>
      <c r="J30">
        <v>0.17402163147931801</v>
      </c>
      <c r="K30">
        <v>0.20635828103041101</v>
      </c>
      <c r="L30">
        <v>93.498800000000003</v>
      </c>
      <c r="M30">
        <v>1.6406763186903399</v>
      </c>
      <c r="N30">
        <v>95.139476318690299</v>
      </c>
      <c r="O30">
        <v>1.63053259451359</v>
      </c>
      <c r="P30">
        <v>0.16229547649360099</v>
      </c>
      <c r="Q30">
        <v>1.65607629075103</v>
      </c>
      <c r="R30">
        <v>-7.2035874792223606E-2</v>
      </c>
      <c r="S30">
        <v>-0.118187553867744</v>
      </c>
      <c r="T30">
        <v>-0.42509932967702502</v>
      </c>
      <c r="U30">
        <v>2.84344303518624E-3</v>
      </c>
      <c r="V30">
        <v>-2.8048428896931101E-3</v>
      </c>
      <c r="W30">
        <v>1.2948681683487E-2</v>
      </c>
      <c r="X30">
        <v>-9.6327360384033204E-5</v>
      </c>
      <c r="Y30">
        <v>5.8038754111388097E-5</v>
      </c>
      <c r="Z30">
        <v>1.15602493344569E-3</v>
      </c>
      <c r="AA30">
        <v>-4.8546617391110602E-3</v>
      </c>
      <c r="AB30">
        <v>-1.17416411778885E-2</v>
      </c>
      <c r="AC30">
        <v>-5.4810129705025702E-3</v>
      </c>
      <c r="AD30">
        <v>1.8544753802538901E-2</v>
      </c>
      <c r="AE30">
        <v>0</v>
      </c>
      <c r="AF30">
        <v>0</v>
      </c>
      <c r="AG30">
        <v>0</v>
      </c>
      <c r="AH30">
        <v>0</v>
      </c>
      <c r="AI30">
        <v>0</v>
      </c>
      <c r="AJ30">
        <v>0</v>
      </c>
    </row>
    <row r="31" spans="1:36">
      <c r="A31" s="1">
        <v>43033</v>
      </c>
      <c r="B31" t="s">
        <v>19</v>
      </c>
      <c r="C31" t="s">
        <v>51</v>
      </c>
      <c r="D31">
        <v>101.7</v>
      </c>
      <c r="E31" t="s">
        <v>259</v>
      </c>
      <c r="F31" t="s">
        <v>83</v>
      </c>
      <c r="G31">
        <v>8.17</v>
      </c>
      <c r="H31">
        <v>8.92</v>
      </c>
      <c r="I31">
        <v>4.7150684931506897</v>
      </c>
      <c r="J31">
        <v>0.122897659343153</v>
      </c>
      <c r="K31">
        <v>0.17744349346351199</v>
      </c>
      <c r="L31">
        <v>88.630399999999995</v>
      </c>
      <c r="M31">
        <v>9.0362317876842599</v>
      </c>
      <c r="N31">
        <v>97.666631787684295</v>
      </c>
      <c r="O31">
        <v>9.0323226974536297</v>
      </c>
      <c r="P31">
        <v>0.52764430749290503</v>
      </c>
      <c r="Q31">
        <v>5.9152949270505104</v>
      </c>
      <c r="R31">
        <v>-0.14458707021301401</v>
      </c>
      <c r="S31">
        <v>-1.30652227994698</v>
      </c>
      <c r="T31">
        <v>-2.7718791400348701</v>
      </c>
      <c r="U31">
        <v>4.1297300198534601E-2</v>
      </c>
      <c r="V31">
        <v>5.3689456691043601E-2</v>
      </c>
      <c r="W31">
        <v>1.5040809156659901E-2</v>
      </c>
      <c r="X31">
        <v>4.9509164972069197E-2</v>
      </c>
      <c r="Y31">
        <v>6.2170986407339597E-2</v>
      </c>
      <c r="Z31">
        <v>6.1126650590453198E-2</v>
      </c>
      <c r="AA31">
        <v>3.10107035078151E-2</v>
      </c>
      <c r="AB31">
        <v>0</v>
      </c>
      <c r="AC31">
        <v>0</v>
      </c>
      <c r="AD31">
        <v>0</v>
      </c>
      <c r="AE31">
        <v>0</v>
      </c>
      <c r="AF31">
        <v>0</v>
      </c>
      <c r="AG31">
        <v>0</v>
      </c>
      <c r="AH31">
        <v>0</v>
      </c>
      <c r="AI31">
        <v>0</v>
      </c>
      <c r="AJ31">
        <v>0</v>
      </c>
    </row>
    <row r="32" spans="1:36">
      <c r="A32" s="1">
        <v>43033</v>
      </c>
      <c r="B32" t="s">
        <v>11</v>
      </c>
      <c r="C32" t="s">
        <v>43</v>
      </c>
      <c r="D32">
        <v>114</v>
      </c>
      <c r="E32" t="s">
        <v>260</v>
      </c>
      <c r="F32" t="s">
        <v>75</v>
      </c>
      <c r="G32">
        <v>16.28</v>
      </c>
      <c r="H32">
        <v>17.12</v>
      </c>
      <c r="I32">
        <v>2.7726027397260302</v>
      </c>
      <c r="J32">
        <v>0.415789236870867</v>
      </c>
      <c r="K32">
        <v>0.35394994995962697</v>
      </c>
      <c r="L32">
        <v>92.485299999999995</v>
      </c>
      <c r="M32">
        <v>25.448028282613301</v>
      </c>
      <c r="N32">
        <v>117.933328282613</v>
      </c>
      <c r="O32">
        <v>25.507512128708498</v>
      </c>
      <c r="P32">
        <v>0.63064860642272402</v>
      </c>
      <c r="Q32">
        <v>3.6836951309738599</v>
      </c>
      <c r="R32">
        <v>-0.85566539826214705</v>
      </c>
      <c r="S32">
        <v>-21.774997255428701</v>
      </c>
      <c r="T32">
        <v>-7.7597485177865604</v>
      </c>
      <c r="U32">
        <v>-3.3352134972291697E-2</v>
      </c>
      <c r="V32">
        <v>-4.1883971057553003E-2</v>
      </c>
      <c r="W32">
        <v>4.2873953066854903E-2</v>
      </c>
      <c r="X32">
        <v>-3.6669142614567503E-2</v>
      </c>
      <c r="Y32">
        <v>-1.3436348929881801E-2</v>
      </c>
      <c r="Z32">
        <v>-7.3559820316596206E-2</v>
      </c>
      <c r="AA32">
        <v>0</v>
      </c>
      <c r="AB32">
        <v>0</v>
      </c>
      <c r="AC32">
        <v>0</v>
      </c>
      <c r="AD32">
        <v>0</v>
      </c>
      <c r="AE32">
        <v>0</v>
      </c>
      <c r="AF32">
        <v>0</v>
      </c>
      <c r="AG32">
        <v>0</v>
      </c>
      <c r="AH32">
        <v>0</v>
      </c>
      <c r="AI32">
        <v>0</v>
      </c>
      <c r="AJ32">
        <v>0</v>
      </c>
    </row>
    <row r="33" spans="1:36">
      <c r="A33" s="1">
        <v>43033</v>
      </c>
      <c r="B33" t="s">
        <v>28</v>
      </c>
      <c r="C33" t="s">
        <v>60</v>
      </c>
      <c r="D33">
        <v>92.9</v>
      </c>
      <c r="E33" t="s">
        <v>261</v>
      </c>
      <c r="F33" t="s">
        <v>92</v>
      </c>
      <c r="G33">
        <v>16.86</v>
      </c>
      <c r="H33">
        <v>25</v>
      </c>
      <c r="I33">
        <v>4.8109589041095902</v>
      </c>
      <c r="J33">
        <v>0.29713059649638801</v>
      </c>
      <c r="K33">
        <v>0.234955511019138</v>
      </c>
      <c r="L33">
        <v>86.625500000000002</v>
      </c>
      <c r="M33">
        <v>10.038008973042301</v>
      </c>
      <c r="N33">
        <v>96.663508973042298</v>
      </c>
      <c r="O33">
        <v>10.012084130026</v>
      </c>
      <c r="P33">
        <v>0.433348129886516</v>
      </c>
      <c r="Q33">
        <v>1.73339251954606</v>
      </c>
      <c r="R33">
        <v>-0.52116274533859397</v>
      </c>
      <c r="S33">
        <v>-5.2314363141241502</v>
      </c>
      <c r="T33">
        <v>-1.30420985193622</v>
      </c>
      <c r="U33">
        <v>-3.8934123259396998E-2</v>
      </c>
      <c r="V33">
        <v>-4.9924069382249602E-2</v>
      </c>
      <c r="W33">
        <v>1.7903567439783101E-2</v>
      </c>
      <c r="X33">
        <v>-5.9367836885056799E-2</v>
      </c>
      <c r="Y33">
        <v>-5.1057671409835401E-2</v>
      </c>
      <c r="Z33">
        <v>-3.6599103917177501E-2</v>
      </c>
      <c r="AA33">
        <v>0</v>
      </c>
      <c r="AB33">
        <v>0</v>
      </c>
      <c r="AC33">
        <v>0</v>
      </c>
      <c r="AD33">
        <v>0</v>
      </c>
      <c r="AE33">
        <v>0</v>
      </c>
      <c r="AF33">
        <v>0</v>
      </c>
      <c r="AG33">
        <v>0</v>
      </c>
      <c r="AH33">
        <v>0</v>
      </c>
      <c r="AI33">
        <v>0</v>
      </c>
      <c r="AJ33">
        <v>0</v>
      </c>
    </row>
    <row r="34" spans="1:36">
      <c r="A34" s="1">
        <v>43033</v>
      </c>
      <c r="B34" t="s">
        <v>24</v>
      </c>
      <c r="C34" t="s">
        <v>56</v>
      </c>
      <c r="D34">
        <v>103.52</v>
      </c>
      <c r="E34" t="s">
        <v>262</v>
      </c>
      <c r="F34" t="s">
        <v>88</v>
      </c>
      <c r="G34">
        <v>11.76</v>
      </c>
      <c r="H34">
        <v>13.49</v>
      </c>
      <c r="I34">
        <v>2.86027397260274</v>
      </c>
      <c r="J34">
        <v>0.38494305224675002</v>
      </c>
      <c r="K34">
        <v>0.25296170388665301</v>
      </c>
      <c r="L34">
        <v>92.099100000000007</v>
      </c>
      <c r="M34">
        <v>19.272153873497999</v>
      </c>
      <c r="N34">
        <v>111.37125387349801</v>
      </c>
      <c r="O34">
        <v>19.323987992906702</v>
      </c>
      <c r="P34">
        <v>0.57166097120352799</v>
      </c>
      <c r="Q34">
        <v>4.2376647235250404</v>
      </c>
      <c r="R34">
        <v>-0.58713140319638601</v>
      </c>
      <c r="S34">
        <v>-11.315286746363601</v>
      </c>
      <c r="T34">
        <v>-3.9929391762452102</v>
      </c>
      <c r="U34">
        <v>-7.04962330981381E-2</v>
      </c>
      <c r="V34">
        <v>-9.7431721255876097E-2</v>
      </c>
      <c r="W34">
        <v>1.56656541395933E-2</v>
      </c>
      <c r="X34">
        <v>-8.6169861461395103E-2</v>
      </c>
      <c r="Y34">
        <v>-0.10475193012228901</v>
      </c>
      <c r="Z34">
        <v>0</v>
      </c>
      <c r="AA34">
        <v>0</v>
      </c>
      <c r="AB34">
        <v>0</v>
      </c>
      <c r="AC34">
        <v>0</v>
      </c>
      <c r="AD34">
        <v>0</v>
      </c>
      <c r="AE34">
        <v>0</v>
      </c>
      <c r="AF34">
        <v>0</v>
      </c>
      <c r="AG34">
        <v>0</v>
      </c>
      <c r="AH34">
        <v>0</v>
      </c>
      <c r="AI34">
        <v>0</v>
      </c>
      <c r="AJ34">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使用说明</vt:lpstr>
      <vt:lpstr>实时溢价率</vt:lpstr>
      <vt:lpstr>历史溢价率</vt:lpstr>
      <vt:lpstr>期权价值</vt:lpstr>
      <vt:lpstr>个券试算</vt:lpstr>
      <vt:lpstr>Data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Windows 用户</cp:lastModifiedBy>
  <dcterms:created xsi:type="dcterms:W3CDTF">2017-10-17T03:32:25Z</dcterms:created>
  <dcterms:modified xsi:type="dcterms:W3CDTF">2017-10-26T01:34:42Z</dcterms:modified>
</cp:coreProperties>
</file>