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filterPrivacy="1" codeName="ThisWorkbook" defaultThemeVersion="124226"/>
  <bookViews>
    <workbookView xWindow="240" yWindow="165" windowWidth="14805" windowHeight="7950"/>
  </bookViews>
  <sheets>
    <sheet name="转债资料" sheetId="5" r:id="rId1"/>
    <sheet name="转债条款" sheetId="6" r:id="rId2"/>
    <sheet name="发行指标" sheetId="4" r:id="rId3"/>
    <sheet name=" 转债阶段表现" sheetId="7" r:id="rId4"/>
    <sheet name="code" sheetId="9" r:id="rId5"/>
  </sheets>
  <externalReferences>
    <externalReference r:id="rId6"/>
  </externalReferences>
  <definedNames>
    <definedName name="_xlnm._FilterDatabase" localSheetId="0" hidden="1">转债资料!$A$4:$U$117</definedName>
  </definedNames>
  <calcPr calcId="152511"/>
</workbook>
</file>

<file path=xl/calcChain.xml><?xml version="1.0" encoding="utf-8"?>
<calcChain xmlns="http://schemas.openxmlformats.org/spreadsheetml/2006/main">
  <c r="K6" i="7" l="1"/>
  <c r="K7" i="7"/>
  <c r="K8" i="7"/>
  <c r="K9" i="7"/>
  <c r="K10" i="7"/>
  <c r="K11" i="7"/>
  <c r="K12" i="7"/>
  <c r="K13" i="7"/>
  <c r="K14" i="7"/>
  <c r="K15" i="7"/>
  <c r="K16" i="7"/>
  <c r="K17" i="7"/>
  <c r="K18" i="7"/>
  <c r="K19" i="7"/>
  <c r="K20" i="7"/>
  <c r="K21" i="7"/>
  <c r="K22" i="7"/>
  <c r="K23" i="7"/>
  <c r="K24" i="7"/>
  <c r="K25" i="7"/>
  <c r="K26" i="7"/>
  <c r="K27" i="7"/>
  <c r="K28" i="7"/>
  <c r="K29" i="7"/>
  <c r="K30" i="7"/>
  <c r="K31" i="7"/>
  <c r="K32" i="7"/>
  <c r="K33" i="7"/>
  <c r="K34" i="7"/>
  <c r="K5" i="7"/>
  <c r="O3" i="6" l="1"/>
  <c r="S3" i="6"/>
  <c r="R3" i="6"/>
  <c r="Q3" i="6"/>
  <c r="B6" i="7"/>
  <c r="F6" i="7"/>
  <c r="J6" i="7"/>
  <c r="D7" i="7"/>
  <c r="H7" i="7"/>
  <c r="B8" i="7"/>
  <c r="F8" i="7"/>
  <c r="J8" i="7"/>
  <c r="D6" i="7"/>
  <c r="H6" i="7"/>
  <c r="B7" i="7"/>
  <c r="F7" i="7"/>
  <c r="J7" i="7"/>
  <c r="D8" i="7"/>
  <c r="H8" i="7"/>
  <c r="B9" i="7"/>
  <c r="F9" i="7"/>
  <c r="J9" i="7"/>
  <c r="D10" i="7"/>
  <c r="H10" i="7"/>
  <c r="B11" i="7"/>
  <c r="F11" i="7"/>
  <c r="J11" i="7"/>
  <c r="D12" i="7"/>
  <c r="H12" i="7"/>
  <c r="B13" i="7"/>
  <c r="F13" i="7"/>
  <c r="J13" i="7"/>
  <c r="D14" i="7"/>
  <c r="H14" i="7"/>
  <c r="B15" i="7"/>
  <c r="F15" i="7"/>
  <c r="J15" i="7"/>
  <c r="D16" i="7"/>
  <c r="H16" i="7"/>
  <c r="B17" i="7"/>
  <c r="F17" i="7"/>
  <c r="J17" i="7"/>
  <c r="D18" i="7"/>
  <c r="H18" i="7"/>
  <c r="B19" i="7"/>
  <c r="F19" i="7"/>
  <c r="J19" i="7"/>
  <c r="D20" i="7"/>
  <c r="H20" i="7"/>
  <c r="C6" i="7"/>
  <c r="I7" i="7"/>
  <c r="G8" i="7"/>
  <c r="D9" i="7"/>
  <c r="I9" i="7"/>
  <c r="E10" i="7"/>
  <c r="J10" i="7"/>
  <c r="E11" i="7"/>
  <c r="F12" i="7"/>
  <c r="G13" i="7"/>
  <c r="B14" i="7"/>
  <c r="G14" i="7"/>
  <c r="C15" i="7"/>
  <c r="H15" i="7"/>
  <c r="C16" i="7"/>
  <c r="I16" i="7"/>
  <c r="D17" i="7"/>
  <c r="I17" i="7"/>
  <c r="E18" i="7"/>
  <c r="J18" i="7"/>
  <c r="E19" i="7"/>
  <c r="F20" i="7"/>
  <c r="E21" i="7"/>
  <c r="I21" i="7"/>
  <c r="C22" i="7"/>
  <c r="G22" i="7"/>
  <c r="E23" i="7"/>
  <c r="I23" i="7"/>
  <c r="C24" i="7"/>
  <c r="G24" i="7"/>
  <c r="E6" i="7"/>
  <c r="C7" i="7"/>
  <c r="I8" i="7"/>
  <c r="E9" i="7"/>
  <c r="F10" i="7"/>
  <c r="G11" i="7"/>
  <c r="B12" i="7"/>
  <c r="G12" i="7"/>
  <c r="C13" i="7"/>
  <c r="H13" i="7"/>
  <c r="C14" i="7"/>
  <c r="I14" i="7"/>
  <c r="D15" i="7"/>
  <c r="I15" i="7"/>
  <c r="E16" i="7"/>
  <c r="J16" i="7"/>
  <c r="E17" i="7"/>
  <c r="F18" i="7"/>
  <c r="G19" i="7"/>
  <c r="B20" i="7"/>
  <c r="G20" i="7"/>
  <c r="B21" i="7"/>
  <c r="F21" i="7"/>
  <c r="J21" i="7"/>
  <c r="D22" i="7"/>
  <c r="H22" i="7"/>
  <c r="B23" i="7"/>
  <c r="F23" i="7"/>
  <c r="J23" i="7"/>
  <c r="D24" i="7"/>
  <c r="H24" i="7"/>
  <c r="G6" i="7"/>
  <c r="C8" i="7"/>
  <c r="G10" i="7"/>
  <c r="C11" i="7"/>
  <c r="I12" i="7"/>
  <c r="D13" i="7"/>
  <c r="J14" i="7"/>
  <c r="E15" i="7"/>
  <c r="G17" i="7"/>
  <c r="B18" i="7"/>
  <c r="H19" i="7"/>
  <c r="C20" i="7"/>
  <c r="G21" i="7"/>
  <c r="E22" i="7"/>
  <c r="C23" i="7"/>
  <c r="I24" i="7"/>
  <c r="E25" i="7"/>
  <c r="I25" i="7"/>
  <c r="C26" i="7"/>
  <c r="G26" i="7"/>
  <c r="E27" i="7"/>
  <c r="I27" i="7"/>
  <c r="C28" i="7"/>
  <c r="G28" i="7"/>
  <c r="E29" i="7"/>
  <c r="I29" i="7"/>
  <c r="C30" i="7"/>
  <c r="G30" i="7"/>
  <c r="E31" i="7"/>
  <c r="I31" i="7"/>
  <c r="C32" i="7"/>
  <c r="G32" i="7"/>
  <c r="I6" i="7"/>
  <c r="E8" i="7"/>
  <c r="C9" i="7"/>
  <c r="I10" i="7"/>
  <c r="D11" i="7"/>
  <c r="J12" i="7"/>
  <c r="E13" i="7"/>
  <c r="G15" i="7"/>
  <c r="B16" i="7"/>
  <c r="H17" i="7"/>
  <c r="C18" i="7"/>
  <c r="I19" i="7"/>
  <c r="E20" i="7"/>
  <c r="H21" i="7"/>
  <c r="F22" i="7"/>
  <c r="D23" i="7"/>
  <c r="B24" i="7"/>
  <c r="J24" i="7"/>
  <c r="B25" i="7"/>
  <c r="F25" i="7"/>
  <c r="J25" i="7"/>
  <c r="D26" i="7"/>
  <c r="H26" i="7"/>
  <c r="B27" i="7"/>
  <c r="F27" i="7"/>
  <c r="J27" i="7"/>
  <c r="D28" i="7"/>
  <c r="H28" i="7"/>
  <c r="B29" i="7"/>
  <c r="F29" i="7"/>
  <c r="J29" i="7"/>
  <c r="D30" i="7"/>
  <c r="H30" i="7"/>
  <c r="B31" i="7"/>
  <c r="F31" i="7"/>
  <c r="J31" i="7"/>
  <c r="D32" i="7"/>
  <c r="H32" i="7"/>
  <c r="H11" i="7"/>
  <c r="C12" i="7"/>
  <c r="F16" i="7"/>
  <c r="I20" i="7"/>
  <c r="C21" i="7"/>
  <c r="I22" i="7"/>
  <c r="E24" i="7"/>
  <c r="C25" i="7"/>
  <c r="I26" i="7"/>
  <c r="G27" i="7"/>
  <c r="E28" i="7"/>
  <c r="C29" i="7"/>
  <c r="I30" i="7"/>
  <c r="G31" i="7"/>
  <c r="E32" i="7"/>
  <c r="B33" i="7"/>
  <c r="F33" i="7"/>
  <c r="J33" i="7"/>
  <c r="D34" i="7"/>
  <c r="H34" i="7"/>
  <c r="C27" i="7"/>
  <c r="G29" i="7"/>
  <c r="C31" i="7"/>
  <c r="I32" i="7"/>
  <c r="D33" i="7"/>
  <c r="B34" i="7"/>
  <c r="J34" i="7"/>
  <c r="I18" i="7"/>
  <c r="H25" i="7"/>
  <c r="D27" i="7"/>
  <c r="J28" i="7"/>
  <c r="F30" i="7"/>
  <c r="D31" i="7"/>
  <c r="J32" i="7"/>
  <c r="E33" i="7"/>
  <c r="G34" i="7"/>
  <c r="I11" i="7"/>
  <c r="E12" i="7"/>
  <c r="G16" i="7"/>
  <c r="C17" i="7"/>
  <c r="J20" i="7"/>
  <c r="D21" i="7"/>
  <c r="J22" i="7"/>
  <c r="F24" i="7"/>
  <c r="D25" i="7"/>
  <c r="B26" i="7"/>
  <c r="J26" i="7"/>
  <c r="H27" i="7"/>
  <c r="F28" i="7"/>
  <c r="D29" i="7"/>
  <c r="B30" i="7"/>
  <c r="J30" i="7"/>
  <c r="H31" i="7"/>
  <c r="F32" i="7"/>
  <c r="C33" i="7"/>
  <c r="G33" i="7"/>
  <c r="E34" i="7"/>
  <c r="I34" i="7"/>
  <c r="E7" i="7"/>
  <c r="G9" i="7"/>
  <c r="B10" i="7"/>
  <c r="I13" i="7"/>
  <c r="E14" i="7"/>
  <c r="G18" i="7"/>
  <c r="C19" i="7"/>
  <c r="G23" i="7"/>
  <c r="G25" i="7"/>
  <c r="E26" i="7"/>
  <c r="I28" i="7"/>
  <c r="E30" i="7"/>
  <c r="H33" i="7"/>
  <c r="F34" i="7"/>
  <c r="G7" i="7"/>
  <c r="H9" i="7"/>
  <c r="C10" i="7"/>
  <c r="F14" i="7"/>
  <c r="D19" i="7"/>
  <c r="B22" i="7"/>
  <c r="H23" i="7"/>
  <c r="F26" i="7"/>
  <c r="B28" i="7"/>
  <c r="H29" i="7"/>
  <c r="B32" i="7"/>
  <c r="I33" i="7"/>
  <c r="C34" i="7"/>
  <c r="I5" i="7"/>
  <c r="E5" i="7"/>
  <c r="H5" i="7"/>
  <c r="D5" i="7"/>
  <c r="G5" i="7"/>
  <c r="C5" i="7"/>
  <c r="J5" i="7"/>
  <c r="F5" i="7"/>
  <c r="B5" i="7"/>
  <c r="E1" i="7"/>
  <c r="W33" i="7" l="1"/>
  <c r="AA33" i="7"/>
  <c r="Z33" i="7"/>
  <c r="T33" i="7"/>
  <c r="X33" i="7"/>
  <c r="AB33" i="7"/>
  <c r="Y33" i="7"/>
  <c r="O7" i="7"/>
  <c r="L7" i="7"/>
  <c r="T28" i="7"/>
  <c r="O25" i="7"/>
  <c r="L25" i="7"/>
  <c r="O23" i="7"/>
  <c r="L23" i="7"/>
  <c r="L18" i="7"/>
  <c r="O18" i="7"/>
  <c r="T13" i="7"/>
  <c r="O9" i="7"/>
  <c r="L9" i="7"/>
  <c r="Y34" i="7"/>
  <c r="AA34" i="7"/>
  <c r="X34" i="7"/>
  <c r="Z34" i="7"/>
  <c r="W34" i="7"/>
  <c r="T34" i="7"/>
  <c r="AB34" i="7"/>
  <c r="O33" i="7"/>
  <c r="L33" i="7"/>
  <c r="O16" i="7"/>
  <c r="L16" i="7"/>
  <c r="W11" i="7"/>
  <c r="AA11" i="7"/>
  <c r="AB11" i="7"/>
  <c r="X11" i="7"/>
  <c r="Y11" i="7"/>
  <c r="Z11" i="7"/>
  <c r="T11" i="7"/>
  <c r="O34" i="7"/>
  <c r="L34" i="7"/>
  <c r="T18" i="7"/>
  <c r="T32" i="7"/>
  <c r="Y32" i="7"/>
  <c r="W32" i="7"/>
  <c r="X32" i="7"/>
  <c r="Z32" i="7"/>
  <c r="AA32" i="7"/>
  <c r="AB32" i="7"/>
  <c r="O29" i="7"/>
  <c r="L29" i="7"/>
  <c r="O31" i="7"/>
  <c r="L31" i="7"/>
  <c r="T30" i="7"/>
  <c r="O27" i="7"/>
  <c r="L27" i="7"/>
  <c r="T26" i="7"/>
  <c r="T22" i="7"/>
  <c r="T20" i="7"/>
  <c r="T19" i="7"/>
  <c r="O15" i="7"/>
  <c r="L15" i="7"/>
  <c r="Y10" i="7"/>
  <c r="AA10" i="7"/>
  <c r="W10" i="7"/>
  <c r="AB10" i="7"/>
  <c r="T10" i="7"/>
  <c r="X10" i="7"/>
  <c r="Z10" i="7"/>
  <c r="T6" i="7"/>
  <c r="L32" i="7"/>
  <c r="O32" i="7"/>
  <c r="Z31" i="7"/>
  <c r="W31" i="7"/>
  <c r="AA31" i="7"/>
  <c r="X31" i="7"/>
  <c r="T31" i="7"/>
  <c r="Y31" i="7"/>
  <c r="AB31" i="7"/>
  <c r="L30" i="7"/>
  <c r="O30" i="7"/>
  <c r="T29" i="7"/>
  <c r="L28" i="7"/>
  <c r="O28" i="7"/>
  <c r="T27" i="7"/>
  <c r="L26" i="7"/>
  <c r="O26" i="7"/>
  <c r="T25" i="7"/>
  <c r="T24" i="7"/>
  <c r="O21" i="7"/>
  <c r="L21" i="7"/>
  <c r="O17" i="7"/>
  <c r="L17" i="7"/>
  <c r="T12" i="7"/>
  <c r="L10" i="7"/>
  <c r="O10" i="7"/>
  <c r="O6" i="7"/>
  <c r="L6" i="7"/>
  <c r="L20" i="7"/>
  <c r="O20" i="7"/>
  <c r="O19" i="7"/>
  <c r="L19" i="7"/>
  <c r="T15" i="7"/>
  <c r="T14" i="7"/>
  <c r="L12" i="7"/>
  <c r="O12" i="7"/>
  <c r="O11" i="7"/>
  <c r="L11" i="7"/>
  <c r="T8" i="7"/>
  <c r="L24" i="7"/>
  <c r="O24" i="7"/>
  <c r="T23" i="7"/>
  <c r="L22" i="7"/>
  <c r="O22" i="7"/>
  <c r="Z21" i="7"/>
  <c r="W21" i="7"/>
  <c r="AA21" i="7"/>
  <c r="X21" i="7"/>
  <c r="Y21" i="7"/>
  <c r="T21" i="7"/>
  <c r="AB21" i="7"/>
  <c r="T17" i="7"/>
  <c r="T16" i="7"/>
  <c r="O14" i="7"/>
  <c r="L14" i="7"/>
  <c r="O13" i="7"/>
  <c r="L13" i="7"/>
  <c r="T9" i="7"/>
  <c r="O8" i="7"/>
  <c r="L8" i="7"/>
  <c r="T7" i="7"/>
  <c r="L5" i="7"/>
  <c r="O5" i="7"/>
  <c r="T5" i="7"/>
  <c r="I3" i="6"/>
  <c r="W28" i="7"/>
  <c r="AB13" i="7"/>
  <c r="R9" i="7"/>
  <c r="R34" i="7"/>
  <c r="AA18" i="7"/>
  <c r="Y30" i="7"/>
  <c r="R27" i="7"/>
  <c r="AB20" i="7"/>
  <c r="AA6" i="7"/>
  <c r="R32" i="7"/>
  <c r="Y27" i="7"/>
  <c r="R26" i="7"/>
  <c r="W25" i="7"/>
  <c r="Y25" i="7"/>
  <c r="W24" i="7"/>
  <c r="AA24" i="7"/>
  <c r="R17" i="7"/>
  <c r="W15" i="7"/>
  <c r="AB14" i="7"/>
  <c r="AA17" i="7"/>
  <c r="AB16" i="7"/>
  <c r="R14" i="7"/>
  <c r="AB9" i="7"/>
  <c r="Y7" i="7"/>
  <c r="W7" i="7"/>
  <c r="AB7" i="7"/>
  <c r="R7" i="7"/>
  <c r="AB28" i="7"/>
  <c r="W18" i="7"/>
  <c r="R29" i="7"/>
  <c r="R31" i="7"/>
  <c r="AA26" i="7"/>
  <c r="AB22" i="7"/>
  <c r="AA22" i="7"/>
  <c r="W19" i="7"/>
  <c r="Y6" i="7"/>
  <c r="AB29" i="7"/>
  <c r="R28" i="7"/>
  <c r="W27" i="7"/>
  <c r="AA25" i="7"/>
  <c r="AB24" i="7"/>
  <c r="R21" i="7"/>
  <c r="Y12" i="7"/>
  <c r="R10" i="7"/>
  <c r="R20" i="7"/>
  <c r="AA15" i="7"/>
  <c r="AB15" i="7"/>
  <c r="AA14" i="7"/>
  <c r="R11" i="7"/>
  <c r="AA8" i="7"/>
  <c r="AB23" i="7"/>
  <c r="Y17" i="7"/>
  <c r="Y28" i="7"/>
  <c r="R25" i="7"/>
  <c r="R23" i="7"/>
  <c r="W13" i="7"/>
  <c r="Y13" i="7"/>
  <c r="AB18" i="7"/>
  <c r="W30" i="7"/>
  <c r="AB26" i="7"/>
  <c r="W26" i="7"/>
  <c r="Y22" i="7"/>
  <c r="Y20" i="7"/>
  <c r="AA19" i="7"/>
  <c r="R15" i="7"/>
  <c r="R30" i="7"/>
  <c r="W29" i="7"/>
  <c r="AA27" i="7"/>
  <c r="AB27" i="7"/>
  <c r="Y24" i="7"/>
  <c r="W12" i="7"/>
  <c r="Y8" i="7"/>
  <c r="AB8" i="7"/>
  <c r="R24" i="7"/>
  <c r="W23" i="7"/>
  <c r="Y23" i="7"/>
  <c r="AB17" i="7"/>
  <c r="Y16" i="7"/>
  <c r="W16" i="7"/>
  <c r="AA9" i="7"/>
  <c r="Y9" i="7"/>
  <c r="AA7" i="7"/>
  <c r="AA28" i="7"/>
  <c r="R18" i="7"/>
  <c r="AA13" i="7"/>
  <c r="R33" i="7"/>
  <c r="R16" i="7"/>
  <c r="Y18" i="7"/>
  <c r="AB30" i="7"/>
  <c r="AA30" i="7"/>
  <c r="Y26" i="7"/>
  <c r="W22" i="7"/>
  <c r="W20" i="7"/>
  <c r="AA20" i="7"/>
  <c r="AB19" i="7"/>
  <c r="Y19" i="7"/>
  <c r="W6" i="7"/>
  <c r="AB6" i="7"/>
  <c r="AA29" i="7"/>
  <c r="Y29" i="7"/>
  <c r="AB25" i="7"/>
  <c r="AB12" i="7"/>
  <c r="AA12" i="7"/>
  <c r="R6" i="7"/>
  <c r="R19" i="7"/>
  <c r="Y15" i="7"/>
  <c r="Y14" i="7"/>
  <c r="W14" i="7"/>
  <c r="R12" i="7"/>
  <c r="W8" i="7"/>
  <c r="AA23" i="7"/>
  <c r="R22" i="7"/>
  <c r="W17" i="7"/>
  <c r="R13" i="7"/>
  <c r="AA16" i="7"/>
  <c r="W9" i="7"/>
  <c r="R8" i="7"/>
  <c r="R5" i="7"/>
  <c r="Y5" i="7"/>
  <c r="AA5" i="7"/>
  <c r="AB5" i="7"/>
  <c r="W5" i="7"/>
  <c r="U33" i="7" l="1"/>
  <c r="V33" i="7"/>
  <c r="V31" i="7"/>
  <c r="U31" i="7"/>
  <c r="U32" i="7"/>
  <c r="V32" i="7"/>
  <c r="V11" i="7"/>
  <c r="U11" i="7"/>
  <c r="U34" i="7"/>
  <c r="V34" i="7"/>
  <c r="V21" i="7"/>
  <c r="U21" i="7"/>
  <c r="U10" i="7"/>
  <c r="V10" i="7"/>
  <c r="S8" i="7"/>
  <c r="X17" i="7"/>
  <c r="X8" i="7"/>
  <c r="S19" i="7"/>
  <c r="X20" i="7"/>
  <c r="S16" i="7"/>
  <c r="X16" i="7"/>
  <c r="X12" i="7"/>
  <c r="S30" i="7"/>
  <c r="Z30" i="7"/>
  <c r="S23" i="7"/>
  <c r="S10" i="7"/>
  <c r="S28" i="7"/>
  <c r="S29" i="7"/>
  <c r="Z7" i="7"/>
  <c r="X15" i="7"/>
  <c r="X25" i="7"/>
  <c r="S27" i="7"/>
  <c r="Z28" i="7"/>
  <c r="P10" i="7"/>
  <c r="M15" i="7"/>
  <c r="M27" i="7"/>
  <c r="P11" i="7"/>
  <c r="U27" i="7"/>
  <c r="U19" i="7"/>
  <c r="P34" i="7"/>
  <c r="M23" i="7"/>
  <c r="U23" i="7"/>
  <c r="M29" i="7"/>
  <c r="M18" i="7"/>
  <c r="U12" i="7"/>
  <c r="P27" i="7"/>
  <c r="U13" i="7"/>
  <c r="Z9" i="7"/>
  <c r="Z17" i="7"/>
  <c r="S12" i="7"/>
  <c r="S6" i="7"/>
  <c r="Z20" i="7"/>
  <c r="S33" i="7"/>
  <c r="Z23" i="7"/>
  <c r="Z12" i="7"/>
  <c r="S15" i="7"/>
  <c r="X30" i="7"/>
  <c r="S25" i="7"/>
  <c r="S21" i="7"/>
  <c r="X19" i="7"/>
  <c r="Z18" i="7"/>
  <c r="X7" i="7"/>
  <c r="S17" i="7"/>
  <c r="Z25" i="7"/>
  <c r="S34" i="7"/>
  <c r="M8" i="7"/>
  <c r="M14" i="7"/>
  <c r="U17" i="7"/>
  <c r="M17" i="7"/>
  <c r="P32" i="7"/>
  <c r="U22" i="7"/>
  <c r="M9" i="7"/>
  <c r="P25" i="7"/>
  <c r="M12" i="7"/>
  <c r="M19" i="7"/>
  <c r="P21" i="7"/>
  <c r="U6" i="7"/>
  <c r="M33" i="7"/>
  <c r="P22" i="7"/>
  <c r="M30" i="7"/>
  <c r="M16" i="7"/>
  <c r="U20" i="7"/>
  <c r="X9" i="7"/>
  <c r="S22" i="7"/>
  <c r="X14" i="7"/>
  <c r="X6" i="7"/>
  <c r="X22" i="7"/>
  <c r="S18" i="7"/>
  <c r="X23" i="7"/>
  <c r="Z29" i="7"/>
  <c r="Z26" i="7"/>
  <c r="X13" i="7"/>
  <c r="S11" i="7"/>
  <c r="Z27" i="7"/>
  <c r="Z19" i="7"/>
  <c r="X18" i="7"/>
  <c r="S14" i="7"/>
  <c r="X24" i="7"/>
  <c r="S26" i="7"/>
  <c r="S9" i="7"/>
  <c r="P20" i="7"/>
  <c r="P7" i="7"/>
  <c r="P14" i="7"/>
  <c r="U25" i="7"/>
  <c r="P29" i="7"/>
  <c r="P12" i="7"/>
  <c r="M25" i="7"/>
  <c r="P8" i="7"/>
  <c r="P19" i="7"/>
  <c r="P6" i="7"/>
  <c r="M21" i="7"/>
  <c r="U29" i="7"/>
  <c r="M31" i="7"/>
  <c r="P16" i="7"/>
  <c r="P18" i="7"/>
  <c r="P24" i="7"/>
  <c r="S13" i="7"/>
  <c r="Z8" i="7"/>
  <c r="Z14" i="7"/>
  <c r="Z6" i="7"/>
  <c r="Z22" i="7"/>
  <c r="Z16" i="7"/>
  <c r="S24" i="7"/>
  <c r="X29" i="7"/>
  <c r="X26" i="7"/>
  <c r="Z13" i="7"/>
  <c r="S20" i="7"/>
  <c r="X27" i="7"/>
  <c r="S31" i="7"/>
  <c r="S7" i="7"/>
  <c r="Z15" i="7"/>
  <c r="Z24" i="7"/>
  <c r="S32" i="7"/>
  <c r="X28" i="7"/>
  <c r="U9" i="7"/>
  <c r="U16" i="7"/>
  <c r="U8" i="7"/>
  <c r="M26" i="7"/>
  <c r="P23" i="7"/>
  <c r="U28" i="7"/>
  <c r="U15" i="7"/>
  <c r="M6" i="7"/>
  <c r="U24" i="7"/>
  <c r="P28" i="7"/>
  <c r="M32" i="7"/>
  <c r="P31" i="7"/>
  <c r="M7" i="7"/>
  <c r="M24" i="7"/>
  <c r="U14" i="7"/>
  <c r="P17" i="7"/>
  <c r="U30" i="7"/>
  <c r="P9" i="7"/>
  <c r="U7" i="7"/>
  <c r="M13" i="7"/>
  <c r="M11" i="7"/>
  <c r="M20" i="7"/>
  <c r="M10" i="7"/>
  <c r="M28" i="7"/>
  <c r="P30" i="7"/>
  <c r="P15" i="7"/>
  <c r="U26" i="7"/>
  <c r="P33" i="7"/>
  <c r="M34" i="7"/>
  <c r="P13" i="7"/>
  <c r="P26" i="7"/>
  <c r="U18" i="7"/>
  <c r="M22" i="7"/>
  <c r="S5" i="7"/>
  <c r="P5" i="7"/>
  <c r="X5" i="7"/>
  <c r="U5" i="7"/>
  <c r="M5" i="7"/>
  <c r="Z5" i="7"/>
  <c r="AX6" i="6"/>
  <c r="AZ7" i="6"/>
  <c r="BB8" i="6"/>
  <c r="AV6" i="6"/>
  <c r="BD10" i="6"/>
  <c r="AG8" i="6"/>
  <c r="AH14" i="6"/>
  <c r="AL12" i="6"/>
  <c r="I17" i="6"/>
  <c r="AS12" i="6"/>
  <c r="R10" i="6"/>
  <c r="AH9" i="6"/>
  <c r="AO8" i="6"/>
  <c r="S8" i="6"/>
  <c r="AW15" i="6"/>
  <c r="AX12" i="6"/>
  <c r="AD17" i="6"/>
  <c r="AL21" i="6"/>
  <c r="BA14" i="6"/>
  <c r="AE21" i="6"/>
  <c r="K15" i="6"/>
  <c r="AK21" i="6"/>
  <c r="O15" i="6"/>
  <c r="AM21" i="6"/>
  <c r="AI21" i="6"/>
  <c r="AC28" i="6"/>
  <c r="W6" i="6"/>
  <c r="BJ9" i="6"/>
  <c r="AA9" i="6"/>
  <c r="M9" i="6"/>
  <c r="O16" i="6"/>
  <c r="T13" i="6"/>
  <c r="AX17" i="6"/>
  <c r="X7" i="6"/>
  <c r="H9" i="6"/>
  <c r="B7" i="6"/>
  <c r="J11" i="6"/>
  <c r="C9" i="6"/>
  <c r="AX14" i="6"/>
  <c r="BG12" i="6"/>
  <c r="Y17" i="6"/>
  <c r="D13" i="6"/>
  <c r="O6" i="6"/>
  <c r="BF9" i="6"/>
  <c r="S9" i="6"/>
  <c r="BG8" i="6"/>
  <c r="K16" i="6"/>
  <c r="O13" i="6"/>
  <c r="AT17" i="6"/>
  <c r="BB21" i="6"/>
  <c r="AJ15" i="6"/>
  <c r="AZ21" i="6"/>
  <c r="AU15" i="6"/>
  <c r="BG21" i="6"/>
  <c r="AV15" i="6"/>
  <c r="BH21" i="6"/>
  <c r="BF22" i="6"/>
  <c r="AS28" i="6"/>
  <c r="AQ6" i="6"/>
  <c r="T10" i="6"/>
  <c r="M10" i="6"/>
  <c r="BA9" i="6"/>
  <c r="T7" i="6"/>
  <c r="E7" i="6"/>
  <c r="V9" i="6"/>
  <c r="AD13" i="6"/>
  <c r="AK12" i="6"/>
  <c r="AH10" i="6"/>
  <c r="AK15" i="6"/>
  <c r="AO10" i="6"/>
  <c r="N8" i="6"/>
  <c r="AD7" i="6"/>
  <c r="B13" i="6"/>
  <c r="AW13" i="6"/>
  <c r="AI13" i="6"/>
  <c r="BC9" i="6"/>
  <c r="BF15" i="6"/>
  <c r="D20" i="6"/>
  <c r="L24" i="6"/>
  <c r="AA19" i="6"/>
  <c r="AX24" i="6"/>
  <c r="AG19" i="6"/>
  <c r="BC24" i="6"/>
  <c r="AI19" i="6"/>
  <c r="BD24" i="6"/>
  <c r="BE26" i="6"/>
  <c r="AP8" i="6"/>
  <c r="BF7" i="6"/>
  <c r="Z13" i="6"/>
  <c r="V14" i="6"/>
  <c r="J14" i="6"/>
  <c r="AI10" i="6"/>
  <c r="P16" i="6"/>
  <c r="X20" i="6"/>
  <c r="AJ8" i="6"/>
  <c r="AY14" i="6"/>
  <c r="BJ11" i="6"/>
  <c r="J15" i="6"/>
  <c r="BD23" i="6"/>
  <c r="B24" i="6"/>
  <c r="X12" i="6"/>
  <c r="BK9" i="6"/>
  <c r="H20" i="6"/>
  <c r="D10" i="6"/>
  <c r="U9" i="6"/>
  <c r="AE13" i="6"/>
  <c r="AX21" i="6"/>
  <c r="I18" i="6"/>
  <c r="AU8" i="6"/>
  <c r="BA21" i="6"/>
  <c r="Q18" i="6"/>
  <c r="AI12" i="6"/>
  <c r="AO28" i="6"/>
  <c r="BE32" i="6"/>
  <c r="AV28" i="6"/>
  <c r="D25" i="6"/>
  <c r="L29" i="6"/>
  <c r="T33" i="6"/>
  <c r="AN30" i="6"/>
  <c r="AO25" i="6"/>
  <c r="AW29" i="6"/>
  <c r="BE33" i="6"/>
  <c r="AL31" i="6"/>
  <c r="BH5" i="6"/>
  <c r="R15" i="5"/>
  <c r="N28" i="5"/>
  <c r="C16" i="5"/>
  <c r="H7" i="5"/>
  <c r="D20" i="5"/>
  <c r="BD9" i="6"/>
  <c r="AX7" i="6"/>
  <c r="BF11" i="6"/>
  <c r="AG10" i="6"/>
  <c r="K7" i="6"/>
  <c r="BI13" i="6"/>
  <c r="AE7" i="6"/>
  <c r="J6" i="6"/>
  <c r="Q7" i="6"/>
  <c r="BH10" i="6"/>
  <c r="C11" i="6"/>
  <c r="AX10" i="6"/>
  <c r="M17" i="6"/>
  <c r="X14" i="6"/>
  <c r="AF18" i="6"/>
  <c r="AN22" i="6"/>
  <c r="H17" i="6"/>
  <c r="BB22" i="6"/>
  <c r="S17" i="6"/>
  <c r="BI22" i="6"/>
  <c r="T17" i="6"/>
  <c r="BJ22" i="6"/>
  <c r="W25" i="6"/>
  <c r="AL6" i="6"/>
  <c r="AS7" i="6"/>
  <c r="V11" i="6"/>
  <c r="AN11" i="6"/>
  <c r="Y11" i="6"/>
  <c r="AK17" i="6"/>
  <c r="AR14" i="6"/>
  <c r="AZ18" i="6"/>
  <c r="B6" i="6"/>
  <c r="J10" i="6"/>
  <c r="D8" i="6"/>
  <c r="L12" i="6"/>
  <c r="BB10" i="6"/>
  <c r="C8" i="6"/>
  <c r="S14" i="6"/>
  <c r="M8" i="6"/>
  <c r="AD6" i="6"/>
  <c r="AO7" i="6"/>
  <c r="R11" i="6"/>
  <c r="AC11" i="6"/>
  <c r="T11" i="6"/>
  <c r="AG17" i="6"/>
  <c r="AN14" i="6"/>
  <c r="AV18" i="6"/>
  <c r="BD22" i="6"/>
  <c r="AN17" i="6"/>
  <c r="M23" i="6"/>
  <c r="AY17" i="6"/>
  <c r="T23" i="6"/>
  <c r="AZ17" i="6"/>
  <c r="U23" i="6"/>
  <c r="AM25" i="6"/>
  <c r="BF6" i="6"/>
  <c r="L6" i="6"/>
  <c r="AT11" i="6"/>
  <c r="E12" i="6"/>
  <c r="AZ11" i="6"/>
  <c r="V8" i="6"/>
  <c r="P6" i="6"/>
  <c r="X10" i="6"/>
  <c r="G7" i="6"/>
  <c r="BH13" i="6"/>
  <c r="BE11" i="6"/>
  <c r="AM16" i="6"/>
  <c r="B12" i="6"/>
  <c r="AJ9" i="6"/>
  <c r="BD8" i="6"/>
  <c r="AK6" i="6"/>
  <c r="P15" i="6"/>
  <c r="I15" i="6"/>
  <c r="BA11" i="6"/>
  <c r="BH16" i="6"/>
  <c r="F21" i="6"/>
  <c r="S12" i="6"/>
  <c r="AX20" i="6"/>
  <c r="AT12" i="6"/>
  <c r="BE20" i="6"/>
  <c r="AY12" i="6"/>
  <c r="BF20" i="6"/>
  <c r="AX18" i="6"/>
  <c r="BG27" i="6"/>
  <c r="B10" i="6"/>
  <c r="R9" i="6"/>
  <c r="I8" i="6"/>
  <c r="AQ7" i="6"/>
  <c r="AG15" i="6"/>
  <c r="AC12" i="6"/>
  <c r="R17" i="6"/>
  <c r="Z21" i="6"/>
  <c r="AR12" i="6"/>
  <c r="O9" i="6"/>
  <c r="Z12" i="6"/>
  <c r="R19" i="6"/>
  <c r="AE18" i="6"/>
  <c r="I26" i="6"/>
  <c r="BK12" i="6"/>
  <c r="AZ13" i="6"/>
  <c r="B8" i="6"/>
  <c r="AZ12" i="6"/>
  <c r="X13" i="6"/>
  <c r="AX15" i="6"/>
  <c r="N23" i="6"/>
  <c r="BG19" i="6"/>
  <c r="AM15" i="6"/>
  <c r="AU23" i="6"/>
  <c r="E20" i="6"/>
  <c r="AK22" i="6"/>
  <c r="AY29" i="6"/>
  <c r="BG33" i="6"/>
  <c r="H32" i="6"/>
  <c r="F26" i="6"/>
  <c r="N30" i="6"/>
  <c r="V34" i="6"/>
  <c r="BB33" i="6"/>
  <c r="AQ26" i="6"/>
  <c r="AY30" i="6"/>
  <c r="BG34" i="6"/>
  <c r="AZ34" i="6"/>
  <c r="F6" i="5"/>
  <c r="B19" i="5"/>
  <c r="K6" i="5"/>
  <c r="G19" i="5"/>
  <c r="L10" i="5"/>
  <c r="H23" i="5"/>
  <c r="AI6" i="6"/>
  <c r="BH12" i="6"/>
  <c r="AK9" i="6"/>
  <c r="AU9" i="6"/>
  <c r="AZ6" i="6"/>
  <c r="BA12" i="6"/>
  <c r="AC8" i="6"/>
  <c r="AH19" i="6"/>
  <c r="AT18" i="6"/>
  <c r="BA18" i="6"/>
  <c r="BB18" i="6"/>
  <c r="Y26" i="6"/>
  <c r="N7" i="6"/>
  <c r="AB13" i="6"/>
  <c r="W9" i="6"/>
  <c r="BB19" i="6"/>
  <c r="AY6" i="6"/>
  <c r="N13" i="6"/>
  <c r="G10" i="6"/>
  <c r="Q10" i="6"/>
  <c r="J7" i="6"/>
  <c r="W13" i="6"/>
  <c r="G9" i="6"/>
  <c r="AX19" i="6"/>
  <c r="E19" i="6"/>
  <c r="L19" i="6"/>
  <c r="M19" i="6"/>
  <c r="AO26" i="6"/>
  <c r="AL7" i="6"/>
  <c r="BC13" i="6"/>
  <c r="X9" i="6"/>
  <c r="Z11" i="6"/>
  <c r="D15" i="6"/>
  <c r="AO17" i="6"/>
  <c r="AM6" i="6"/>
  <c r="BG9" i="6"/>
  <c r="AE16" i="6"/>
  <c r="BJ17" i="6"/>
  <c r="F16" i="6"/>
  <c r="Q16" i="6"/>
  <c r="R16" i="6"/>
  <c r="S24" i="6"/>
  <c r="BK6" i="6"/>
  <c r="AQ10" i="6"/>
  <c r="BG16" i="6"/>
  <c r="T18" i="6"/>
  <c r="AI11" i="6"/>
  <c r="K12" i="6"/>
  <c r="BK23" i="6"/>
  <c r="AW12" i="6"/>
  <c r="AA6" i="6"/>
  <c r="S16" i="6"/>
  <c r="G8" i="6"/>
  <c r="O18" i="6"/>
  <c r="BC21" i="6"/>
  <c r="BA30" i="6"/>
  <c r="BI7" i="6"/>
  <c r="P31" i="6"/>
  <c r="AE17" i="6"/>
  <c r="BA31" i="6"/>
  <c r="C5" i="6"/>
  <c r="F22" i="5"/>
  <c r="K22" i="5"/>
  <c r="L26" i="5"/>
  <c r="M17" i="5"/>
  <c r="U16" i="5"/>
  <c r="E25" i="5"/>
  <c r="J5" i="5"/>
  <c r="AD9" i="6"/>
  <c r="AT9" i="6"/>
  <c r="BI15" i="6"/>
  <c r="P20" i="6"/>
  <c r="K19" i="6"/>
  <c r="BI17" i="6"/>
  <c r="U7" i="6"/>
  <c r="BC10" i="6"/>
  <c r="BB7" i="6"/>
  <c r="AD10" i="6"/>
  <c r="AV19" i="6"/>
  <c r="BD19" i="6"/>
  <c r="P8" i="6"/>
  <c r="Q17" i="6"/>
  <c r="AJ18" i="6"/>
  <c r="BJ7" i="6"/>
  <c r="Z14" i="6"/>
  <c r="AT10" i="6"/>
  <c r="AB20" i="6"/>
  <c r="N16" i="6"/>
  <c r="E24" i="6"/>
  <c r="AD20" i="6"/>
  <c r="Z16" i="6"/>
  <c r="M24" i="6"/>
  <c r="AM27" i="6"/>
  <c r="I32" i="6"/>
  <c r="AB26" i="6"/>
  <c r="S21" i="6"/>
  <c r="Z28" i="6"/>
  <c r="AH32" i="6"/>
  <c r="P28" i="6"/>
  <c r="AC24" i="6"/>
  <c r="BK28" i="6"/>
  <c r="I33" i="6"/>
  <c r="AL29" i="6"/>
  <c r="AW5" i="6"/>
  <c r="J13" i="5"/>
  <c r="F26" i="5"/>
  <c r="AN10" i="6"/>
  <c r="BC16" i="6"/>
  <c r="BC7" i="6"/>
  <c r="N17" i="6"/>
  <c r="G14" i="6"/>
  <c r="AK7" i="6"/>
  <c r="BJ13" i="6"/>
  <c r="O11" i="6"/>
  <c r="U11" i="6"/>
  <c r="L8" i="6"/>
  <c r="AL14" i="6"/>
  <c r="BE10" i="6"/>
  <c r="AJ20" i="6"/>
  <c r="G20" i="6"/>
  <c r="N20" i="6"/>
  <c r="O20" i="6"/>
  <c r="AA27" i="6"/>
  <c r="AN8" i="6"/>
  <c r="BJ14" i="6"/>
  <c r="AF11" i="6"/>
  <c r="BD20" i="6"/>
  <c r="BA7" i="6"/>
  <c r="E6" i="6"/>
  <c r="AJ11" i="6"/>
  <c r="AQ11" i="6"/>
  <c r="AF8" i="6"/>
  <c r="BF14" i="6"/>
  <c r="AA11" i="6"/>
  <c r="AZ20" i="6"/>
  <c r="AC20" i="6"/>
  <c r="AI20" i="6"/>
  <c r="AK20" i="6"/>
  <c r="AQ27" i="6"/>
  <c r="BH8" i="6"/>
  <c r="Y6" i="6"/>
  <c r="C6" i="6"/>
  <c r="AB12" i="6"/>
  <c r="AI8" i="6"/>
  <c r="AS8" i="6"/>
  <c r="H6" i="6"/>
  <c r="BI11" i="6"/>
  <c r="M6" i="6"/>
  <c r="B19" i="6"/>
  <c r="C18" i="6"/>
  <c r="J18" i="6"/>
  <c r="K18" i="6"/>
  <c r="BC25" i="6"/>
  <c r="AJ6" i="6"/>
  <c r="AE12" i="6"/>
  <c r="BG7" i="6"/>
  <c r="V19" i="6"/>
  <c r="E9" i="6"/>
  <c r="AU7" i="6"/>
  <c r="AG18" i="6"/>
  <c r="AI16" i="6"/>
  <c r="V7" i="6"/>
  <c r="AE9" i="6"/>
  <c r="AB15" i="6"/>
  <c r="C20" i="6"/>
  <c r="AV23" i="6"/>
  <c r="BC31" i="6"/>
  <c r="BE19" i="6"/>
  <c r="R32" i="6"/>
  <c r="G23" i="6"/>
  <c r="BC32" i="6"/>
  <c r="B5" i="6"/>
  <c r="J25" i="5"/>
  <c r="O25" i="5"/>
  <c r="P29" i="5"/>
  <c r="U28" i="5"/>
  <c r="O28" i="5"/>
  <c r="C32" i="5"/>
  <c r="AB7" i="6"/>
  <c r="P12" i="6"/>
  <c r="BE8" i="6"/>
  <c r="Y10" i="6"/>
  <c r="AJ22" i="6"/>
  <c r="AJ21" i="6"/>
  <c r="Y20" i="6"/>
  <c r="AL9" i="6"/>
  <c r="BA15" i="6"/>
  <c r="V13" i="6"/>
  <c r="L16" i="6"/>
  <c r="AI7" i="6"/>
  <c r="AG9" i="6"/>
  <c r="AX13" i="6"/>
  <c r="E11" i="6"/>
  <c r="AN20" i="6"/>
  <c r="AV10" i="6"/>
  <c r="AM10" i="6"/>
  <c r="P14" i="6"/>
  <c r="L22" i="6"/>
  <c r="AI18" i="6"/>
  <c r="BK10" i="6"/>
  <c r="W22" i="6"/>
  <c r="AQ18" i="6"/>
  <c r="AS16" i="6"/>
  <c r="C29" i="6"/>
  <c r="K33" i="6"/>
  <c r="AH29" i="6"/>
  <c r="T25" i="6"/>
  <c r="AB29" i="6"/>
  <c r="AJ33" i="6"/>
  <c r="AD31" i="6"/>
  <c r="BE25" i="6"/>
  <c r="C30" i="6"/>
  <c r="K34" i="6"/>
  <c r="X32" i="6"/>
  <c r="AR5" i="6"/>
  <c r="N16" i="5"/>
  <c r="J29" i="5"/>
  <c r="BK7" i="6"/>
  <c r="W12" i="6"/>
  <c r="AA7" i="6"/>
  <c r="V21" i="6"/>
  <c r="P21" i="6"/>
  <c r="M28" i="6"/>
  <c r="AA8" i="6"/>
  <c r="BH14" i="6"/>
  <c r="AB9" i="6"/>
  <c r="L14" i="6"/>
  <c r="BG14" i="6"/>
  <c r="AZ16" i="6"/>
  <c r="BB23" i="6"/>
  <c r="BC20" i="6"/>
  <c r="C17" i="6"/>
  <c r="AI24" i="6"/>
  <c r="BK20" i="6"/>
  <c r="O25" i="6"/>
  <c r="U30" i="6"/>
  <c r="AC34" i="6"/>
  <c r="AP33" i="6"/>
  <c r="AZ8" i="6"/>
  <c r="E15" i="6"/>
  <c r="T12" i="6"/>
  <c r="Z15" i="6"/>
  <c r="O24" i="6"/>
  <c r="W24" i="6"/>
  <c r="AV12" i="6"/>
  <c r="AT15" i="6"/>
  <c r="F9" i="6"/>
  <c r="U15" i="6"/>
  <c r="AN12" i="6"/>
  <c r="AP15" i="6"/>
  <c r="AH24" i="6"/>
  <c r="AN24" i="6"/>
  <c r="F13" i="6"/>
  <c r="R7" i="6"/>
  <c r="S13" i="6"/>
  <c r="P10" i="6"/>
  <c r="AO13" i="6"/>
  <c r="K22" i="6"/>
  <c r="S22" i="6"/>
  <c r="AR10" i="6"/>
  <c r="K14" i="6"/>
  <c r="L7" i="6"/>
  <c r="AN7" i="6"/>
  <c r="AQ9" i="6"/>
  <c r="AU21" i="6"/>
  <c r="BG25" i="6"/>
  <c r="H27" i="6"/>
  <c r="AS27" i="6"/>
  <c r="J9" i="5"/>
  <c r="P13" i="5"/>
  <c r="I33" i="5"/>
  <c r="Q15" i="5"/>
  <c r="Y8" i="6"/>
  <c r="AZ14" i="6"/>
  <c r="BI23" i="6"/>
  <c r="AT13" i="6"/>
  <c r="N14" i="6"/>
  <c r="BC19" i="6"/>
  <c r="AP14" i="6"/>
  <c r="AT8" i="6"/>
  <c r="O14" i="6"/>
  <c r="AH23" i="6"/>
  <c r="Y16" i="6"/>
  <c r="AE20" i="6"/>
  <c r="E30" i="6"/>
  <c r="BD32" i="6"/>
  <c r="AD30" i="6"/>
  <c r="AJ34" i="6"/>
  <c r="E31" i="6"/>
  <c r="AY5" i="6"/>
  <c r="R19" i="5"/>
  <c r="R14" i="6"/>
  <c r="AC15" i="6"/>
  <c r="M14" i="6"/>
  <c r="AP9" i="6"/>
  <c r="BG11" i="6"/>
  <c r="AW7" i="6"/>
  <c r="H15" i="6"/>
  <c r="AV14" i="6"/>
  <c r="AO12" i="6"/>
  <c r="AD24" i="6"/>
  <c r="AX22" i="6"/>
  <c r="AY22" i="6"/>
  <c r="BK27" i="6"/>
  <c r="AA33" i="6"/>
  <c r="BA16" i="6"/>
  <c r="AN27" i="6"/>
  <c r="AV31" i="6"/>
  <c r="BB25" i="6"/>
  <c r="V20" i="6"/>
  <c r="O28" i="6"/>
  <c r="W32" i="6"/>
  <c r="R27" i="6"/>
  <c r="AH5" i="6"/>
  <c r="B11" i="5"/>
  <c r="R23" i="5"/>
  <c r="G11" i="5"/>
  <c r="C24" i="5"/>
  <c r="H15" i="5"/>
  <c r="D28" i="5"/>
  <c r="U23" i="5"/>
  <c r="I23" i="5"/>
  <c r="M29" i="5"/>
  <c r="F6" i="6"/>
  <c r="AZ10" i="6"/>
  <c r="AF12" i="6"/>
  <c r="AW17" i="6"/>
  <c r="AP21" i="6"/>
  <c r="R20" i="6"/>
  <c r="Q19" i="6"/>
  <c r="BK17" i="6"/>
  <c r="BH23" i="6"/>
  <c r="AA31" i="6"/>
  <c r="X28" i="6"/>
  <c r="R26" i="6"/>
  <c r="AZ31" i="6"/>
  <c r="T30" i="6"/>
  <c r="BC26" i="6"/>
  <c r="AA32" i="6"/>
  <c r="N31" i="6"/>
  <c r="R6" i="5"/>
  <c r="B24" i="5"/>
  <c r="O15" i="5"/>
  <c r="D11" i="5"/>
  <c r="H28" i="5"/>
  <c r="U32" i="5"/>
  <c r="Q14" i="5"/>
  <c r="I6" i="6"/>
  <c r="AX16" i="6"/>
  <c r="AN6" i="6"/>
  <c r="U14" i="6"/>
  <c r="P23" i="6"/>
  <c r="AH18" i="6"/>
  <c r="AS21" i="6"/>
  <c r="R5" i="6"/>
  <c r="G15" i="5"/>
  <c r="H19" i="5"/>
  <c r="M32" i="5"/>
  <c r="K34" i="5"/>
  <c r="U6" i="6"/>
  <c r="BK13" i="6"/>
  <c r="X23" i="6"/>
  <c r="AL18" i="6"/>
  <c r="AI27" i="6"/>
  <c r="AW14" i="6"/>
  <c r="BB9" i="6"/>
  <c r="G16" i="6"/>
  <c r="AP13" i="6"/>
  <c r="AB16" i="6"/>
  <c r="AW9" i="6"/>
  <c r="C15" i="6"/>
  <c r="H14" i="6"/>
  <c r="AV16" i="6"/>
  <c r="H10" i="6"/>
  <c r="W16" i="6"/>
  <c r="D14" i="6"/>
  <c r="AR16" i="6"/>
  <c r="W11" i="6"/>
  <c r="O17" i="6"/>
  <c r="BA6" i="6"/>
  <c r="T8" i="6"/>
  <c r="AI14" i="6"/>
  <c r="AL11" i="6"/>
  <c r="BD14" i="6"/>
  <c r="AI23" i="6"/>
  <c r="AQ23" i="6"/>
  <c r="D12" i="6"/>
  <c r="N15" i="6"/>
  <c r="AB6" i="6"/>
  <c r="BD6" i="6"/>
  <c r="AG13" i="6"/>
  <c r="AN23" i="6"/>
  <c r="S27" i="6"/>
  <c r="J28" i="6"/>
  <c r="AU28" i="6"/>
  <c r="N12" i="5"/>
  <c r="T16" i="5"/>
  <c r="L33" i="5"/>
  <c r="P33" i="5"/>
  <c r="G6" i="6"/>
  <c r="AL17" i="6"/>
  <c r="AA13" i="6"/>
  <c r="BF12" i="6"/>
  <c r="E14" i="6"/>
  <c r="AY7" i="6"/>
  <c r="AE14" i="6"/>
  <c r="I7" i="6"/>
  <c r="BK16" i="6"/>
  <c r="AK10" i="6"/>
  <c r="AP18" i="6"/>
  <c r="Y22" i="6"/>
  <c r="G31" i="6"/>
  <c r="Q14" i="6"/>
  <c r="AF31" i="6"/>
  <c r="BI18" i="6"/>
  <c r="G32" i="6"/>
  <c r="AX5" i="6"/>
  <c r="B23" i="5"/>
  <c r="Q12" i="6"/>
  <c r="R12" i="6"/>
  <c r="Q21" i="6"/>
  <c r="AW8" i="6"/>
  <c r="B17" i="6"/>
  <c r="AR8" i="6"/>
  <c r="AE11" i="6"/>
  <c r="BD18" i="6"/>
  <c r="BB16" i="6"/>
  <c r="E13" i="6"/>
  <c r="K13" i="6"/>
  <c r="AJ24" i="6"/>
  <c r="S29" i="6"/>
  <c r="F20" i="6"/>
  <c r="AP22" i="6"/>
  <c r="AP28" i="6"/>
  <c r="AX32" i="6"/>
  <c r="F29" i="6"/>
  <c r="I25" i="6"/>
  <c r="Q29" i="6"/>
  <c r="Y33" i="6"/>
  <c r="P30" i="6"/>
  <c r="AG5" i="6"/>
  <c r="F14" i="5"/>
  <c r="B27" i="5"/>
  <c r="K14" i="5"/>
  <c r="G27" i="5"/>
  <c r="L18" i="5"/>
  <c r="H31" i="5"/>
  <c r="Q31" i="5"/>
  <c r="N31" i="5"/>
  <c r="O33" i="5"/>
  <c r="AX8" i="6"/>
  <c r="AL13" i="6"/>
  <c r="AY11" i="6"/>
  <c r="BI12" i="6"/>
  <c r="AD23" i="6"/>
  <c r="AW22" i="6"/>
  <c r="AQ21" i="6"/>
  <c r="Z20" i="6"/>
  <c r="AS26" i="6"/>
  <c r="AW32" i="6"/>
  <c r="AN32" i="6"/>
  <c r="AR27" i="6"/>
  <c r="L33" i="6"/>
  <c r="AB34" i="6"/>
  <c r="S28" i="6"/>
  <c r="AW33" i="6"/>
  <c r="BC5" i="6"/>
  <c r="F11" i="5"/>
  <c r="F28" i="5"/>
  <c r="S19" i="5"/>
  <c r="L15" i="5"/>
  <c r="E10" i="5"/>
  <c r="M6" i="5"/>
  <c r="U29" i="5"/>
  <c r="BG6" i="6"/>
  <c r="Y7" i="6"/>
  <c r="AP12" i="6"/>
  <c r="H23" i="6"/>
  <c r="BI26" i="6"/>
  <c r="BD27" i="6"/>
  <c r="AE28" i="6"/>
  <c r="R11" i="5"/>
  <c r="O21" i="5"/>
  <c r="P25" i="5"/>
  <c r="Q13" i="5"/>
  <c r="G5" i="5"/>
  <c r="X8" i="6"/>
  <c r="AP19" i="6"/>
  <c r="K17" i="6"/>
  <c r="AR21" i="6"/>
  <c r="AQ29" i="6"/>
  <c r="V29" i="6"/>
  <c r="V28" i="6"/>
  <c r="AG24" i="6"/>
  <c r="Q27" i="6"/>
  <c r="AE34" i="6"/>
  <c r="AC5" i="6"/>
  <c r="B25" i="5"/>
  <c r="C22" i="5"/>
  <c r="T22" i="5"/>
  <c r="U33" i="5"/>
  <c r="O32" i="5"/>
  <c r="AX9" i="6"/>
  <c r="C16" i="6"/>
  <c r="AF20" i="6"/>
  <c r="P19" i="6"/>
  <c r="AU18" i="6"/>
  <c r="AB17" i="6"/>
  <c r="BA24" i="6"/>
  <c r="O33" i="6"/>
  <c r="Z26" i="6"/>
  <c r="Z27" i="6"/>
  <c r="AU30" i="6"/>
  <c r="F5" i="6"/>
  <c r="J26" i="5"/>
  <c r="H10" i="5"/>
  <c r="U30" i="5"/>
  <c r="M5" i="5"/>
  <c r="Y15" i="6"/>
  <c r="AI33" i="6"/>
  <c r="BB30" i="6"/>
  <c r="AM26" i="6"/>
  <c r="AJ32" i="6"/>
  <c r="O10" i="5"/>
  <c r="BD11" i="6"/>
  <c r="AQ12" i="6"/>
  <c r="V24" i="6"/>
  <c r="M13" i="6"/>
  <c r="O12" i="6"/>
  <c r="H13" i="6"/>
  <c r="AM24" i="6"/>
  <c r="AS13" i="6"/>
  <c r="Y13" i="6"/>
  <c r="H22" i="6"/>
  <c r="BI28" i="6"/>
  <c r="AH6" i="6"/>
  <c r="BJ15" i="6"/>
  <c r="BC8" i="6"/>
  <c r="H21" i="6"/>
  <c r="O9" i="5"/>
  <c r="F33" i="5"/>
  <c r="I14" i="6"/>
  <c r="BC22" i="6"/>
  <c r="T20" i="6"/>
  <c r="AB14" i="6"/>
  <c r="T16" i="6"/>
  <c r="K24" i="6"/>
  <c r="M34" i="6"/>
  <c r="AL34" i="6"/>
  <c r="AM17" i="6"/>
  <c r="AL8" i="6"/>
  <c r="AQ13" i="6"/>
  <c r="M15" i="6"/>
  <c r="AD11" i="6"/>
  <c r="BH20" i="6"/>
  <c r="G19" i="6"/>
  <c r="I19" i="6"/>
  <c r="N27" i="6"/>
  <c r="AR29" i="6"/>
  <c r="P32" i="6"/>
  <c r="S30" i="6"/>
  <c r="N33" i="6"/>
  <c r="J17" i="5"/>
  <c r="O17" i="5"/>
  <c r="P21" i="5"/>
  <c r="U34" i="5"/>
  <c r="O27" i="5"/>
  <c r="AR7" i="6"/>
  <c r="H16" i="6"/>
  <c r="AG6" i="6"/>
  <c r="BE22" i="6"/>
  <c r="I34" i="6"/>
  <c r="D29" i="6"/>
  <c r="AQ20" i="6"/>
  <c r="AK16" i="6"/>
  <c r="J15" i="5"/>
  <c r="G24" i="5"/>
  <c r="E7" i="5"/>
  <c r="S34" i="5"/>
  <c r="BE15" i="6"/>
  <c r="AM19" i="6"/>
  <c r="B32" i="6"/>
  <c r="N24" i="5"/>
  <c r="M8" i="5"/>
  <c r="AF9" i="6"/>
  <c r="BJ23" i="6"/>
  <c r="AR24" i="6"/>
  <c r="AR34" i="6"/>
  <c r="J32" i="6"/>
  <c r="M25" i="6"/>
  <c r="X26" i="6"/>
  <c r="F13" i="5"/>
  <c r="O16" i="5"/>
  <c r="H29" i="5"/>
  <c r="R31" i="5"/>
  <c r="K6" i="6"/>
  <c r="AY10" i="6"/>
  <c r="S7" i="6"/>
  <c r="AE15" i="6"/>
  <c r="BI19" i="6"/>
  <c r="AU29" i="6"/>
  <c r="AJ19" i="6"/>
  <c r="AV34" i="6"/>
  <c r="BC23" i="6"/>
  <c r="B20" i="5"/>
  <c r="T17" i="5"/>
  <c r="M11" i="5"/>
  <c r="AT14" i="6"/>
  <c r="BH30" i="6"/>
  <c r="AB28" i="6"/>
  <c r="AL25" i="6"/>
  <c r="C19" i="5"/>
  <c r="E18" i="5"/>
  <c r="C34" i="5"/>
  <c r="AJ13" i="6"/>
  <c r="AV22" i="6"/>
  <c r="AT20" i="6"/>
  <c r="BK25" i="6"/>
  <c r="J31" i="6"/>
  <c r="AP32" i="6"/>
  <c r="AW27" i="6"/>
  <c r="AT33" i="6"/>
  <c r="AJ10" i="6"/>
  <c r="B11" i="6"/>
  <c r="BE7" i="6"/>
  <c r="BB24" i="6"/>
  <c r="U28" i="6"/>
  <c r="BF28" i="6"/>
  <c r="AG29" i="6"/>
  <c r="B15" i="5"/>
  <c r="G23" i="5"/>
  <c r="H27" i="5"/>
  <c r="E20" i="5"/>
  <c r="P5" i="5"/>
  <c r="F11" i="6"/>
  <c r="B21" i="6"/>
  <c r="AK18" i="6"/>
  <c r="N22" i="6"/>
  <c r="Y30" i="6"/>
  <c r="AV30" i="6"/>
  <c r="AT28" i="6"/>
  <c r="J27" i="6"/>
  <c r="AK27" i="6"/>
  <c r="AY34" i="6"/>
  <c r="AV5" i="6"/>
  <c r="B26" i="5"/>
  <c r="C23" i="5"/>
  <c r="D25" i="5"/>
  <c r="U22" i="5"/>
  <c r="S33" i="5"/>
  <c r="N11" i="6"/>
  <c r="E17" i="6"/>
  <c r="N21" i="6"/>
  <c r="BA19" i="6"/>
  <c r="W19" i="6"/>
  <c r="F18" i="6"/>
  <c r="AY25" i="6"/>
  <c r="BC33" i="6"/>
  <c r="AT26" i="6"/>
  <c r="AD29" i="6"/>
  <c r="AC31" i="6"/>
  <c r="Y5" i="6"/>
  <c r="J28" i="5"/>
  <c r="L11" i="5"/>
  <c r="E33" i="5"/>
  <c r="N5" i="5"/>
  <c r="U17" i="6"/>
  <c r="AK34" i="6"/>
  <c r="AJ31" i="6"/>
  <c r="U27" i="6"/>
  <c r="AN34" i="6"/>
  <c r="O12" i="5"/>
  <c r="L27" i="5"/>
  <c r="M7" i="5"/>
  <c r="AA16" i="6"/>
  <c r="AR18" i="6"/>
  <c r="AO16" i="6"/>
  <c r="BG13" i="6"/>
  <c r="AG23" i="6"/>
  <c r="AL30" i="6"/>
  <c r="AS25" i="6"/>
  <c r="BJ27" i="6"/>
  <c r="AC6" i="6"/>
  <c r="G25" i="6"/>
  <c r="H12" i="6"/>
  <c r="AF19" i="6"/>
  <c r="BB20" i="6"/>
  <c r="AZ25" i="6"/>
  <c r="AA26" i="6"/>
  <c r="L5" i="6"/>
  <c r="K18" i="5"/>
  <c r="L22" i="5"/>
  <c r="S30" i="5"/>
  <c r="L31" i="5"/>
  <c r="D9" i="6"/>
  <c r="BD16" i="6"/>
  <c r="AP10" i="6"/>
  <c r="AY19" i="6"/>
  <c r="BE28" i="6"/>
  <c r="P26" i="6"/>
  <c r="T27" i="6"/>
  <c r="BF34" i="6"/>
  <c r="O26" i="6"/>
  <c r="AC33" i="6"/>
  <c r="J5" i="6"/>
  <c r="R21" i="5"/>
  <c r="S18" i="5"/>
  <c r="P20" i="5"/>
  <c r="E30" i="5"/>
  <c r="M27" i="5"/>
  <c r="F7" i="6"/>
  <c r="W14" i="6"/>
  <c r="J19" i="6"/>
  <c r="BH17" i="6"/>
  <c r="AA17" i="6"/>
  <c r="AF15" i="6"/>
  <c r="AZ19" i="6"/>
  <c r="AG32" i="6"/>
  <c r="BE24" i="6"/>
  <c r="BJ34" i="6"/>
  <c r="Y29" i="6"/>
  <c r="G5" i="6"/>
  <c r="F23" i="5"/>
  <c r="D6" i="5"/>
  <c r="Q16" i="5"/>
  <c r="M12" i="5"/>
  <c r="D11" i="6"/>
  <c r="AW30" i="6"/>
  <c r="H29" i="6"/>
  <c r="Q25" i="6"/>
  <c r="AR28" i="6"/>
  <c r="N30" i="5"/>
  <c r="D21" i="5"/>
  <c r="G28" i="5"/>
  <c r="BE6" i="6"/>
  <c r="AC17" i="6"/>
  <c r="U24" i="6"/>
  <c r="C22" i="6"/>
  <c r="AM33" i="6"/>
  <c r="AH28" i="6"/>
  <c r="BG17" i="6"/>
  <c r="AM34" i="6"/>
  <c r="R13" i="5"/>
  <c r="O22" i="5"/>
  <c r="C30" i="5"/>
  <c r="G33" i="5"/>
  <c r="F10" i="6"/>
  <c r="AA15" i="6"/>
  <c r="M30" i="5"/>
  <c r="F22" i="6"/>
  <c r="BH25" i="6"/>
  <c r="AE5" i="6"/>
  <c r="U15" i="5"/>
  <c r="F17" i="6"/>
  <c r="AV24" i="6"/>
  <c r="AO27" i="6"/>
  <c r="U10" i="5"/>
  <c r="D27" i="6"/>
  <c r="P14" i="5"/>
  <c r="AM20" i="6"/>
  <c r="BD30" i="6"/>
  <c r="R28" i="5"/>
  <c r="P28" i="5"/>
  <c r="K30" i="5"/>
  <c r="AP29" i="6"/>
  <c r="AD8" i="6"/>
  <c r="AT16" i="6"/>
  <c r="Z10" i="6"/>
  <c r="AM29" i="6"/>
  <c r="U22" i="6"/>
  <c r="L23" i="6"/>
  <c r="AM30" i="6"/>
  <c r="AK5" i="6"/>
  <c r="C10" i="5"/>
  <c r="P22" i="5"/>
  <c r="J31" i="5"/>
  <c r="AS15" i="6"/>
  <c r="AS23" i="6"/>
  <c r="AI22" i="6"/>
  <c r="Q13" i="6"/>
  <c r="AA14" i="6"/>
  <c r="BE9" i="6"/>
  <c r="BC14" i="6"/>
  <c r="AM13" i="6"/>
  <c r="AU14" i="6"/>
  <c r="AB11" i="6"/>
  <c r="R6" i="6"/>
  <c r="BB6" i="6"/>
  <c r="J23" i="6"/>
  <c r="P7" i="6"/>
  <c r="S6" i="6"/>
  <c r="D18" i="6"/>
  <c r="AN15" i="6"/>
  <c r="AD27" i="6"/>
  <c r="S12" i="5"/>
  <c r="I12" i="5"/>
  <c r="AO11" i="6"/>
  <c r="AJ7" i="6"/>
  <c r="Q6" i="6"/>
  <c r="AF16" i="6"/>
  <c r="X18" i="6"/>
  <c r="G11" i="6"/>
  <c r="AI15" i="6"/>
  <c r="F25" i="6"/>
  <c r="AF26" i="6"/>
  <c r="AF6" i="6"/>
  <c r="I21" i="6"/>
  <c r="AS6" i="6"/>
  <c r="AS11" i="6"/>
  <c r="AF22" i="6"/>
  <c r="BJ20" i="6"/>
  <c r="AK26" i="6"/>
  <c r="X30" i="6"/>
  <c r="AT30" i="6"/>
  <c r="AE10" i="6"/>
  <c r="U31" i="6"/>
  <c r="AI5" i="6"/>
  <c r="N20" i="5"/>
  <c r="S20" i="5"/>
  <c r="T24" i="5"/>
  <c r="M10" i="5"/>
  <c r="T5" i="5"/>
  <c r="BH6" i="6"/>
  <c r="BH18" i="6"/>
  <c r="I16" i="6"/>
  <c r="C7" i="6"/>
  <c r="AC21" i="6"/>
  <c r="Z30" i="6"/>
  <c r="AG25" i="6"/>
  <c r="AL27" i="6"/>
  <c r="N19" i="5"/>
  <c r="T6" i="5"/>
  <c r="Q24" i="5"/>
  <c r="AN9" i="6"/>
  <c r="AH17" i="6"/>
  <c r="AS14" i="6"/>
  <c r="AV26" i="6"/>
  <c r="S8" i="5"/>
  <c r="I14" i="5"/>
  <c r="AV8" i="6"/>
  <c r="AD18" i="6"/>
  <c r="S25" i="6"/>
  <c r="BK22" i="6"/>
  <c r="BD33" i="6"/>
  <c r="BG28" i="6"/>
  <c r="L32" i="6"/>
  <c r="N18" i="5"/>
  <c r="K27" i="5"/>
  <c r="E26" i="5"/>
  <c r="M19" i="5"/>
  <c r="K9" i="6"/>
  <c r="B15" i="6"/>
  <c r="V16" i="6"/>
  <c r="K21" i="6"/>
  <c r="E23" i="6"/>
  <c r="AE31" i="6"/>
  <c r="AX28" i="6"/>
  <c r="AK25" i="6"/>
  <c r="AH33" i="6"/>
  <c r="K7" i="5"/>
  <c r="H26" i="5"/>
  <c r="S31" i="5"/>
  <c r="AF14" i="6"/>
  <c r="AN21" i="6"/>
  <c r="T19" i="6"/>
  <c r="AS5" i="6"/>
  <c r="D7" i="5"/>
  <c r="M28" i="5"/>
  <c r="L5" i="5"/>
  <c r="H7" i="6"/>
  <c r="AD16" i="6"/>
  <c r="Y9" i="6"/>
  <c r="AE29" i="6"/>
  <c r="BI21" i="6"/>
  <c r="J22" i="6"/>
  <c r="AE30" i="6"/>
  <c r="AO5" i="6"/>
  <c r="F14" i="6"/>
  <c r="AK8" i="6"/>
  <c r="AH12" i="6"/>
  <c r="AA21" i="6"/>
  <c r="AO32" i="6"/>
  <c r="D33" i="6"/>
  <c r="AO33" i="6"/>
  <c r="R27" i="5"/>
  <c r="D8" i="5"/>
  <c r="M16" i="5"/>
  <c r="B34" i="5"/>
  <c r="AE6" i="6"/>
  <c r="L15" i="6"/>
  <c r="K10" i="6"/>
  <c r="AE23" i="6"/>
  <c r="M16" i="6"/>
  <c r="E32" i="6"/>
  <c r="BE12" i="6"/>
  <c r="AX30" i="6"/>
  <c r="AB32" i="6"/>
  <c r="U29" i="6"/>
  <c r="AF28" i="6"/>
  <c r="B9" i="5"/>
  <c r="C6" i="5"/>
  <c r="T7" i="5"/>
  <c r="H30" i="5"/>
  <c r="I19" i="5"/>
  <c r="U5" i="5"/>
  <c r="BG10" i="6"/>
  <c r="G12" i="6"/>
  <c r="F23" i="6"/>
  <c r="BG22" i="6"/>
  <c r="AV21" i="6"/>
  <c r="AP20" i="6"/>
  <c r="I28" i="6"/>
  <c r="AE22" i="6"/>
  <c r="AF29" i="6"/>
  <c r="BI16" i="6"/>
  <c r="BA33" i="6"/>
  <c r="F9" i="5"/>
  <c r="K9" i="5"/>
  <c r="T19" i="5"/>
  <c r="U24" i="5"/>
  <c r="T6" i="6"/>
  <c r="BB15" i="6"/>
  <c r="F33" i="6"/>
  <c r="R34" i="6"/>
  <c r="AA30" i="6"/>
  <c r="E5" i="6"/>
  <c r="G22" i="5"/>
  <c r="H33" i="5"/>
  <c r="Q23" i="5"/>
  <c r="F15" i="6"/>
  <c r="AT23" i="6"/>
  <c r="AF7" i="6"/>
  <c r="AP23" i="6"/>
  <c r="BH7" i="6"/>
  <c r="D7" i="6"/>
  <c r="BD7" i="6"/>
  <c r="BF23" i="6"/>
  <c r="R8" i="6"/>
  <c r="AI9" i="6"/>
  <c r="AS9" i="6"/>
  <c r="R22" i="6"/>
  <c r="AC10" i="6"/>
  <c r="Z23" i="6"/>
  <c r="BB17" i="6"/>
  <c r="BI34" i="6"/>
  <c r="AX25" i="6"/>
  <c r="Q11" i="5"/>
  <c r="N10" i="6"/>
  <c r="X24" i="6"/>
  <c r="BJ10" i="6"/>
  <c r="K27" i="6"/>
  <c r="AH13" i="6"/>
  <c r="W20" i="6"/>
  <c r="AK24" i="6"/>
  <c r="V26" i="6"/>
  <c r="BG26" i="6"/>
  <c r="B7" i="5"/>
  <c r="BH9" i="6"/>
  <c r="K20" i="6"/>
  <c r="F19" i="6"/>
  <c r="AS17" i="6"/>
  <c r="BJ18" i="6"/>
  <c r="D17" i="6"/>
  <c r="W31" i="6"/>
  <c r="AJ25" i="6"/>
  <c r="AZ33" i="6"/>
  <c r="K26" i="6"/>
  <c r="AA34" i="6"/>
  <c r="AB5" i="6"/>
  <c r="F30" i="5"/>
  <c r="T8" i="5"/>
  <c r="M24" i="5"/>
  <c r="R34" i="5"/>
  <c r="M7" i="6"/>
  <c r="AQ8" i="6"/>
  <c r="BJ12" i="6"/>
  <c r="F24" i="6"/>
  <c r="AG28" i="6"/>
  <c r="W17" i="6"/>
  <c r="AH34" i="6"/>
  <c r="AO29" i="6"/>
  <c r="AD5" i="6"/>
  <c r="C7" i="5"/>
  <c r="P19" i="5"/>
  <c r="E24" i="5"/>
  <c r="AY16" i="6"/>
  <c r="E8" i="6"/>
  <c r="AM31" i="6"/>
  <c r="AM32" i="6"/>
  <c r="L6" i="5"/>
  <c r="J32" i="5"/>
  <c r="G13" i="6"/>
  <c r="M22" i="6"/>
  <c r="AU31" i="6"/>
  <c r="AP26" i="6"/>
  <c r="R31" i="6"/>
  <c r="AQ30" i="6"/>
  <c r="K5" i="6"/>
  <c r="J30" i="5"/>
  <c r="H12" i="5"/>
  <c r="U19" i="5"/>
  <c r="P32" i="5"/>
  <c r="AD14" i="6"/>
  <c r="AP17" i="6"/>
  <c r="AO21" i="6"/>
  <c r="AJ23" i="6"/>
  <c r="L11" i="6"/>
  <c r="G17" i="6"/>
  <c r="L31" i="6"/>
  <c r="C28" i="6"/>
  <c r="F8" i="5"/>
  <c r="S15" i="5"/>
  <c r="K28" i="5"/>
  <c r="AU6" i="6"/>
  <c r="N19" i="6"/>
  <c r="AV27" i="6"/>
  <c r="AS29" i="6"/>
  <c r="J11" i="5"/>
  <c r="P16" i="5"/>
  <c r="E12" i="5"/>
  <c r="U12" i="6"/>
  <c r="BF8" i="6"/>
  <c r="P9" i="6"/>
  <c r="AU11" i="6"/>
  <c r="BF19" i="6"/>
  <c r="AR6" i="6"/>
  <c r="AW10" i="6"/>
  <c r="BI27" i="6"/>
  <c r="J21" i="6"/>
  <c r="Y32" i="6"/>
  <c r="AY21" i="6"/>
  <c r="E11" i="5"/>
  <c r="BC17" i="6"/>
  <c r="D26" i="6"/>
  <c r="T23" i="5"/>
  <c r="AW24" i="6"/>
  <c r="BK14" i="6"/>
  <c r="AC16" i="6"/>
  <c r="L17" i="5"/>
  <c r="AR22" i="6"/>
  <c r="AT29" i="6"/>
  <c r="K23" i="5"/>
  <c r="AN33" i="6"/>
  <c r="B33" i="5"/>
  <c r="BE21" i="6"/>
  <c r="Q32" i="6"/>
  <c r="AZ32" i="6"/>
  <c r="AH7" i="6"/>
  <c r="AL19" i="6"/>
  <c r="AR17" i="6"/>
  <c r="BB29" i="6"/>
  <c r="K10" i="5"/>
  <c r="Q20" i="5"/>
  <c r="L10" i="6"/>
  <c r="AQ19" i="6"/>
  <c r="AU25" i="6"/>
  <c r="P25" i="6"/>
  <c r="AM18" i="6"/>
  <c r="Z33" i="6"/>
  <c r="K12" i="5"/>
  <c r="L32" i="5"/>
  <c r="Z6" i="6"/>
  <c r="AL15" i="6"/>
  <c r="O8" i="6"/>
  <c r="AK23" i="6"/>
  <c r="BF31" i="6"/>
  <c r="S26" i="6"/>
  <c r="N15" i="5"/>
  <c r="L28" i="5"/>
  <c r="J13" i="6"/>
  <c r="X25" i="6"/>
  <c r="AG33" i="6"/>
  <c r="H9" i="5"/>
  <c r="Z8" i="6"/>
  <c r="N18" i="6"/>
  <c r="AU20" i="6"/>
  <c r="R33" i="6"/>
  <c r="AJ26" i="6"/>
  <c r="BI33" i="6"/>
  <c r="AL10" i="6"/>
  <c r="BC12" i="6"/>
  <c r="AZ22" i="6"/>
  <c r="AI29" i="6"/>
  <c r="F34" i="6"/>
  <c r="BF33" i="6"/>
  <c r="S24" i="5"/>
  <c r="G31" i="5"/>
  <c r="E31" i="5"/>
  <c r="BB13" i="6"/>
  <c r="G15" i="6"/>
  <c r="J16" i="6"/>
  <c r="AS30" i="6"/>
  <c r="O19" i="6"/>
  <c r="BB32" i="6"/>
  <c r="BE27" i="6"/>
  <c r="Z29" i="6"/>
  <c r="J16" i="5"/>
  <c r="G25" i="5"/>
  <c r="E6" i="5"/>
  <c r="Q6" i="5"/>
  <c r="AJ12" i="6"/>
  <c r="I13" i="6"/>
  <c r="U13" i="6"/>
  <c r="BH19" i="6"/>
  <c r="L21" i="6"/>
  <c r="AC30" i="6"/>
  <c r="AB27" i="6"/>
  <c r="C21" i="6"/>
  <c r="AJ30" i="6"/>
  <c r="N29" i="5"/>
  <c r="D22" i="5"/>
  <c r="I24" i="5"/>
  <c r="I9" i="6"/>
  <c r="BF10" i="6"/>
  <c r="AO23" i="6"/>
  <c r="AT25" i="6"/>
  <c r="BH15" i="6"/>
  <c r="Q22" i="6"/>
  <c r="F10" i="5"/>
  <c r="AK11" i="6"/>
  <c r="AL26" i="6"/>
  <c r="R7" i="5"/>
  <c r="Q18" i="5"/>
  <c r="AF13" i="6"/>
  <c r="BK30" i="6"/>
  <c r="R32" i="5"/>
  <c r="L28" i="6"/>
  <c r="AU10" i="6"/>
  <c r="AU32" i="6"/>
  <c r="I15" i="5"/>
  <c r="AP24" i="6"/>
  <c r="BH33" i="6"/>
  <c r="E16" i="5"/>
  <c r="AY32" i="6"/>
  <c r="AM14" i="6"/>
  <c r="Y14" i="6"/>
  <c r="BK8" i="6"/>
  <c r="BI24" i="6"/>
  <c r="AN13" i="6"/>
  <c r="Z9" i="6"/>
  <c r="BH24" i="6"/>
  <c r="Y25" i="6"/>
  <c r="S16" i="5"/>
  <c r="E34" i="5"/>
  <c r="V6" i="6"/>
  <c r="AL24" i="6"/>
  <c r="E28" i="6"/>
  <c r="BJ26" i="6"/>
  <c r="BA25" i="6"/>
  <c r="BB5" i="6"/>
  <c r="S17" i="5"/>
  <c r="E28" i="5"/>
  <c r="AG7" i="6"/>
  <c r="AB18" i="6"/>
  <c r="AG16" i="6"/>
  <c r="AU17" i="6"/>
  <c r="W23" i="6"/>
  <c r="AQ28" i="6"/>
  <c r="B22" i="5"/>
  <c r="Q8" i="5"/>
  <c r="AC9" i="6"/>
  <c r="AD28" i="6"/>
  <c r="AR26" i="6"/>
  <c r="T18" i="5"/>
  <c r="AR13" i="6"/>
  <c r="C23" i="6"/>
  <c r="BA26" i="6"/>
  <c r="H25" i="6"/>
  <c r="BH34" i="6"/>
  <c r="AQ5" i="6"/>
  <c r="P18" i="6"/>
  <c r="AP6" i="6"/>
  <c r="AO14" i="6"/>
  <c r="AQ33" i="6"/>
  <c r="BH32" i="6"/>
  <c r="F18" i="5"/>
  <c r="P9" i="5"/>
  <c r="E27" i="5"/>
  <c r="AT6" i="6"/>
  <c r="O10" i="6"/>
  <c r="BI20" i="6"/>
  <c r="AF23" i="6"/>
  <c r="AC32" i="6"/>
  <c r="AN25" i="6"/>
  <c r="D28" i="6"/>
  <c r="BI29" i="6"/>
  <c r="X34" i="6"/>
  <c r="F27" i="5"/>
  <c r="D9" i="5"/>
  <c r="U11" i="5"/>
  <c r="M20" i="5"/>
  <c r="J12" i="6"/>
  <c r="X16" i="6"/>
  <c r="AH20" i="6"/>
  <c r="AC22" i="6"/>
  <c r="R24" i="6"/>
  <c r="Q34" i="6"/>
  <c r="AZ29" i="6"/>
  <c r="BK26" i="6"/>
  <c r="AN5" i="6"/>
  <c r="O11" i="5"/>
  <c r="P30" i="5"/>
  <c r="BJ6" i="6"/>
  <c r="AJ16" i="6"/>
  <c r="B26" i="6"/>
  <c r="W28" i="6"/>
  <c r="T5" i="6"/>
  <c r="L12" i="5"/>
  <c r="I16" i="5"/>
  <c r="J17" i="6"/>
  <c r="U19" i="6"/>
  <c r="AG20" i="6"/>
  <c r="C10" i="6"/>
  <c r="AN28" i="6"/>
  <c r="BJ29" i="6"/>
  <c r="R30" i="5"/>
  <c r="P26" i="5"/>
  <c r="F5" i="5"/>
  <c r="AB21" i="6"/>
  <c r="P17" i="5"/>
  <c r="L17" i="6"/>
  <c r="I24" i="6"/>
  <c r="L16" i="5"/>
  <c r="T15" i="6"/>
  <c r="S15" i="6"/>
  <c r="G21" i="5"/>
  <c r="P13" i="6"/>
  <c r="W7" i="6"/>
  <c r="AD26" i="6"/>
  <c r="G16" i="5"/>
  <c r="U8" i="5"/>
  <c r="R30" i="6"/>
  <c r="BI9" i="6"/>
  <c r="BE14" i="6"/>
  <c r="E26" i="6"/>
  <c r="P27" i="6"/>
  <c r="E25" i="6"/>
  <c r="H34" i="6"/>
  <c r="O18" i="5"/>
  <c r="E19" i="5"/>
  <c r="J9" i="6"/>
  <c r="AI17" i="6"/>
  <c r="Q28" i="6"/>
  <c r="AJ29" i="6"/>
  <c r="AK33" i="6"/>
  <c r="U20" i="6"/>
  <c r="AS33" i="6"/>
  <c r="P12" i="5"/>
  <c r="L30" i="6"/>
  <c r="E23" i="5"/>
  <c r="AC18" i="6"/>
  <c r="N29" i="6"/>
  <c r="H17" i="5"/>
  <c r="P11" i="6"/>
  <c r="BJ28" i="6"/>
  <c r="N27" i="5"/>
  <c r="D34" i="5"/>
  <c r="C19" i="6"/>
  <c r="S6" i="5"/>
  <c r="S10" i="6"/>
  <c r="I27" i="6"/>
  <c r="T11" i="5"/>
  <c r="AA22" i="6"/>
  <c r="BJ32" i="6"/>
  <c r="BG30" i="6"/>
  <c r="F15" i="5"/>
  <c r="BG15" i="6"/>
  <c r="T21" i="6"/>
  <c r="N8" i="5"/>
  <c r="Q5" i="5"/>
  <c r="G21" i="6"/>
  <c r="D19" i="6"/>
  <c r="R22" i="5"/>
  <c r="O31" i="5"/>
  <c r="AO18" i="6"/>
  <c r="BA32" i="6"/>
  <c r="AT5" i="6"/>
  <c r="O29" i="5"/>
  <c r="BI25" i="6"/>
  <c r="O30" i="5"/>
  <c r="K23" i="6"/>
  <c r="AU19" i="6"/>
  <c r="G18" i="5"/>
  <c r="I26" i="5"/>
  <c r="BJ25" i="6"/>
  <c r="G28" i="6"/>
  <c r="AQ14" i="6"/>
  <c r="S23" i="6"/>
  <c r="BA20" i="6"/>
  <c r="C33" i="6"/>
  <c r="BH27" i="6"/>
  <c r="AE8" i="6"/>
  <c r="C34" i="6"/>
  <c r="B12" i="5"/>
  <c r="O20" i="5"/>
  <c r="E14" i="5"/>
  <c r="K31" i="5"/>
  <c r="R21" i="6"/>
  <c r="BF18" i="6"/>
  <c r="AE25" i="6"/>
  <c r="J26" i="6"/>
  <c r="K30" i="6"/>
  <c r="BK15" i="6"/>
  <c r="AC25" i="6"/>
  <c r="K21" i="5"/>
  <c r="G32" i="5"/>
  <c r="T10" i="5"/>
  <c r="AS22" i="6"/>
  <c r="BC28" i="6"/>
  <c r="C26" i="5"/>
  <c r="U26" i="5"/>
  <c r="H28" i="6"/>
  <c r="R14" i="5"/>
  <c r="L34" i="5"/>
  <c r="Y12" i="6"/>
  <c r="B33" i="6"/>
  <c r="AD15" i="6"/>
  <c r="AS24" i="6"/>
  <c r="BA17" i="6"/>
  <c r="AA24" i="6"/>
  <c r="O24" i="5"/>
  <c r="AK32" i="6"/>
  <c r="B29" i="6"/>
  <c r="AR19" i="6"/>
  <c r="T29" i="6"/>
  <c r="N5" i="6"/>
  <c r="I27" i="5"/>
  <c r="W21" i="6"/>
  <c r="BC6" i="6"/>
  <c r="I29" i="5"/>
  <c r="W10" i="6"/>
  <c r="AK30" i="6"/>
  <c r="T9" i="6"/>
  <c r="AR9" i="6"/>
  <c r="V12" i="6"/>
  <c r="BD28" i="6"/>
  <c r="AH8" i="6"/>
  <c r="Q26" i="6"/>
  <c r="N9" i="6"/>
  <c r="AQ22" i="6"/>
  <c r="BB34" i="6"/>
  <c r="C8" i="5"/>
  <c r="H8" i="6"/>
  <c r="BK29" i="6"/>
  <c r="I5" i="6"/>
  <c r="AL16" i="6"/>
  <c r="T12" i="5"/>
  <c r="AE33" i="6"/>
  <c r="B8" i="5"/>
  <c r="E5" i="5"/>
  <c r="AW11" i="6"/>
  <c r="M33" i="6"/>
  <c r="AB10" i="6"/>
  <c r="F24" i="5"/>
  <c r="K8" i="6"/>
  <c r="AC19" i="6"/>
  <c r="L27" i="6"/>
  <c r="Q33" i="6"/>
  <c r="AG22" i="6"/>
  <c r="AD21" i="6"/>
  <c r="BF27" i="6"/>
  <c r="AZ30" i="6"/>
  <c r="L14" i="5"/>
  <c r="U27" i="5"/>
  <c r="AU16" i="6"/>
  <c r="X15" i="6"/>
  <c r="AY33" i="6"/>
  <c r="AD32" i="6"/>
  <c r="Y31" i="6"/>
  <c r="J14" i="5"/>
  <c r="H13" i="5"/>
  <c r="R33" i="5"/>
  <c r="AO6" i="6"/>
  <c r="Q11" i="6"/>
  <c r="Q24" i="6"/>
  <c r="I30" i="6"/>
  <c r="BD31" i="6"/>
  <c r="AX27" i="6"/>
  <c r="C18" i="5"/>
  <c r="I20" i="5"/>
  <c r="V22" i="6"/>
  <c r="AF30" i="6"/>
  <c r="N14" i="5"/>
  <c r="E32" i="5"/>
  <c r="X6" i="6"/>
  <c r="B22" i="6"/>
  <c r="M30" i="6"/>
  <c r="AZ27" i="6"/>
  <c r="AA28" i="6"/>
  <c r="BD5" i="6"/>
  <c r="AW16" i="6"/>
  <c r="AA12" i="6"/>
  <c r="O23" i="6"/>
  <c r="Z31" i="6"/>
  <c r="AI30" i="6"/>
  <c r="B31" i="5"/>
  <c r="D16" i="5"/>
  <c r="M26" i="5"/>
  <c r="D6" i="6"/>
  <c r="BA8" i="6"/>
  <c r="AW19" i="6"/>
  <c r="AE19" i="6"/>
  <c r="AG34" i="6"/>
  <c r="X29" i="6"/>
  <c r="V33" i="6"/>
  <c r="AS31" i="6"/>
  <c r="X5" i="6"/>
  <c r="G8" i="5"/>
  <c r="H14" i="5"/>
  <c r="H32" i="5"/>
  <c r="S5" i="5"/>
  <c r="AY8" i="6"/>
  <c r="AT21" i="6"/>
  <c r="AC23" i="6"/>
  <c r="AU24" i="6"/>
  <c r="U26" i="6"/>
  <c r="AN26" i="6"/>
  <c r="AL32" i="6"/>
  <c r="AW31" i="6"/>
  <c r="J10" i="5"/>
  <c r="G20" i="5"/>
  <c r="I34" i="5"/>
  <c r="AP7" i="6"/>
  <c r="AW21" i="6"/>
  <c r="N32" i="6"/>
  <c r="I31" i="6"/>
  <c r="R17" i="5"/>
  <c r="L29" i="5"/>
  <c r="D33" i="5"/>
  <c r="BB11" i="6"/>
  <c r="U18" i="6"/>
  <c r="AY27" i="6"/>
  <c r="AV25" i="6"/>
  <c r="W26" i="6"/>
  <c r="BJ5" i="6"/>
  <c r="C14" i="5"/>
  <c r="I31" i="5"/>
  <c r="E10" i="6"/>
  <c r="T34" i="6"/>
  <c r="S32" i="5"/>
  <c r="G27" i="6"/>
  <c r="C32" i="6"/>
  <c r="Q10" i="5"/>
  <c r="AV13" i="6"/>
  <c r="P33" i="6"/>
  <c r="I28" i="5"/>
  <c r="AS18" i="6"/>
  <c r="X11" i="6"/>
  <c r="AI32" i="6"/>
  <c r="S26" i="5"/>
  <c r="E17" i="5"/>
  <c r="AU26" i="6"/>
  <c r="AN16" i="6"/>
  <c r="AY20" i="6"/>
  <c r="U32" i="6"/>
  <c r="B30" i="6"/>
  <c r="BA27" i="6"/>
  <c r="R9" i="5"/>
  <c r="C27" i="5"/>
  <c r="P31" i="5"/>
  <c r="BJ19" i="6"/>
  <c r="AH22" i="6"/>
  <c r="O31" i="6"/>
  <c r="Z34" i="6"/>
  <c r="BK5" i="6"/>
  <c r="AS32" i="6"/>
  <c r="J8" i="5"/>
  <c r="T29" i="5"/>
  <c r="N25" i="6"/>
  <c r="O34" i="5"/>
  <c r="L26" i="6"/>
  <c r="B13" i="5"/>
  <c r="I21" i="5"/>
  <c r="BF24" i="6"/>
  <c r="BK19" i="6"/>
  <c r="K19" i="5"/>
  <c r="Q28" i="5"/>
  <c r="BK31" i="6"/>
  <c r="P23" i="5"/>
  <c r="AQ31" i="6"/>
  <c r="BJ31" i="6"/>
  <c r="I10" i="5"/>
  <c r="I12" i="6"/>
  <c r="BG32" i="6"/>
  <c r="F21" i="5"/>
  <c r="U13" i="5"/>
  <c r="AU13" i="6"/>
  <c r="AI25" i="6"/>
  <c r="C20" i="5"/>
  <c r="AC7" i="6"/>
  <c r="W29" i="6"/>
  <c r="AI26" i="6"/>
  <c r="C21" i="5"/>
  <c r="AB8" i="6"/>
  <c r="E18" i="6"/>
  <c r="AR25" i="6"/>
  <c r="F25" i="5"/>
  <c r="AC13" i="6"/>
  <c r="AX29" i="6"/>
  <c r="F12" i="6"/>
  <c r="U34" i="6"/>
  <c r="N9" i="5"/>
  <c r="L7" i="5"/>
  <c r="Q25" i="5"/>
  <c r="AB25" i="6"/>
  <c r="S34" i="6"/>
  <c r="AD19" i="6"/>
  <c r="BE16" i="6"/>
  <c r="AQ15" i="6"/>
  <c r="J25" i="6"/>
  <c r="AP30" i="6"/>
  <c r="AW25" i="6"/>
  <c r="T28" i="6"/>
  <c r="J20" i="5"/>
  <c r="P7" i="5"/>
  <c r="Q27" i="5"/>
  <c r="D5" i="5"/>
  <c r="AM11" i="6"/>
  <c r="AZ23" i="6"/>
  <c r="K29" i="6"/>
  <c r="BF30" i="6"/>
  <c r="BK34" i="6"/>
  <c r="B25" i="6"/>
  <c r="F27" i="6"/>
  <c r="D17" i="5"/>
  <c r="Z32" i="6"/>
  <c r="Q32" i="5"/>
  <c r="AE27" i="6"/>
  <c r="O5" i="6"/>
  <c r="L21" i="5"/>
  <c r="AH21" i="6"/>
  <c r="AR31" i="6"/>
  <c r="O6" i="5"/>
  <c r="Q21" i="5"/>
  <c r="BG23" i="6"/>
  <c r="K15" i="5"/>
  <c r="L13" i="6"/>
  <c r="J12" i="5"/>
  <c r="K32" i="6"/>
  <c r="M18" i="6"/>
  <c r="L24" i="5"/>
  <c r="L34" i="6"/>
  <c r="AU12" i="6"/>
  <c r="AA18" i="6"/>
  <c r="F31" i="6"/>
  <c r="R24" i="5"/>
  <c r="I11" i="6"/>
  <c r="AG30" i="6"/>
  <c r="AD12" i="6"/>
  <c r="O19" i="5"/>
  <c r="BI10" i="6"/>
  <c r="BJ30" i="6"/>
  <c r="L30" i="5"/>
  <c r="B23" i="6"/>
  <c r="AX33" i="6"/>
  <c r="Z25" i="6"/>
  <c r="D27" i="5"/>
  <c r="BI8" i="6"/>
  <c r="X19" i="6"/>
  <c r="AR32" i="6"/>
  <c r="P15" i="5"/>
  <c r="AJ28" i="6"/>
  <c r="C17" i="5"/>
  <c r="BF21" i="6"/>
  <c r="BH31" i="6"/>
  <c r="J24" i="5"/>
  <c r="H22" i="5"/>
  <c r="Q30" i="5"/>
  <c r="AR33" i="6"/>
  <c r="BI5" i="6"/>
  <c r="AO9" i="6"/>
  <c r="Y23" i="6"/>
  <c r="BC27" i="6"/>
  <c r="AG11" i="6"/>
  <c r="J34" i="6"/>
  <c r="M29" i="6"/>
  <c r="BF5" i="6"/>
  <c r="F31" i="5"/>
  <c r="H18" i="5"/>
  <c r="M18" i="5"/>
  <c r="C14" i="6"/>
  <c r="O21" i="6"/>
  <c r="BG18" i="6"/>
  <c r="S33" i="6"/>
  <c r="AP27" i="6"/>
  <c r="U5" i="6"/>
  <c r="AF32" i="6"/>
  <c r="F8" i="6"/>
  <c r="BJ8" i="6"/>
  <c r="M27" i="6"/>
  <c r="K11" i="5"/>
  <c r="G10" i="5"/>
  <c r="O27" i="6"/>
  <c r="BD29" i="6"/>
  <c r="C24" i="6"/>
  <c r="AH15" i="6"/>
  <c r="E33" i="6"/>
  <c r="C13" i="6"/>
  <c r="AP34" i="6"/>
  <c r="AA29" i="6"/>
  <c r="AY13" i="6"/>
  <c r="M31" i="6"/>
  <c r="AN19" i="6"/>
  <c r="T28" i="5"/>
  <c r="AQ24" i="6"/>
  <c r="Z22" i="6"/>
  <c r="D26" i="5"/>
  <c r="AL23" i="6"/>
  <c r="BJ33" i="6"/>
  <c r="L13" i="5"/>
  <c r="AH25" i="6"/>
  <c r="AI34" i="6"/>
  <c r="Q12" i="5"/>
  <c r="AR20" i="6"/>
  <c r="BE30" i="6"/>
  <c r="I29" i="6"/>
  <c r="L9" i="5"/>
  <c r="AM22" i="6"/>
  <c r="BD12" i="6"/>
  <c r="N17" i="5"/>
  <c r="W8" i="6"/>
  <c r="S11" i="6"/>
  <c r="V18" i="6"/>
  <c r="T15" i="5"/>
  <c r="O32" i="6"/>
  <c r="AS19" i="6"/>
  <c r="AT32" i="6"/>
  <c r="J18" i="5"/>
  <c r="Q26" i="5"/>
  <c r="BD15" i="6"/>
  <c r="AG14" i="6"/>
  <c r="AJ27" i="6"/>
  <c r="M34" i="5"/>
  <c r="L20" i="6"/>
  <c r="B30" i="5"/>
  <c r="AT22" i="6"/>
  <c r="T14" i="5"/>
  <c r="AN29" i="6"/>
  <c r="BC18" i="6"/>
  <c r="U18" i="5"/>
  <c r="AV17" i="6"/>
  <c r="AY23" i="6"/>
  <c r="BB26" i="6"/>
  <c r="L18" i="6"/>
  <c r="G34" i="6"/>
  <c r="Q15" i="6"/>
  <c r="R25" i="6"/>
  <c r="M32" i="6"/>
  <c r="AM12" i="6"/>
  <c r="F20" i="5"/>
  <c r="U25" i="5"/>
  <c r="W5" i="6"/>
  <c r="G22" i="6"/>
  <c r="AD33" i="6"/>
  <c r="AI28" i="6"/>
  <c r="B29" i="5"/>
  <c r="Q9" i="5"/>
  <c r="B20" i="6"/>
  <c r="BG31" i="6"/>
  <c r="AP5" i="6"/>
  <c r="R12" i="5"/>
  <c r="BE5" i="6"/>
  <c r="AF34" i="6"/>
  <c r="E15" i="5"/>
  <c r="AY26" i="6"/>
  <c r="G34" i="5"/>
  <c r="T27" i="5"/>
  <c r="H24" i="5"/>
  <c r="BA29" i="6"/>
  <c r="N12" i="6"/>
  <c r="K25" i="6"/>
  <c r="C25" i="5"/>
  <c r="N28" i="6"/>
  <c r="AQ16" i="6"/>
  <c r="AK31" i="6"/>
  <c r="J8" i="6"/>
  <c r="C31" i="6"/>
  <c r="D5" i="6"/>
  <c r="S28" i="5"/>
  <c r="AO20" i="6"/>
  <c r="AE32" i="6"/>
  <c r="AV9" i="6"/>
  <c r="Z5" i="6"/>
  <c r="AB19" i="6"/>
  <c r="AX31" i="6"/>
  <c r="P11" i="5"/>
  <c r="J20" i="6"/>
  <c r="AC29" i="6"/>
  <c r="AV20" i="6"/>
  <c r="BF16" i="6"/>
  <c r="AU33" i="6"/>
  <c r="X31" i="6"/>
  <c r="BI31" i="6"/>
  <c r="B14" i="5"/>
  <c r="T9" i="5"/>
  <c r="U9" i="5"/>
  <c r="T22" i="6"/>
  <c r="AY24" i="6"/>
  <c r="T32" i="6"/>
  <c r="AG31" i="6"/>
  <c r="AG26" i="6"/>
  <c r="B17" i="5"/>
  <c r="M13" i="5"/>
  <c r="R10" i="5"/>
  <c r="AF10" i="6"/>
  <c r="AF25" i="6"/>
  <c r="N21" i="5"/>
  <c r="Q29" i="5"/>
  <c r="BE23" i="6"/>
  <c r="AK29" i="6"/>
  <c r="H6" i="5"/>
  <c r="H34" i="5"/>
  <c r="AL20" i="6"/>
  <c r="I6" i="5"/>
  <c r="AS34" i="6"/>
  <c r="H11" i="5"/>
  <c r="BB12" i="6"/>
  <c r="G33" i="6"/>
  <c r="W30" i="6"/>
  <c r="D10" i="5"/>
  <c r="T14" i="6"/>
  <c r="G29" i="6"/>
  <c r="F34" i="5"/>
  <c r="O26" i="5"/>
  <c r="V5" i="6"/>
  <c r="G29" i="5"/>
  <c r="AJ5" i="6"/>
  <c r="AA23" i="6"/>
  <c r="AX34" i="6"/>
  <c r="K16" i="5"/>
  <c r="AZ9" i="6"/>
  <c r="AY15" i="6"/>
  <c r="M5" i="6"/>
  <c r="I9" i="5"/>
  <c r="U10" i="6"/>
  <c r="BK24" i="6"/>
  <c r="M20" i="6"/>
  <c r="R25" i="5"/>
  <c r="P10" i="5"/>
  <c r="K17" i="5"/>
  <c r="P27" i="5"/>
  <c r="O29" i="6"/>
  <c r="B17" i="4"/>
  <c r="J31" i="4"/>
  <c r="AB13" i="4"/>
  <c r="AL34" i="4"/>
  <c r="T10" i="4"/>
  <c r="U18" i="4"/>
  <c r="AJ6" i="4"/>
  <c r="AP21" i="4"/>
  <c r="AD26" i="4"/>
  <c r="AV16" i="4"/>
  <c r="AR11" i="4"/>
  <c r="AI22" i="4"/>
  <c r="AP13" i="4"/>
  <c r="AC10" i="4"/>
  <c r="U10" i="4"/>
  <c r="Z28" i="4"/>
  <c r="AQ19" i="4"/>
  <c r="AT8" i="4"/>
  <c r="AF24" i="4"/>
  <c r="T15" i="4"/>
  <c r="AS9" i="4"/>
  <c r="Z34" i="4"/>
  <c r="AN14" i="4"/>
  <c r="AV13" i="4"/>
  <c r="AJ12" i="4"/>
  <c r="AO17" i="4"/>
  <c r="H24" i="4"/>
  <c r="AR28" i="4"/>
  <c r="M24" i="4"/>
  <c r="AU34" i="4"/>
  <c r="AR22" i="4"/>
  <c r="G33" i="4"/>
  <c r="D28" i="4"/>
  <c r="AF34" i="4"/>
  <c r="I14" i="4"/>
  <c r="B5" i="4"/>
  <c r="AJ5" i="4"/>
  <c r="AH13" i="4"/>
  <c r="AO15" i="4"/>
  <c r="AK28" i="4"/>
  <c r="AS21" i="4"/>
  <c r="AS22" i="4"/>
  <c r="AH9" i="4"/>
  <c r="G10" i="4"/>
  <c r="AK10" i="4"/>
  <c r="U30" i="4"/>
  <c r="AH23" i="4"/>
  <c r="AR14" i="4"/>
  <c r="AA31" i="4"/>
  <c r="S17" i="4"/>
  <c r="J25" i="4"/>
  <c r="AB24" i="4"/>
  <c r="H13" i="4"/>
  <c r="S11" i="4"/>
  <c r="AS16" i="4"/>
  <c r="N18" i="4"/>
  <c r="AA18" i="4"/>
  <c r="AH14" i="4"/>
  <c r="AH26" i="4"/>
  <c r="AA23" i="4"/>
  <c r="E6" i="4"/>
  <c r="AI10" i="4"/>
  <c r="C6" i="4"/>
  <c r="AK33" i="4"/>
  <c r="AQ22" i="4"/>
  <c r="V7" i="4"/>
  <c r="AV27" i="4"/>
  <c r="AL26" i="4"/>
  <c r="AS30" i="4"/>
  <c r="M12" i="4"/>
  <c r="AF7" i="4"/>
  <c r="U16" i="4"/>
  <c r="AM18" i="4"/>
  <c r="AO10" i="4"/>
  <c r="AA30" i="4"/>
  <c r="AU7" i="4"/>
  <c r="Z8" i="4"/>
  <c r="K13" i="4"/>
  <c r="D16" i="4"/>
  <c r="AH10" i="4"/>
  <c r="AO34" i="4"/>
  <c r="AU20" i="4"/>
  <c r="AG29" i="4"/>
  <c r="AK26" i="4"/>
  <c r="AD7" i="4"/>
  <c r="B6" i="4"/>
  <c r="AB7" i="4"/>
  <c r="H32" i="4"/>
  <c r="AM30" i="4"/>
  <c r="AG22" i="4"/>
  <c r="AR18" i="4"/>
  <c r="M11" i="6"/>
  <c r="X27" i="6"/>
  <c r="D12" i="5"/>
  <c r="Z19" i="6"/>
  <c r="BK11" i="6"/>
  <c r="H25" i="5"/>
  <c r="BF25" i="6"/>
  <c r="Q5" i="6"/>
  <c r="S19" i="6"/>
  <c r="R20" i="5"/>
  <c r="P17" i="6"/>
  <c r="AU5" i="6"/>
  <c r="AU22" i="6"/>
  <c r="AC14" i="6"/>
  <c r="AP11" i="6"/>
  <c r="BH29" i="6"/>
  <c r="E9" i="5"/>
  <c r="M26" i="6"/>
  <c r="BA22" i="6"/>
  <c r="S27" i="5"/>
  <c r="AR11" i="6"/>
  <c r="AP31" i="6"/>
  <c r="B32" i="5"/>
  <c r="BD34" i="6"/>
  <c r="AA5" i="6"/>
  <c r="C28" i="5"/>
  <c r="AM8" i="6"/>
  <c r="AZ26" i="6"/>
  <c r="BE31" i="6"/>
  <c r="D18" i="5"/>
  <c r="P24" i="6"/>
  <c r="AV11" i="6"/>
  <c r="O14" i="5"/>
  <c r="K31" i="6"/>
  <c r="AA25" i="6"/>
  <c r="AI31" i="6"/>
  <c r="I18" i="5"/>
  <c r="AV32" i="6"/>
  <c r="AF24" i="6"/>
  <c r="J33" i="6"/>
  <c r="R26" i="5"/>
  <c r="D32" i="5"/>
  <c r="Q23" i="6"/>
  <c r="AY28" i="6"/>
  <c r="P34" i="6"/>
  <c r="E21" i="5"/>
  <c r="BD17" i="6"/>
  <c r="S21" i="5"/>
  <c r="E34" i="6"/>
  <c r="Q7" i="5"/>
  <c r="BK32" i="6"/>
  <c r="F32" i="6"/>
  <c r="Z17" i="6"/>
  <c r="Y24" i="6"/>
  <c r="W33" i="6"/>
  <c r="AC27" i="6"/>
  <c r="W15" i="6"/>
  <c r="BA5" i="6"/>
  <c r="AT19" i="6"/>
  <c r="G30" i="6"/>
  <c r="J30" i="6"/>
  <c r="Q9" i="6"/>
  <c r="O7" i="5"/>
  <c r="I5" i="5"/>
  <c r="AT7" i="6"/>
  <c r="BI14" i="6"/>
  <c r="L25" i="6"/>
  <c r="Q31" i="6"/>
  <c r="G12" i="5"/>
  <c r="N33" i="5"/>
  <c r="AT24" i="6"/>
  <c r="AT27" i="6"/>
  <c r="H18" i="6"/>
  <c r="R29" i="5"/>
  <c r="B28" i="5"/>
  <c r="AV33" i="6"/>
  <c r="K29" i="5"/>
  <c r="B31" i="6"/>
  <c r="V15" i="6"/>
  <c r="E29" i="5"/>
  <c r="B9" i="6"/>
  <c r="B16" i="5"/>
  <c r="U25" i="6"/>
  <c r="Y34" i="6"/>
  <c r="D29" i="5"/>
  <c r="Y27" i="6"/>
  <c r="R28" i="6"/>
  <c r="J21" i="5"/>
  <c r="AA10" i="6"/>
  <c r="AV29" i="6"/>
  <c r="F29" i="5"/>
  <c r="BF13" i="6"/>
  <c r="AW26" i="6"/>
  <c r="B6" i="5"/>
  <c r="M12" i="6"/>
  <c r="U6" i="5"/>
  <c r="C25" i="6"/>
  <c r="N11" i="5"/>
  <c r="I13" i="5"/>
  <c r="BF29" i="6"/>
  <c r="N24" i="6"/>
  <c r="AK19" i="6"/>
  <c r="I22" i="6"/>
  <c r="B27" i="6"/>
  <c r="AZ28" i="6"/>
  <c r="AU34" i="6"/>
  <c r="N22" i="5"/>
  <c r="T26" i="5"/>
  <c r="K33" i="5"/>
  <c r="AR15" i="6"/>
  <c r="AZ24" i="6"/>
  <c r="AF27" i="6"/>
  <c r="BD26" i="6"/>
  <c r="H33" i="6"/>
  <c r="O8" i="5"/>
  <c r="C29" i="5"/>
  <c r="C11" i="5"/>
  <c r="BE18" i="6"/>
  <c r="BB27" i="6"/>
  <c r="G13" i="5"/>
  <c r="N34" i="5"/>
  <c r="Y28" i="6"/>
  <c r="AL5" i="6"/>
  <c r="L23" i="5"/>
  <c r="AB22" i="6"/>
  <c r="D32" i="6"/>
  <c r="X22" i="6"/>
  <c r="E16" i="6"/>
  <c r="U7" i="5"/>
  <c r="BJ16" i="6"/>
  <c r="BG20" i="6"/>
  <c r="AB30" i="6"/>
  <c r="U14" i="5"/>
  <c r="D24" i="6"/>
  <c r="AH30" i="6"/>
  <c r="BF17" i="6"/>
  <c r="AN18" i="6"/>
  <c r="N26" i="5"/>
  <c r="I17" i="5"/>
  <c r="BE13" i="6"/>
  <c r="BA28" i="6"/>
  <c r="E22" i="6"/>
  <c r="L20" i="5"/>
  <c r="R23" i="6"/>
  <c r="BB31" i="6"/>
  <c r="L8" i="5"/>
  <c r="AG21" i="6"/>
  <c r="N26" i="6"/>
  <c r="J19" i="5"/>
  <c r="H30" i="6"/>
  <c r="Q34" i="5"/>
  <c r="H5" i="5"/>
  <c r="Q22" i="5"/>
  <c r="AZ15" i="6"/>
  <c r="I1" i="5"/>
  <c r="U27" i="4"/>
  <c r="Y32" i="4"/>
  <c r="AU23" i="4"/>
  <c r="AD6" i="4"/>
  <c r="AI16" i="4"/>
  <c r="AR9" i="4"/>
  <c r="AU9" i="4"/>
  <c r="AC13" i="4"/>
  <c r="N10" i="4"/>
  <c r="Y19" i="4"/>
  <c r="D10" i="4"/>
  <c r="AO11" i="4"/>
  <c r="U31" i="4"/>
  <c r="AI19" i="4"/>
  <c r="AM24" i="4"/>
  <c r="AA15" i="4"/>
  <c r="AM11" i="4"/>
  <c r="AI25" i="4"/>
  <c r="J16" i="4"/>
  <c r="AJ14" i="4"/>
  <c r="AG33" i="4"/>
  <c r="Z21" i="4"/>
  <c r="U26" i="4"/>
  <c r="AL13" i="4"/>
  <c r="AQ7" i="4"/>
  <c r="AD24" i="4"/>
  <c r="U25" i="4"/>
  <c r="AJ13" i="4"/>
  <c r="AU28" i="4"/>
  <c r="AN15" i="4"/>
  <c r="J13" i="4"/>
  <c r="AA32" i="4"/>
  <c r="AB26" i="4"/>
  <c r="AN29" i="4"/>
  <c r="AF18" i="4"/>
  <c r="C7" i="4"/>
  <c r="AA26" i="4"/>
  <c r="AM28" i="4"/>
  <c r="D8" i="4"/>
  <c r="AL10" i="4"/>
  <c r="Y15" i="4"/>
  <c r="AT32" i="4"/>
  <c r="E10" i="4"/>
  <c r="AS12" i="4"/>
  <c r="AQ18" i="4"/>
  <c r="AF28" i="4"/>
  <c r="AT27" i="4"/>
  <c r="AN17" i="4"/>
  <c r="B33" i="4"/>
  <c r="AK16" i="4"/>
  <c r="H19" i="4"/>
  <c r="AJ23" i="4"/>
  <c r="AE18" i="4"/>
  <c r="Y26" i="4"/>
  <c r="H6" i="4"/>
  <c r="L15" i="4"/>
  <c r="B10" i="4"/>
  <c r="F6" i="4"/>
  <c r="AS28" i="4"/>
  <c r="S16" i="4"/>
  <c r="AF5" i="4"/>
  <c r="AV8" i="4"/>
  <c r="AP18" i="4"/>
  <c r="AJ21" i="4"/>
  <c r="Z16" i="4"/>
  <c r="AD14" i="4"/>
  <c r="E13" i="4"/>
  <c r="AV19" i="4"/>
  <c r="AS8" i="4"/>
  <c r="K21" i="4"/>
  <c r="I32" i="4"/>
  <c r="J23" i="4"/>
  <c r="AU17" i="4"/>
  <c r="K6" i="4"/>
  <c r="O10" i="4"/>
  <c r="H22" i="4"/>
  <c r="S10" i="4"/>
  <c r="AU33" i="4"/>
  <c r="AH33" i="4"/>
  <c r="AO30" i="4"/>
  <c r="AB17" i="4"/>
  <c r="AA14" i="4"/>
  <c r="V27" i="4"/>
  <c r="AI18" i="4"/>
  <c r="F15" i="4"/>
  <c r="C20" i="4"/>
  <c r="N14" i="4"/>
  <c r="AP9" i="4"/>
  <c r="AD11" i="4"/>
  <c r="B9" i="4"/>
  <c r="AT22" i="4"/>
  <c r="I10" i="4"/>
  <c r="Y18" i="6"/>
  <c r="V10" i="6"/>
  <c r="BD13" i="6"/>
  <c r="U21" i="5"/>
  <c r="AU27" i="6"/>
  <c r="D16" i="6"/>
  <c r="AO22" i="6"/>
  <c r="T20" i="5"/>
  <c r="V25" i="6"/>
  <c r="P18" i="5"/>
  <c r="BA13" i="6"/>
  <c r="K25" i="5"/>
  <c r="J27" i="5"/>
  <c r="BI32" i="6"/>
  <c r="H11" i="6"/>
  <c r="AQ34" i="6"/>
  <c r="AH11" i="6"/>
  <c r="AT31" i="6"/>
  <c r="B10" i="5"/>
  <c r="AV7" i="6"/>
  <c r="AW18" i="6"/>
  <c r="O34" i="6"/>
  <c r="AY9" i="6"/>
  <c r="AA20" i="6"/>
  <c r="S14" i="5"/>
  <c r="AX11" i="6"/>
  <c r="I23" i="6"/>
  <c r="T31" i="6"/>
  <c r="P5" i="6"/>
  <c r="Q17" i="5"/>
  <c r="S5" i="6"/>
  <c r="BA34" i="6"/>
  <c r="L9" i="6"/>
  <c r="V31" i="6"/>
  <c r="B21" i="5"/>
  <c r="J7" i="5"/>
  <c r="AO34" i="6"/>
  <c r="BH22" i="6"/>
  <c r="AK13" i="6"/>
  <c r="U33" i="6"/>
  <c r="D14" i="5"/>
  <c r="H24" i="6"/>
  <c r="W18" i="6"/>
  <c r="AG12" i="6"/>
  <c r="N25" i="5"/>
  <c r="N23" i="5"/>
  <c r="D31" i="6"/>
  <c r="M14" i="5"/>
  <c r="BA10" i="6"/>
  <c r="BB14" i="6"/>
  <c r="N32" i="5"/>
  <c r="N7" i="5"/>
  <c r="G18" i="6"/>
  <c r="L25" i="5"/>
  <c r="N6" i="6"/>
  <c r="D24" i="5"/>
  <c r="V27" i="6"/>
  <c r="T21" i="5"/>
  <c r="AH16" i="6"/>
  <c r="H8" i="5"/>
  <c r="K8" i="5"/>
  <c r="P29" i="6"/>
  <c r="H20" i="5"/>
  <c r="V32" i="6"/>
  <c r="AX23" i="6"/>
  <c r="C27" i="6"/>
  <c r="AB33" i="6"/>
  <c r="AM5" i="6"/>
  <c r="H16" i="5"/>
  <c r="AM7" i="6"/>
  <c r="AJ17" i="6"/>
  <c r="AD25" i="6"/>
  <c r="Y19" i="6"/>
  <c r="Q19" i="5"/>
  <c r="T34" i="5"/>
  <c r="F17" i="5"/>
  <c r="BK18" i="6"/>
  <c r="O23" i="5"/>
  <c r="AW34" i="6"/>
  <c r="D23" i="6"/>
  <c r="M21" i="5"/>
  <c r="M9" i="5"/>
  <c r="BJ21" i="6"/>
  <c r="BE29" i="6"/>
  <c r="X17" i="6"/>
  <c r="AP25" i="6"/>
  <c r="AO15" i="6"/>
  <c r="K26" i="5"/>
  <c r="E21" i="6"/>
  <c r="R29" i="6"/>
  <c r="G26" i="5"/>
  <c r="P22" i="6"/>
  <c r="BE34" i="6"/>
  <c r="G6" i="5"/>
  <c r="BF32" i="6"/>
  <c r="I30" i="5"/>
  <c r="BH28" i="6"/>
  <c r="S9" i="5"/>
  <c r="M33" i="5"/>
  <c r="AX26" i="6"/>
  <c r="R13" i="6"/>
  <c r="Z24" i="6"/>
  <c r="M21" i="6"/>
  <c r="BD25" i="6"/>
  <c r="R18" i="6"/>
  <c r="D30" i="6"/>
  <c r="G14" i="5"/>
  <c r="T31" i="5"/>
  <c r="B5" i="5"/>
  <c r="C12" i="6"/>
  <c r="AC26" i="6"/>
  <c r="AN31" i="6"/>
  <c r="V23" i="6"/>
  <c r="K28" i="6"/>
  <c r="S25" i="5"/>
  <c r="I25" i="5"/>
  <c r="L19" i="5"/>
  <c r="B16" i="6"/>
  <c r="AO31" i="6"/>
  <c r="P8" i="5"/>
  <c r="C5" i="5"/>
  <c r="U16" i="6"/>
  <c r="F19" i="5"/>
  <c r="I22" i="5"/>
  <c r="S20" i="6"/>
  <c r="N6" i="5"/>
  <c r="V17" i="6"/>
  <c r="BJ24" i="6"/>
  <c r="M15" i="5"/>
  <c r="AW6" i="6"/>
  <c r="AB31" i="6"/>
  <c r="F12" i="5"/>
  <c r="S29" i="5"/>
  <c r="J24" i="6"/>
  <c r="BC34" i="6"/>
  <c r="T26" i="6"/>
  <c r="AW28" i="6"/>
  <c r="S11" i="5"/>
  <c r="BB28" i="6"/>
  <c r="AS20" i="6"/>
  <c r="J29" i="6"/>
  <c r="AW20" i="6"/>
  <c r="Q33" i="5"/>
  <c r="U21" i="6"/>
  <c r="AR30" i="6"/>
  <c r="J34" i="5"/>
  <c r="W34" i="6"/>
  <c r="J23" i="5"/>
  <c r="R8" i="5"/>
  <c r="E13" i="5"/>
  <c r="BE17" i="6"/>
  <c r="BF26" i="6"/>
  <c r="S31" i="6"/>
  <c r="AG27" i="6"/>
  <c r="J9" i="4"/>
  <c r="AP14" i="4"/>
  <c r="AO31" i="4"/>
  <c r="AT20" i="4"/>
  <c r="AB18" i="4"/>
  <c r="AH24" i="4"/>
  <c r="AG21" i="4"/>
  <c r="T29" i="4"/>
  <c r="AS14" i="4"/>
  <c r="AJ15" i="4"/>
  <c r="V6" i="4"/>
  <c r="AE19" i="4"/>
  <c r="I30" i="4"/>
  <c r="G11" i="4"/>
  <c r="AB9" i="4"/>
  <c r="AV23" i="4"/>
  <c r="D17" i="4"/>
  <c r="AC7" i="4"/>
  <c r="AB8" i="4"/>
  <c r="Z25" i="4"/>
  <c r="AH31" i="4"/>
  <c r="I13" i="4"/>
  <c r="U23" i="4"/>
  <c r="H26" i="4"/>
  <c r="AI24" i="4"/>
  <c r="AC6" i="4"/>
  <c r="M8" i="4"/>
  <c r="L6" i="4"/>
  <c r="E24" i="4"/>
  <c r="AG13" i="4"/>
  <c r="F8" i="4"/>
  <c r="E23" i="4"/>
  <c r="C9" i="4"/>
  <c r="B31" i="4"/>
  <c r="U22" i="4"/>
  <c r="J10" i="4"/>
  <c r="Y30" i="4"/>
  <c r="C34" i="4"/>
  <c r="J27" i="4"/>
  <c r="AL15" i="4"/>
  <c r="AM17" i="4"/>
  <c r="AJ26" i="4"/>
  <c r="G6" i="4"/>
  <c r="N22" i="4"/>
  <c r="AM16" i="4"/>
  <c r="D12" i="4"/>
  <c r="AA6" i="4"/>
  <c r="AC25" i="4"/>
  <c r="AE8" i="4"/>
  <c r="AL22" i="4"/>
  <c r="AQ34" i="4"/>
  <c r="C27" i="4"/>
  <c r="AL23" i="4"/>
  <c r="T33" i="5"/>
  <c r="N13" i="5"/>
  <c r="N34" i="6"/>
  <c r="U20" i="5"/>
  <c r="D22" i="6"/>
  <c r="AK28" i="6"/>
  <c r="K24" i="5"/>
  <c r="J22" i="5"/>
  <c r="AS10" i="6"/>
  <c r="Q20" i="6"/>
  <c r="D31" i="5"/>
  <c r="G17" i="5"/>
  <c r="N10" i="5"/>
  <c r="BK33" i="6"/>
  <c r="B28" i="6"/>
  <c r="D23" i="5"/>
  <c r="S18" i="6"/>
  <c r="P24" i="5"/>
  <c r="V30" i="6"/>
  <c r="AM23" i="6"/>
  <c r="B14" i="6"/>
  <c r="BC15" i="6"/>
  <c r="G24" i="6"/>
  <c r="F28" i="6"/>
  <c r="E27" i="6"/>
  <c r="U8" i="6"/>
  <c r="AE26" i="6"/>
  <c r="AJ14" i="6"/>
  <c r="AF21" i="6"/>
  <c r="M22" i="5"/>
  <c r="BH11" i="6"/>
  <c r="AQ25" i="6"/>
  <c r="Z7" i="6"/>
  <c r="R5" i="5"/>
  <c r="AT34" i="6"/>
  <c r="AH26" i="6"/>
  <c r="BG29" i="6"/>
  <c r="D30" i="5"/>
  <c r="J6" i="5"/>
  <c r="AB12" i="4"/>
  <c r="AR16" i="4"/>
  <c r="T18" i="4"/>
  <c r="H5" i="4"/>
  <c r="N7" i="4"/>
  <c r="AH5" i="4"/>
  <c r="V19" i="4"/>
  <c r="L27" i="4"/>
  <c r="K22" i="4"/>
  <c r="AQ25" i="4"/>
  <c r="E26" i="4"/>
  <c r="F9" i="4"/>
  <c r="AG6" i="4"/>
  <c r="B34" i="4"/>
  <c r="I33" i="4"/>
  <c r="M23" i="4"/>
  <c r="C26" i="4"/>
  <c r="AQ20" i="4"/>
  <c r="AV22" i="4"/>
  <c r="AA7" i="4"/>
  <c r="H30" i="4"/>
  <c r="B26" i="4"/>
  <c r="AO22" i="4"/>
  <c r="S13" i="4"/>
  <c r="AD32" i="4"/>
  <c r="K8" i="4"/>
  <c r="AQ28" i="4"/>
  <c r="F16" i="4"/>
  <c r="L31" i="4"/>
  <c r="AR24" i="4"/>
  <c r="U11" i="4"/>
  <c r="J33" i="4"/>
  <c r="AN12" i="4"/>
  <c r="AR25" i="4"/>
  <c r="AK6" i="4"/>
  <c r="AI14" i="4"/>
  <c r="U33" i="4"/>
  <c r="T32" i="4"/>
  <c r="AB5" i="4"/>
  <c r="AI17" i="4"/>
  <c r="G16" i="4"/>
  <c r="J6" i="4"/>
  <c r="S15" i="4"/>
  <c r="K25" i="4"/>
  <c r="K11" i="4"/>
  <c r="AN16" i="4"/>
  <c r="L14" i="4"/>
  <c r="AS20" i="4"/>
  <c r="N28" i="4"/>
  <c r="L32" i="4"/>
  <c r="AI20" i="4"/>
  <c r="J30" i="4"/>
  <c r="AM13" i="4"/>
  <c r="AO21" i="4"/>
  <c r="J1" i="4"/>
  <c r="AH1" i="6"/>
  <c r="AU26" i="4"/>
  <c r="J8" i="4"/>
  <c r="B19" i="4"/>
  <c r="E16" i="4"/>
  <c r="N12" i="4"/>
  <c r="I21" i="4"/>
  <c r="AH12" i="4"/>
  <c r="O19" i="4"/>
  <c r="AL11" i="4"/>
  <c r="AU27" i="4"/>
  <c r="Y23" i="4"/>
  <c r="Y22" i="4"/>
  <c r="S23" i="4"/>
  <c r="T19" i="4"/>
  <c r="AV25" i="4"/>
  <c r="AG9" i="4"/>
  <c r="AC18" i="4"/>
  <c r="B30" i="4"/>
  <c r="AA25" i="4"/>
  <c r="AT23" i="4"/>
  <c r="S27" i="4"/>
  <c r="AE25" i="4"/>
  <c r="Z27" i="4"/>
  <c r="AE11" i="4"/>
  <c r="AF21" i="4"/>
  <c r="AC17" i="4"/>
  <c r="T22" i="4"/>
  <c r="AD31" i="4"/>
  <c r="AS5" i="4"/>
  <c r="AT6" i="4"/>
  <c r="AV31" i="4"/>
  <c r="AC34" i="4"/>
  <c r="AH28" i="4"/>
  <c r="AU18" i="4"/>
  <c r="AQ30" i="4"/>
  <c r="AJ31" i="4"/>
  <c r="AQ5" i="4"/>
  <c r="AV30" i="4"/>
  <c r="AE24" i="4"/>
  <c r="N32" i="4"/>
  <c r="Y14" i="4"/>
  <c r="AL24" i="4"/>
  <c r="AF19" i="4"/>
  <c r="AV26" i="4"/>
  <c r="AM22" i="4"/>
  <c r="AT25" i="4"/>
  <c r="AP27" i="4"/>
  <c r="S28" i="4"/>
  <c r="AS7" i="4"/>
  <c r="AE9" i="4"/>
  <c r="H33" i="4"/>
  <c r="AL19" i="4"/>
  <c r="B32" i="4"/>
  <c r="T20" i="4"/>
  <c r="F19" i="4"/>
  <c r="M21" i="4"/>
  <c r="Z15" i="4"/>
  <c r="S20" i="4"/>
  <c r="AN5" i="4"/>
  <c r="AY1" i="6"/>
  <c r="AR1" i="4"/>
  <c r="M1" i="4"/>
  <c r="AA11" i="4"/>
  <c r="V8" i="4"/>
  <c r="AE17" i="4"/>
  <c r="C24" i="4"/>
  <c r="I19" i="4"/>
  <c r="AF25" i="4"/>
  <c r="AG18" i="4"/>
  <c r="M11" i="4"/>
  <c r="B16" i="4"/>
  <c r="N21" i="4"/>
  <c r="J14" i="4"/>
  <c r="AJ25" i="4"/>
  <c r="S22" i="4"/>
  <c r="AF16" i="4"/>
  <c r="G18" i="4"/>
  <c r="B22" i="4"/>
  <c r="AL6" i="4"/>
  <c r="AF27" i="4"/>
  <c r="Z1" i="4"/>
  <c r="AJ34" i="4"/>
  <c r="T28" i="4"/>
  <c r="M17" i="4"/>
  <c r="AC33" i="4"/>
  <c r="O23" i="4"/>
  <c r="K23" i="4"/>
  <c r="I12" i="4"/>
  <c r="B1" i="4"/>
  <c r="L1" i="5"/>
  <c r="C12" i="4"/>
  <c r="AF32" i="4"/>
  <c r="K16" i="4"/>
  <c r="N26" i="4"/>
  <c r="AS17" i="4"/>
  <c r="AM7" i="4"/>
  <c r="AS23" i="4"/>
  <c r="S32" i="4"/>
  <c r="AJ27" i="4"/>
  <c r="J12" i="4"/>
  <c r="V34" i="4"/>
  <c r="AJ16" i="4"/>
  <c r="AG20" i="4"/>
  <c r="AD1" i="4"/>
  <c r="AQ1" i="4"/>
  <c r="G34" i="4"/>
  <c r="AN13" i="4"/>
  <c r="S26" i="4"/>
  <c r="AG8" i="4"/>
  <c r="H10" i="4"/>
  <c r="AT10" i="4"/>
  <c r="F1" i="4"/>
  <c r="AC1" i="4"/>
  <c r="AP8" i="4"/>
  <c r="F33" i="4"/>
  <c r="H23" i="4"/>
  <c r="AC1" i="6"/>
  <c r="L28" i="4"/>
  <c r="AB15" i="4"/>
  <c r="AA1" i="6"/>
  <c r="Y18" i="4"/>
  <c r="AI32" i="4"/>
  <c r="Z31" i="4"/>
  <c r="AN19" i="4"/>
  <c r="L34" i="4"/>
  <c r="D22" i="4"/>
  <c r="Z24" i="4"/>
  <c r="AN23" i="4"/>
  <c r="L19" i="4"/>
  <c r="AB27" i="4"/>
  <c r="AC23" i="4"/>
  <c r="AL25" i="4"/>
  <c r="AD30" i="4"/>
  <c r="L11" i="4"/>
  <c r="AP7" i="4"/>
  <c r="M30" i="4"/>
  <c r="AK31" i="4"/>
  <c r="AQ31" i="4"/>
  <c r="AU30" i="4"/>
  <c r="O31" i="4"/>
  <c r="N1" i="4"/>
  <c r="F1" i="5"/>
  <c r="AK24" i="4"/>
  <c r="AE6" i="4"/>
  <c r="AK32" i="4"/>
  <c r="AL5" i="4"/>
  <c r="AI12" i="4"/>
  <c r="O8" i="4"/>
  <c r="G1" i="7"/>
  <c r="N1" i="6"/>
  <c r="F1" i="7"/>
  <c r="V33" i="4"/>
  <c r="AG19" i="4"/>
  <c r="N13" i="4"/>
  <c r="AF31" i="4"/>
  <c r="F31" i="4"/>
  <c r="K10" i="4"/>
  <c r="M15" i="4"/>
  <c r="AL17" i="4"/>
  <c r="AS13" i="4"/>
  <c r="AG17" i="4"/>
  <c r="R1" i="5"/>
  <c r="AM14" i="4"/>
  <c r="AR5" i="4"/>
  <c r="AI13" i="4"/>
  <c r="U34" i="4"/>
  <c r="AU1" i="4"/>
  <c r="AA33" i="4"/>
  <c r="L33" i="4"/>
  <c r="AP34" i="4"/>
  <c r="M1" i="6"/>
  <c r="D23" i="4"/>
  <c r="F29" i="4"/>
  <c r="AF6" i="4"/>
  <c r="AF12" i="4"/>
  <c r="AL12" i="4"/>
  <c r="U8" i="4"/>
  <c r="C23" i="4"/>
  <c r="AN18" i="4"/>
  <c r="F28" i="4"/>
  <c r="D9" i="4"/>
  <c r="G31" i="4"/>
  <c r="AM20" i="4"/>
  <c r="AC9" i="4"/>
  <c r="AC8" i="4"/>
  <c r="D32" i="4"/>
  <c r="N31" i="4"/>
  <c r="BJ1" i="6"/>
  <c r="T11" i="4"/>
  <c r="AJ20" i="4"/>
  <c r="AC26" i="4"/>
  <c r="AM5" i="4"/>
  <c r="AC19" i="4"/>
  <c r="C28" i="4"/>
  <c r="AT1" i="4"/>
  <c r="AV1" i="6"/>
  <c r="AJ1" i="6"/>
  <c r="C8" i="4"/>
  <c r="T23" i="4"/>
  <c r="AK22" i="4"/>
  <c r="J7" i="4"/>
  <c r="AE32" i="4"/>
  <c r="L13" i="4"/>
  <c r="AQ21" i="4"/>
  <c r="AA12" i="4"/>
  <c r="H21" i="4"/>
  <c r="D24" i="4"/>
  <c r="T30" i="4"/>
  <c r="AH21" i="4"/>
  <c r="AJ1" i="4"/>
  <c r="AO1" i="4"/>
  <c r="N16" i="4"/>
  <c r="V24" i="4"/>
  <c r="AB20" i="4"/>
  <c r="B28" i="4"/>
  <c r="N33" i="4"/>
  <c r="AJ30" i="4"/>
  <c r="AM34" i="4"/>
  <c r="G29" i="4"/>
  <c r="AI5" i="4"/>
  <c r="B29" i="4"/>
  <c r="AJ32" i="4"/>
  <c r="AA21" i="4"/>
  <c r="AC11" i="4"/>
  <c r="H15" i="4"/>
  <c r="C19" i="4"/>
  <c r="M13" i="4"/>
  <c r="AI11" i="4"/>
  <c r="F22" i="4"/>
  <c r="BK1" i="6"/>
  <c r="K14" i="4"/>
  <c r="N24" i="4"/>
  <c r="AJ19" i="4"/>
  <c r="B1" i="5"/>
  <c r="AN10" i="4"/>
  <c r="H34" i="4"/>
  <c r="AO18" i="4"/>
  <c r="AK11" i="4"/>
  <c r="AQ10" i="4"/>
  <c r="G15" i="4"/>
  <c r="T25" i="4"/>
  <c r="AG32" i="4"/>
  <c r="AD18" i="4"/>
  <c r="L17" i="4"/>
  <c r="AQ16" i="4"/>
  <c r="S1" i="5"/>
  <c r="L26" i="4"/>
  <c r="AU6" i="4"/>
  <c r="B24" i="4"/>
  <c r="N30" i="4"/>
  <c r="U32" i="4"/>
  <c r="AF13" i="4"/>
  <c r="Z17" i="4"/>
  <c r="BC1" i="6"/>
  <c r="AK1" i="4"/>
  <c r="AM1" i="6"/>
  <c r="K29" i="4"/>
  <c r="Z9" i="4"/>
  <c r="AP12" i="4"/>
  <c r="D5" i="4"/>
  <c r="AF22" i="4"/>
  <c r="V12" i="4"/>
  <c r="T13" i="4"/>
  <c r="AS29" i="4"/>
  <c r="U7" i="4"/>
  <c r="AC27" i="4"/>
  <c r="T5" i="4"/>
  <c r="AQ15" i="4"/>
  <c r="AF30" i="4"/>
  <c r="N1" i="5"/>
  <c r="U1" i="4"/>
  <c r="AT14" i="4"/>
  <c r="V23" i="4"/>
  <c r="AH1" i="4"/>
  <c r="D34" i="4"/>
  <c r="O15" i="4"/>
  <c r="BI1" i="6"/>
  <c r="AP1" i="4"/>
  <c r="AN1" i="6"/>
  <c r="J22" i="4"/>
  <c r="AU24" i="4"/>
  <c r="F10" i="4"/>
  <c r="M5" i="4"/>
  <c r="Z18" i="4"/>
  <c r="V25" i="4"/>
  <c r="AV29" i="4"/>
  <c r="T1" i="6"/>
  <c r="K12" i="4"/>
  <c r="AE28" i="4"/>
  <c r="AE13" i="4"/>
  <c r="AU22" i="4"/>
  <c r="AH18" i="4"/>
  <c r="B25" i="4"/>
  <c r="AS10" i="4"/>
  <c r="S34" i="4"/>
  <c r="H29" i="4"/>
  <c r="H14" i="4"/>
  <c r="S14" i="4"/>
  <c r="J19" i="4"/>
  <c r="I22" i="4"/>
  <c r="AJ28" i="4"/>
  <c r="S25" i="4"/>
  <c r="AE31" i="4"/>
  <c r="V18" i="4"/>
  <c r="AT1" i="6"/>
  <c r="Y7" i="4"/>
  <c r="K18" i="4"/>
  <c r="AS27" i="4"/>
  <c r="O25" i="4"/>
  <c r="AO20" i="4"/>
  <c r="AG1" i="4"/>
  <c r="C33" i="4"/>
  <c r="L22" i="4"/>
  <c r="G23" i="4"/>
  <c r="AH15" i="4"/>
  <c r="AV9" i="4"/>
  <c r="AS19" i="4"/>
  <c r="O30" i="4"/>
  <c r="AF17" i="4"/>
  <c r="I8" i="4"/>
  <c r="AL9" i="4"/>
  <c r="W1" i="6"/>
  <c r="G8" i="4"/>
  <c r="I7" i="4"/>
  <c r="AD12" i="4"/>
  <c r="AB22" i="4"/>
  <c r="AM19" i="4"/>
  <c r="AJ10" i="4"/>
  <c r="AV11" i="4"/>
  <c r="N29" i="4"/>
  <c r="AM31" i="4"/>
  <c r="C1" i="7"/>
  <c r="B23" i="4"/>
  <c r="AE16" i="4"/>
  <c r="AM12" i="4"/>
  <c r="H1" i="5"/>
  <c r="U1" i="5"/>
  <c r="V1" i="6"/>
  <c r="E27" i="4"/>
  <c r="H19" i="6"/>
  <c r="AB24" i="6"/>
  <c r="M23" i="5"/>
  <c r="X33" i="6"/>
  <c r="H31" i="6"/>
  <c r="R16" i="5"/>
  <c r="O7" i="6"/>
  <c r="I8" i="5"/>
  <c r="R18" i="5"/>
  <c r="BK21" i="6"/>
  <c r="AY18" i="6"/>
  <c r="S23" i="5"/>
  <c r="Y21" i="6"/>
  <c r="K5" i="5"/>
  <c r="U31" i="5"/>
  <c r="X21" i="6"/>
  <c r="Q30" i="6"/>
  <c r="I10" i="6"/>
  <c r="U12" i="5"/>
  <c r="D19" i="5"/>
  <c r="J33" i="5"/>
  <c r="C13" i="5"/>
  <c r="AM28" i="6"/>
  <c r="E8" i="5"/>
  <c r="K20" i="5"/>
  <c r="Z18" i="6"/>
  <c r="H5" i="6"/>
  <c r="I20" i="6"/>
  <c r="BG5" i="6"/>
  <c r="AO30" i="6"/>
  <c r="AD34" i="6"/>
  <c r="P6" i="5"/>
  <c r="BD21" i="6"/>
  <c r="AD22" i="6"/>
  <c r="T13" i="5"/>
  <c r="F16" i="5"/>
  <c r="O30" i="6"/>
  <c r="D15" i="5"/>
  <c r="C15" i="5"/>
  <c r="AM6" i="4"/>
  <c r="G30" i="4"/>
  <c r="U21" i="4"/>
  <c r="D7" i="4"/>
  <c r="Z29" i="4"/>
  <c r="AE10" i="4"/>
  <c r="AV32" i="4"/>
  <c r="M19" i="4"/>
  <c r="AF33" i="4"/>
  <c r="M22" i="4"/>
  <c r="AI9" i="4"/>
  <c r="AQ8" i="4"/>
  <c r="AB16" i="4"/>
  <c r="AS31" i="4"/>
  <c r="AB28" i="4"/>
  <c r="Y6" i="4"/>
  <c r="AN9" i="4"/>
  <c r="K17" i="4"/>
  <c r="Z13" i="4"/>
  <c r="G13" i="4"/>
  <c r="AA9" i="4"/>
  <c r="M28" i="4"/>
  <c r="AP19" i="4"/>
  <c r="C13" i="4"/>
  <c r="AG15" i="4"/>
  <c r="AN30" i="4"/>
  <c r="T21" i="4"/>
  <c r="AA17" i="4"/>
  <c r="AO6" i="4"/>
  <c r="AT29" i="4"/>
  <c r="AP24" i="4"/>
  <c r="U20" i="4"/>
  <c r="AR30" i="4"/>
  <c r="N17" i="4"/>
  <c r="I31" i="4"/>
  <c r="V14" i="4"/>
  <c r="J24" i="4"/>
  <c r="AG25" i="4"/>
  <c r="AR21" i="4"/>
  <c r="L18" i="4"/>
  <c r="G25" i="4"/>
  <c r="AM26" i="4"/>
  <c r="D13" i="4"/>
  <c r="B12" i="4"/>
  <c r="N5" i="4"/>
  <c r="AK9" i="4"/>
  <c r="AL20" i="4"/>
  <c r="AP26" i="4"/>
  <c r="AJ33" i="4"/>
  <c r="K34" i="4"/>
  <c r="AE22" i="4"/>
  <c r="T9" i="4"/>
  <c r="AQ32" i="4"/>
  <c r="AR34" i="4"/>
  <c r="L25" i="4"/>
  <c r="AV21" i="4"/>
  <c r="AG30" i="4"/>
  <c r="N25" i="4"/>
  <c r="AK25" i="4"/>
  <c r="F17" i="4"/>
  <c r="F1" i="6"/>
  <c r="S1" i="4"/>
  <c r="D1" i="6"/>
  <c r="AD33" i="4"/>
  <c r="O12" i="4"/>
  <c r="B27" i="4"/>
  <c r="AH32" i="4"/>
  <c r="Z6" i="4"/>
  <c r="AC30" i="4"/>
  <c r="AI15" i="4"/>
  <c r="AV12" i="4"/>
  <c r="AN24" i="4"/>
  <c r="Y20" i="4"/>
  <c r="C21" i="4"/>
  <c r="O6" i="4"/>
  <c r="Y21" i="4"/>
  <c r="AH25" i="4"/>
  <c r="AU8" i="4"/>
  <c r="Z14" i="4"/>
  <c r="Y28" i="4"/>
  <c r="V22" i="4"/>
  <c r="AP22" i="4"/>
  <c r="Y8" i="4"/>
  <c r="AA29" i="4"/>
  <c r="AE27" i="4"/>
  <c r="S12" i="4"/>
  <c r="Y9" i="4"/>
  <c r="K7" i="4"/>
  <c r="D33" i="4"/>
  <c r="AO32" i="4"/>
  <c r="I16" i="4"/>
  <c r="C16" i="4"/>
  <c r="AH6" i="4"/>
  <c r="V29" i="4"/>
  <c r="AT28" i="4"/>
  <c r="AB32" i="4"/>
  <c r="F30" i="4"/>
  <c r="AE15" i="4"/>
  <c r="AK23" i="4"/>
  <c r="AQ26" i="4"/>
  <c r="E33" i="4"/>
  <c r="AL28" i="4"/>
  <c r="F14" i="4"/>
  <c r="C18" i="4"/>
  <c r="D21" i="4"/>
  <c r="AK7" i="4"/>
  <c r="M7" i="4"/>
  <c r="AO24" i="4"/>
  <c r="N6" i="4"/>
  <c r="AL31" i="4"/>
  <c r="F11" i="4"/>
  <c r="AA34" i="4"/>
  <c r="AI7" i="4"/>
  <c r="J11" i="4"/>
  <c r="J20" i="4"/>
  <c r="AC29" i="4"/>
  <c r="AF23" i="4"/>
  <c r="D1" i="7"/>
  <c r="D1" i="5"/>
  <c r="AZ1" i="6"/>
  <c r="AH17" i="4"/>
  <c r="AN8" i="4"/>
  <c r="AO28" i="4"/>
  <c r="AD9" i="4"/>
  <c r="D11" i="4"/>
  <c r="Z23" i="4"/>
  <c r="AR32" i="4"/>
  <c r="AA1" i="4"/>
  <c r="S5" i="4"/>
  <c r="AQ11" i="4"/>
  <c r="I25" i="4"/>
  <c r="G32" i="4"/>
  <c r="AD28" i="4"/>
  <c r="AR26" i="4"/>
  <c r="J26" i="4"/>
  <c r="V16" i="4"/>
  <c r="D25" i="4"/>
  <c r="AP17" i="4"/>
  <c r="AC20" i="4"/>
  <c r="AH30" i="4"/>
  <c r="AV33" i="4"/>
  <c r="E28" i="4"/>
  <c r="AD22" i="4"/>
  <c r="U24" i="4"/>
  <c r="AO5" i="4"/>
  <c r="C25" i="4"/>
  <c r="AO24" i="6"/>
  <c r="AF17" i="6"/>
  <c r="AY31" i="6"/>
  <c r="R15" i="6"/>
  <c r="K13" i="5"/>
  <c r="AM9" i="6"/>
  <c r="AP16" i="6"/>
  <c r="O13" i="5"/>
  <c r="T32" i="5"/>
  <c r="AH31" i="6"/>
  <c r="AR23" i="6"/>
  <c r="G26" i="6"/>
  <c r="O5" i="5"/>
  <c r="Q8" i="6"/>
  <c r="O22" i="6"/>
  <c r="T30" i="5"/>
  <c r="BH26" i="6"/>
  <c r="BA23" i="6"/>
  <c r="T24" i="6"/>
  <c r="B18" i="6"/>
  <c r="AK14" i="6"/>
  <c r="AQ17" i="6"/>
  <c r="I11" i="5"/>
  <c r="E29" i="6"/>
  <c r="C31" i="5"/>
  <c r="BI30" i="6"/>
  <c r="S22" i="5"/>
  <c r="BC29" i="6"/>
  <c r="H21" i="5"/>
  <c r="AF5" i="6"/>
  <c r="S10" i="5"/>
  <c r="BG24" i="6"/>
  <c r="BC11" i="6"/>
  <c r="S13" i="5"/>
  <c r="BC30" i="6"/>
  <c r="U17" i="5"/>
  <c r="D13" i="5"/>
  <c r="S32" i="6"/>
  <c r="G20" i="4"/>
  <c r="I17" i="4"/>
  <c r="AV24" i="4"/>
  <c r="M31" i="4"/>
  <c r="H27" i="4"/>
  <c r="AS32" i="4"/>
  <c r="AQ23" i="4"/>
  <c r="E21" i="4"/>
  <c r="S18" i="4"/>
  <c r="AD34" i="4"/>
  <c r="AU16" i="4"/>
  <c r="AU12" i="4"/>
  <c r="AH20" i="4"/>
  <c r="F34" i="4"/>
  <c r="V1" i="4"/>
  <c r="AC21" i="4"/>
  <c r="V11" i="4"/>
  <c r="S24" i="4"/>
  <c r="AP6" i="4"/>
  <c r="AT33" i="4"/>
  <c r="AF8" i="4"/>
  <c r="Y16" i="4"/>
  <c r="T8" i="4"/>
  <c r="AH8" i="4"/>
  <c r="AD10" i="4"/>
  <c r="AB19" i="4"/>
  <c r="AU15" i="4"/>
  <c r="AP15" i="4"/>
  <c r="C10" i="4"/>
  <c r="T24" i="4"/>
  <c r="U9" i="4"/>
  <c r="Z33" i="4"/>
  <c r="AN20" i="4"/>
  <c r="AB10" i="4"/>
  <c r="AS6" i="4"/>
  <c r="AM25" i="4"/>
  <c r="J34" i="4"/>
  <c r="AE21" i="4"/>
  <c r="E7" i="4"/>
  <c r="F7" i="4"/>
  <c r="S31" i="4"/>
  <c r="V10" i="4"/>
  <c r="G21" i="4"/>
  <c r="B7" i="4"/>
  <c r="Z5" i="4"/>
  <c r="AD5" i="4"/>
  <c r="AN6" i="4"/>
  <c r="F24" i="4"/>
  <c r="AN27" i="4"/>
  <c r="AF9" i="4"/>
  <c r="J32" i="4"/>
  <c r="AC12" i="4"/>
  <c r="AU121" i="4"/>
  <c r="AI1" i="4"/>
  <c r="BD1" i="6"/>
  <c r="H7" i="4"/>
  <c r="K33" i="4"/>
  <c r="Y24" i="4"/>
  <c r="D27" i="4"/>
  <c r="AF11" i="4"/>
  <c r="AB23" i="4"/>
  <c r="AN31" i="4"/>
  <c r="H17" i="4"/>
  <c r="AR6" i="4"/>
  <c r="AU11" i="4"/>
  <c r="AE7" i="4"/>
  <c r="Y31" i="4"/>
  <c r="AV17" i="4"/>
  <c r="C5" i="4"/>
  <c r="AI6" i="4"/>
  <c r="B21" i="4"/>
  <c r="AM9" i="4"/>
  <c r="B14" i="4"/>
  <c r="I9" i="4"/>
  <c r="Y33" i="4"/>
  <c r="Z19" i="4"/>
  <c r="AC5" i="4"/>
  <c r="V13" i="4"/>
  <c r="I23" i="4"/>
  <c r="AM8" i="4"/>
  <c r="AG12" i="4"/>
  <c r="S6" i="4"/>
  <c r="O32" i="4"/>
  <c r="F27" i="4"/>
  <c r="Z12" i="4"/>
  <c r="AI26" i="4"/>
  <c r="G24" i="4"/>
  <c r="D18" i="4"/>
  <c r="AA13" i="4"/>
  <c r="V32" i="4"/>
  <c r="O11" i="4"/>
  <c r="Y17" i="4"/>
  <c r="B18" i="4"/>
  <c r="AD16" i="4"/>
  <c r="M16" i="4"/>
  <c r="J29" i="4"/>
  <c r="M25" i="4"/>
  <c r="AA19" i="4"/>
  <c r="B11" i="4"/>
  <c r="AC16" i="4"/>
  <c r="AO8" i="4"/>
  <c r="AU13" i="4"/>
  <c r="AO7" i="4"/>
  <c r="H18" i="4"/>
  <c r="AL16" i="4"/>
  <c r="J28" i="4"/>
  <c r="AP11" i="4"/>
  <c r="AS25" i="4"/>
  <c r="V31" i="4"/>
  <c r="AM29" i="4"/>
  <c r="S21" i="4"/>
  <c r="V15" i="4"/>
  <c r="F32" i="4"/>
  <c r="O1" i="4"/>
  <c r="U6" i="4"/>
  <c r="AI30" i="4"/>
  <c r="K1" i="5"/>
  <c r="BA1" i="6"/>
  <c r="S29" i="4"/>
  <c r="H16" i="4"/>
  <c r="AV34" i="4"/>
  <c r="E17" i="4"/>
  <c r="AK13" i="4"/>
  <c r="M18" i="4"/>
  <c r="K15" i="4"/>
  <c r="O24" i="4"/>
  <c r="Z10" i="4"/>
  <c r="L8" i="4"/>
  <c r="AQ9" i="4"/>
  <c r="AP20" i="4"/>
  <c r="K30" i="4"/>
  <c r="AV6" i="4"/>
  <c r="AO12" i="4"/>
  <c r="AN25" i="4"/>
  <c r="AL30" i="4"/>
  <c r="C1" i="6"/>
  <c r="AC24" i="4"/>
  <c r="M34" i="4"/>
  <c r="AB33" i="4"/>
  <c r="L10" i="4"/>
  <c r="AO26" i="4"/>
  <c r="C29" i="4"/>
  <c r="AK1" i="6"/>
  <c r="X1" i="6"/>
  <c r="AV1" i="4"/>
  <c r="K26" i="4"/>
  <c r="Y29" i="4"/>
  <c r="AN32" i="4"/>
  <c r="AN26" i="4"/>
  <c r="G1" i="4"/>
  <c r="T31" i="4"/>
  <c r="AL33" i="4"/>
  <c r="J21" i="4"/>
  <c r="E12" i="4"/>
  <c r="AA27" i="4"/>
  <c r="D6" i="4"/>
  <c r="D19" i="4"/>
  <c r="O1" i="5"/>
  <c r="AQ1" i="6"/>
  <c r="M1" i="5"/>
  <c r="Z30" i="4"/>
  <c r="D29" i="4"/>
  <c r="S9" i="4"/>
  <c r="L1" i="4"/>
  <c r="AL1" i="6"/>
  <c r="Z1" i="6"/>
  <c r="AK29" i="4"/>
  <c r="AD17" i="4"/>
  <c r="AP1" i="6"/>
  <c r="J1" i="7"/>
  <c r="AD27" i="4"/>
  <c r="F23" i="4"/>
  <c r="M9" i="4"/>
  <c r="E1" i="5"/>
  <c r="G14" i="4"/>
  <c r="E9" i="4"/>
  <c r="AA20" i="4"/>
  <c r="U15" i="4"/>
  <c r="E22" i="4"/>
  <c r="O17" i="4"/>
  <c r="AJ29" i="4"/>
  <c r="AU21" i="4"/>
  <c r="I11" i="4"/>
  <c r="AN21" i="4"/>
  <c r="H20" i="4"/>
  <c r="AI31" i="4"/>
  <c r="H9" i="4"/>
  <c r="E20" i="4"/>
  <c r="AR15" i="4"/>
  <c r="AM23" i="4"/>
  <c r="B1" i="6"/>
  <c r="AG24" i="4"/>
  <c r="AV14" i="4"/>
  <c r="M10" i="4"/>
  <c r="AG34" i="4"/>
  <c r="K27" i="4"/>
  <c r="AR12" i="4"/>
  <c r="AE1" i="6"/>
  <c r="E1" i="4"/>
  <c r="H1" i="6"/>
  <c r="AP25" i="4"/>
  <c r="M20" i="4"/>
  <c r="AR31" i="4"/>
  <c r="G7" i="4"/>
  <c r="AP31" i="4"/>
  <c r="Y5" i="4"/>
  <c r="P1" i="6"/>
  <c r="I1" i="6"/>
  <c r="D14" i="4"/>
  <c r="AL7" i="4"/>
  <c r="J1" i="6"/>
  <c r="K19" i="4"/>
  <c r="O18" i="4"/>
  <c r="N34" i="4"/>
  <c r="AC32" i="4"/>
  <c r="R1" i="6"/>
  <c r="AA10" i="4"/>
  <c r="F26" i="4"/>
  <c r="AG28" i="4"/>
  <c r="AM27" i="4"/>
  <c r="AL32" i="4"/>
  <c r="AO33" i="4"/>
  <c r="AP16" i="4"/>
  <c r="AI33" i="4"/>
  <c r="AA28" i="4"/>
  <c r="T7" i="4"/>
  <c r="E30" i="4"/>
  <c r="N9" i="4"/>
  <c r="C22" i="4"/>
  <c r="AT34" i="4"/>
  <c r="L5" i="4"/>
  <c r="J15" i="4"/>
  <c r="AT31" i="4"/>
  <c r="AO16" i="4"/>
  <c r="Z26" i="4"/>
  <c r="AF10" i="4"/>
  <c r="AT24" i="4"/>
  <c r="O1" i="6"/>
  <c r="AM1" i="4"/>
  <c r="AE12" i="4"/>
  <c r="U28" i="4"/>
  <c r="L20" i="4"/>
  <c r="K9" i="4"/>
  <c r="BH1" i="6"/>
  <c r="AE1" i="4"/>
  <c r="D30" i="4"/>
  <c r="AJ24" i="4"/>
  <c r="N20" i="4"/>
  <c r="O9" i="4"/>
  <c r="AA24" i="4"/>
  <c r="AW1" i="6"/>
  <c r="V17" i="4"/>
  <c r="U5" i="4"/>
  <c r="AC31" i="4"/>
  <c r="U29" i="4"/>
  <c r="I1" i="7"/>
  <c r="L30" i="4"/>
  <c r="Z32" i="4"/>
  <c r="AH22" i="4"/>
  <c r="T1" i="5"/>
  <c r="Q1" i="6"/>
  <c r="AF1" i="4"/>
  <c r="AK8" i="4"/>
  <c r="F13" i="4"/>
  <c r="S7" i="4"/>
  <c r="AE14" i="4"/>
  <c r="F30" i="6"/>
  <c r="BI6" i="6"/>
  <c r="B18" i="5"/>
  <c r="S7" i="5"/>
  <c r="AZ5" i="6"/>
  <c r="AQ32" i="6"/>
  <c r="AO19" i="6"/>
  <c r="AW23" i="6"/>
  <c r="G9" i="5"/>
  <c r="I32" i="5"/>
  <c r="AG26" i="4"/>
  <c r="U19" i="4"/>
  <c r="H8" i="4"/>
  <c r="AP29" i="4"/>
  <c r="M26" i="4"/>
  <c r="AR19" i="4"/>
  <c r="AT21" i="4"/>
  <c r="E32" i="4"/>
  <c r="AL18" i="4"/>
  <c r="AT5" i="4"/>
  <c r="AG5" i="4"/>
  <c r="AO14" i="4"/>
  <c r="AE20" i="4"/>
  <c r="L23" i="4"/>
  <c r="AT12" i="4"/>
  <c r="AE29" i="4"/>
  <c r="Y1" i="4"/>
  <c r="AS15" i="4"/>
  <c r="AC22" i="4"/>
  <c r="AL27" i="4"/>
  <c r="AA8" i="4"/>
  <c r="L29" i="4"/>
  <c r="AG14" i="4"/>
  <c r="AR20" i="4"/>
  <c r="I27" i="4"/>
  <c r="Y10" i="4"/>
  <c r="AM21" i="4"/>
  <c r="AA22" i="4"/>
  <c r="E8" i="4"/>
  <c r="H11" i="4"/>
  <c r="AV20" i="4"/>
  <c r="M33" i="4"/>
  <c r="K31" i="4"/>
  <c r="AG1" i="6"/>
  <c r="N23" i="4"/>
  <c r="J17" i="4"/>
  <c r="AR13" i="4"/>
  <c r="AN22" i="4"/>
  <c r="Q1" i="5"/>
  <c r="AU10" i="4"/>
  <c r="AH34" i="4"/>
  <c r="T17" i="4"/>
  <c r="I1" i="4"/>
  <c r="AI21" i="4"/>
  <c r="C1" i="4"/>
  <c r="AB29" i="4"/>
  <c r="I6" i="4"/>
  <c r="L1" i="6"/>
  <c r="AD25" i="4"/>
  <c r="AP28" i="4"/>
  <c r="AD20" i="4"/>
  <c r="B8" i="4"/>
  <c r="AE5" i="4"/>
  <c r="L24" i="4"/>
  <c r="O7" i="4"/>
  <c r="E25" i="4"/>
  <c r="AI1" i="6"/>
  <c r="AK30" i="4"/>
  <c r="S33" i="4"/>
  <c r="O28" i="4"/>
  <c r="AL29" i="4"/>
  <c r="F18" i="4"/>
  <c r="BF1" i="6"/>
  <c r="AH7" i="4"/>
  <c r="H1" i="7"/>
  <c r="AP32" i="4"/>
  <c r="AF29" i="4"/>
  <c r="AS34" i="4"/>
  <c r="Y1" i="6"/>
  <c r="K1" i="4"/>
  <c r="U12" i="4"/>
  <c r="AK18" i="4"/>
  <c r="K20" i="4"/>
  <c r="AT16" i="4"/>
  <c r="U17" i="4"/>
  <c r="I28" i="4"/>
  <c r="B15" i="4"/>
  <c r="L16" i="4"/>
  <c r="G17" i="4"/>
  <c r="AN1" i="4"/>
  <c r="L9" i="4"/>
  <c r="E34" i="4"/>
  <c r="J1" i="5"/>
  <c r="AP33" i="4"/>
  <c r="E22" i="5"/>
  <c r="AL33" i="6"/>
  <c r="H26" i="6"/>
  <c r="I7" i="5"/>
  <c r="AB23" i="6"/>
  <c r="G30" i="5"/>
  <c r="AL28" i="6"/>
  <c r="T25" i="5"/>
  <c r="F7" i="5"/>
  <c r="P34" i="5"/>
  <c r="AH11" i="4"/>
  <c r="AK14" i="4"/>
  <c r="I5" i="4"/>
  <c r="AI28" i="4"/>
  <c r="AT9" i="4"/>
  <c r="O16" i="4"/>
  <c r="AR17" i="4"/>
  <c r="AB25" i="4"/>
  <c r="T26" i="4"/>
  <c r="AA5" i="4"/>
  <c r="AH29" i="4"/>
  <c r="C17" i="4"/>
  <c r="Z22" i="4"/>
  <c r="K1" i="6"/>
  <c r="AN7" i="4"/>
  <c r="AQ12" i="4"/>
  <c r="AU14" i="4"/>
  <c r="AD15" i="4"/>
  <c r="T6" i="4"/>
  <c r="AD23" i="4"/>
  <c r="F25" i="4"/>
  <c r="M32" i="4"/>
  <c r="AM10" i="4"/>
  <c r="AF14" i="4"/>
  <c r="AG23" i="4"/>
  <c r="AT13" i="4"/>
  <c r="AE33" i="4"/>
  <c r="O26" i="4"/>
  <c r="B1" i="7"/>
  <c r="AJ18" i="4"/>
  <c r="C1" i="5"/>
  <c r="AE26" i="4"/>
  <c r="C11" i="4"/>
  <c r="I15" i="4"/>
  <c r="AX1" i="6"/>
  <c r="T12" i="4"/>
  <c r="AP30" i="4"/>
  <c r="T14" i="4"/>
  <c r="Z7" i="4"/>
  <c r="E31" i="4"/>
  <c r="AQ17" i="4"/>
  <c r="AD1" i="6"/>
  <c r="AS26" i="4"/>
  <c r="AO1" i="6"/>
  <c r="AV7" i="4"/>
  <c r="AG11" i="4"/>
  <c r="AG16" i="4"/>
  <c r="AK21" i="4"/>
  <c r="J5" i="4"/>
  <c r="Z11" i="4"/>
  <c r="S19" i="4"/>
  <c r="U1" i="6"/>
  <c r="F21" i="4"/>
  <c r="BE1" i="6"/>
  <c r="AU1" i="6"/>
  <c r="AI34" i="4"/>
  <c r="G5" i="4"/>
  <c r="AK20" i="4"/>
  <c r="AF20" i="4"/>
  <c r="AL1" i="4"/>
  <c r="E11" i="4"/>
  <c r="AT26" i="4"/>
  <c r="O29" i="4"/>
  <c r="H1" i="4"/>
  <c r="AJ9" i="4"/>
  <c r="L7" i="4"/>
  <c r="AV10" i="4"/>
  <c r="K28" i="4"/>
  <c r="AN33" i="4"/>
  <c r="AL8" i="4"/>
  <c r="L12" i="4"/>
  <c r="O14" i="4"/>
  <c r="B34" i="6"/>
  <c r="C9" i="5"/>
  <c r="M31" i="5"/>
  <c r="AQ13" i="4"/>
  <c r="G28" i="4"/>
  <c r="AR29" i="4"/>
  <c r="T16" i="4"/>
  <c r="E29" i="4"/>
  <c r="K32" i="4"/>
  <c r="AQ29" i="4"/>
  <c r="AD19" i="4"/>
  <c r="AR8" i="4"/>
  <c r="V5" i="4"/>
  <c r="AT7" i="4"/>
  <c r="B13" i="4"/>
  <c r="AB14" i="4"/>
  <c r="AT19" i="4"/>
  <c r="G22" i="4"/>
  <c r="AV18" i="4"/>
  <c r="AL14" i="4"/>
  <c r="F20" i="4"/>
  <c r="AJ7" i="4"/>
  <c r="G12" i="4"/>
  <c r="AB21" i="4"/>
  <c r="G27" i="4"/>
  <c r="AE34" i="4"/>
  <c r="AD8" i="4"/>
  <c r="V20" i="4"/>
  <c r="AP23" i="4"/>
  <c r="C30" i="4"/>
  <c r="AO9" i="4"/>
  <c r="S1" i="6"/>
  <c r="N19" i="4"/>
  <c r="AG27" i="4"/>
  <c r="O13" i="4"/>
  <c r="AK12" i="4"/>
  <c r="E1" i="6"/>
  <c r="F12" i="4"/>
  <c r="AB34" i="4"/>
  <c r="AM15" i="4"/>
  <c r="AR27" i="4"/>
  <c r="O20" i="4"/>
  <c r="AV28" i="4"/>
  <c r="U13" i="4"/>
  <c r="N15" i="4"/>
  <c r="AR33" i="4"/>
  <c r="AK5" i="4"/>
  <c r="AH16" i="4"/>
  <c r="K24" i="4"/>
  <c r="AF33" i="6"/>
  <c r="K32" i="5"/>
  <c r="D34" i="6"/>
  <c r="K11" i="6"/>
  <c r="W27" i="6"/>
  <c r="U14" i="4"/>
  <c r="B20" i="4"/>
  <c r="I29" i="4"/>
  <c r="AG31" i="4"/>
  <c r="I24" i="4"/>
  <c r="AD21" i="4"/>
  <c r="AC15" i="4"/>
  <c r="AL21" i="4"/>
  <c r="M14" i="4"/>
  <c r="L21" i="4"/>
  <c r="Y27" i="4"/>
  <c r="C31" i="4"/>
  <c r="I26" i="4"/>
  <c r="E18" i="4"/>
  <c r="AF26" i="4"/>
  <c r="F5" i="4"/>
  <c r="O34" i="4"/>
  <c r="Y11" i="4"/>
  <c r="T27" i="4"/>
  <c r="AM33" i="4"/>
  <c r="AR7" i="4"/>
  <c r="AB1" i="4"/>
  <c r="AB1" i="6"/>
  <c r="D15" i="4"/>
  <c r="Y25" i="4"/>
  <c r="AI27" i="4"/>
  <c r="AF1" i="6"/>
  <c r="E14" i="4"/>
  <c r="AV5" i="4"/>
  <c r="AV15" i="4"/>
  <c r="G1" i="5"/>
  <c r="N27" i="4"/>
  <c r="AU5" i="4"/>
  <c r="AM32" i="4"/>
  <c r="C32" i="4"/>
  <c r="AT18" i="4"/>
  <c r="V21" i="4"/>
  <c r="AE30" i="4"/>
  <c r="AG7" i="4"/>
  <c r="V30" i="4"/>
  <c r="AS1" i="6"/>
  <c r="S8" i="4"/>
  <c r="Y12" i="4"/>
  <c r="M6" i="4"/>
  <c r="H25" i="4"/>
  <c r="Z20" i="4"/>
  <c r="D20" i="4"/>
  <c r="AI23" i="4"/>
  <c r="G9" i="4"/>
  <c r="H28" i="4"/>
  <c r="AN34" i="4"/>
  <c r="AO25" i="4"/>
  <c r="T1" i="4"/>
  <c r="AS18" i="4"/>
  <c r="D31" i="4"/>
  <c r="C33" i="5"/>
  <c r="AL22" i="6"/>
  <c r="M25" i="5"/>
  <c r="D21" i="6"/>
  <c r="F32" i="5"/>
  <c r="AE24" i="6"/>
  <c r="AQ24" i="4"/>
  <c r="G26" i="4"/>
  <c r="G19" i="4"/>
  <c r="AU25" i="4"/>
  <c r="AD13" i="4"/>
  <c r="H12" i="4"/>
  <c r="AB11" i="4"/>
  <c r="AD29" i="4"/>
  <c r="AU31" i="4"/>
  <c r="AK19" i="4"/>
  <c r="AK15" i="4"/>
  <c r="AE23" i="4"/>
  <c r="AO27" i="4"/>
  <c r="AI8" i="4"/>
  <c r="AK34" i="4"/>
  <c r="N11" i="4"/>
  <c r="AC14" i="4"/>
  <c r="T34" i="4"/>
  <c r="AQ33" i="4"/>
  <c r="M29" i="4"/>
  <c r="AS11" i="4"/>
  <c r="AP5" i="4"/>
  <c r="AC28" i="4"/>
  <c r="BB1" i="6"/>
  <c r="AT17" i="4"/>
  <c r="AF15" i="4"/>
  <c r="AU29" i="4"/>
  <c r="I34" i="4"/>
  <c r="Y13" i="4"/>
  <c r="AN28" i="4"/>
  <c r="AH19" i="4"/>
  <c r="J18" i="4"/>
  <c r="AA16" i="4"/>
  <c r="E19" i="4"/>
  <c r="P1" i="5"/>
  <c r="AR10" i="4"/>
  <c r="H31" i="4"/>
  <c r="AJ8" i="4"/>
  <c r="AJ11" i="4"/>
  <c r="AU32" i="4"/>
  <c r="O33" i="4"/>
  <c r="S30" i="4"/>
  <c r="V28" i="4"/>
  <c r="AS33" i="4"/>
  <c r="AS1" i="4"/>
  <c r="C12" i="5"/>
  <c r="AH27" i="6"/>
  <c r="C26" i="6"/>
  <c r="G7" i="5"/>
  <c r="AQ6" i="4"/>
  <c r="AS24" i="4"/>
  <c r="V26" i="4"/>
  <c r="AO29" i="4"/>
  <c r="AH27" i="4"/>
  <c r="AO13" i="4"/>
  <c r="AO23" i="4"/>
  <c r="AR23" i="4"/>
  <c r="M27" i="4"/>
  <c r="AK17" i="4"/>
  <c r="I20" i="4"/>
  <c r="AT15" i="4"/>
  <c r="O27" i="4"/>
  <c r="AB31" i="4"/>
  <c r="O21" i="4"/>
  <c r="BG1" i="6"/>
  <c r="AI29" i="4"/>
  <c r="AJ22" i="4"/>
  <c r="AT30" i="4"/>
  <c r="G1" i="6"/>
  <c r="K5" i="4"/>
  <c r="T33" i="4"/>
  <c r="AN11" i="4"/>
  <c r="AU19" i="4"/>
  <c r="N8" i="4"/>
  <c r="AG10" i="4"/>
  <c r="O22" i="4"/>
  <c r="AJ17" i="4"/>
  <c r="Y34" i="4"/>
  <c r="AO19" i="4"/>
  <c r="D26" i="4"/>
  <c r="D1" i="4"/>
  <c r="O5" i="4"/>
  <c r="AP10" i="4"/>
  <c r="AB6" i="4"/>
  <c r="AB30" i="4"/>
  <c r="C14" i="4"/>
  <c r="C15" i="4"/>
  <c r="AK27" i="4"/>
  <c r="AQ14" i="4"/>
  <c r="E15" i="4"/>
  <c r="E5" i="4"/>
  <c r="AR1" i="6"/>
  <c r="V9" i="4"/>
  <c r="I18" i="4"/>
  <c r="AT11" i="4"/>
  <c r="AQ27" i="4"/>
  <c r="T1" i="7" l="1"/>
  <c r="O1" i="7"/>
  <c r="L1" i="7"/>
  <c r="N22" i="7"/>
  <c r="N34" i="7"/>
  <c r="Q30" i="7"/>
  <c r="N11" i="7"/>
  <c r="V30" i="7"/>
  <c r="N7" i="7"/>
  <c r="V24" i="7"/>
  <c r="Q23" i="7"/>
  <c r="N31" i="7"/>
  <c r="Q29" i="7"/>
  <c r="Q22" i="7"/>
  <c r="V22" i="7"/>
  <c r="V12" i="7"/>
  <c r="Q11" i="7"/>
  <c r="N8" i="7"/>
  <c r="N27" i="7"/>
  <c r="V13" i="7"/>
  <c r="V18" i="7"/>
  <c r="Q33" i="7"/>
  <c r="N28" i="7"/>
  <c r="N13" i="7"/>
  <c r="Q17" i="7"/>
  <c r="Q31" i="7"/>
  <c r="N6" i="7"/>
  <c r="N26" i="7"/>
  <c r="Q24" i="7"/>
  <c r="V29" i="7"/>
  <c r="Q8" i="7"/>
  <c r="V25" i="7"/>
  <c r="V20" i="7"/>
  <c r="N33" i="7"/>
  <c r="Q32" i="7"/>
  <c r="Q34" i="7"/>
  <c r="N17" i="7"/>
  <c r="N15" i="7"/>
  <c r="Q26" i="7"/>
  <c r="V26" i="7"/>
  <c r="N10" i="7"/>
  <c r="V7" i="7"/>
  <c r="V14" i="7"/>
  <c r="N32" i="7"/>
  <c r="V15" i="7"/>
  <c r="V8" i="7"/>
  <c r="Q18" i="7"/>
  <c r="N21" i="7"/>
  <c r="N25" i="7"/>
  <c r="Q14" i="7"/>
  <c r="N16" i="7"/>
  <c r="Q25" i="7"/>
  <c r="V19" i="7"/>
  <c r="Q13" i="7"/>
  <c r="Q15" i="7"/>
  <c r="N20" i="7"/>
  <c r="Q9" i="7"/>
  <c r="N24" i="7"/>
  <c r="Q28" i="7"/>
  <c r="V28" i="7"/>
  <c r="V16" i="7"/>
  <c r="Q16" i="7"/>
  <c r="Q6" i="7"/>
  <c r="Q12" i="7"/>
  <c r="Q7" i="7"/>
  <c r="N30" i="7"/>
  <c r="Q21" i="7"/>
  <c r="N9" i="7"/>
  <c r="V17" i="7"/>
  <c r="Q27" i="7"/>
  <c r="V23" i="7"/>
  <c r="V27" i="7"/>
  <c r="Q10" i="7"/>
  <c r="V9" i="7"/>
  <c r="Q19" i="7"/>
  <c r="Q20" i="7"/>
  <c r="N19" i="7"/>
  <c r="N14" i="7"/>
  <c r="N23" i="7"/>
  <c r="N12" i="7"/>
  <c r="N18" i="7"/>
  <c r="V6" i="7"/>
  <c r="N29" i="7"/>
  <c r="N5" i="7"/>
  <c r="V5" i="7"/>
  <c r="Q5" i="7"/>
  <c r="W9" i="4"/>
  <c r="P5" i="4"/>
  <c r="P21" i="4"/>
  <c r="P27" i="4"/>
  <c r="X28" i="4"/>
  <c r="Q33" i="4"/>
  <c r="X30" i="4"/>
  <c r="P20" i="4"/>
  <c r="P13" i="4"/>
  <c r="X5" i="4"/>
  <c r="R14" i="4"/>
  <c r="Q26" i="4"/>
  <c r="R28" i="4"/>
  <c r="P7" i="4"/>
  <c r="Y1" i="7"/>
  <c r="P9" i="4"/>
  <c r="R18" i="4"/>
  <c r="R17" i="4"/>
  <c r="P24" i="4"/>
  <c r="R1" i="4"/>
  <c r="W31" i="4"/>
  <c r="P11" i="4"/>
  <c r="X32" i="4"/>
  <c r="X13" i="4"/>
  <c r="W11" i="4"/>
  <c r="W29" i="4"/>
  <c r="R6" i="4"/>
  <c r="P12" i="4"/>
  <c r="X14" i="4"/>
  <c r="R30" i="4"/>
  <c r="R25" i="4"/>
  <c r="X25" i="4"/>
  <c r="Q15" i="4"/>
  <c r="X12" i="4"/>
  <c r="X24" i="4"/>
  <c r="X33" i="4"/>
  <c r="R1" i="7"/>
  <c r="R8" i="4"/>
  <c r="Q31" i="4"/>
  <c r="X34" i="4"/>
  <c r="R23" i="4"/>
  <c r="P19" i="4"/>
  <c r="X19" i="4"/>
  <c r="X27" i="4"/>
  <c r="Q10" i="4"/>
  <c r="W7" i="4"/>
  <c r="X9" i="4"/>
  <c r="Q22" i="4"/>
  <c r="Q21" i="4"/>
  <c r="R27" i="4"/>
  <c r="W28" i="4"/>
  <c r="X21" i="4"/>
  <c r="R34" i="4"/>
  <c r="Q20" i="4"/>
  <c r="R13" i="4"/>
  <c r="W5" i="4"/>
  <c r="Q29" i="4"/>
  <c r="P16" i="4"/>
  <c r="P28" i="4"/>
  <c r="AB1" i="7"/>
  <c r="Q9" i="4"/>
  <c r="Q18" i="4"/>
  <c r="R24" i="4"/>
  <c r="Q1" i="4"/>
  <c r="Q11" i="4"/>
  <c r="R32" i="4"/>
  <c r="W13" i="4"/>
  <c r="X10" i="4"/>
  <c r="X1" i="4"/>
  <c r="W22" i="4"/>
  <c r="Q6" i="4"/>
  <c r="W14" i="4"/>
  <c r="Q30" i="4"/>
  <c r="Q25" i="4"/>
  <c r="W25" i="4"/>
  <c r="W23" i="4"/>
  <c r="W33" i="4"/>
  <c r="P31" i="4"/>
  <c r="Q23" i="4"/>
  <c r="R19" i="4"/>
  <c r="R5" i="4"/>
  <c r="P22" i="4"/>
  <c r="R21" i="4"/>
  <c r="W26" i="4"/>
  <c r="P33" i="4"/>
  <c r="W21" i="4"/>
  <c r="Q34" i="4"/>
  <c r="R20" i="4"/>
  <c r="W20" i="4"/>
  <c r="Q14" i="4"/>
  <c r="P29" i="4"/>
  <c r="P26" i="4"/>
  <c r="R16" i="4"/>
  <c r="Q7" i="4"/>
  <c r="AA1" i="7"/>
  <c r="X17" i="4"/>
  <c r="R9" i="4"/>
  <c r="P17" i="4"/>
  <c r="Q24" i="4"/>
  <c r="W15" i="4"/>
  <c r="R11" i="4"/>
  <c r="P32" i="4"/>
  <c r="W10" i="4"/>
  <c r="W1" i="4"/>
  <c r="X16" i="4"/>
  <c r="X22" i="4"/>
  <c r="R12" i="4"/>
  <c r="P30" i="4"/>
  <c r="W18" i="4"/>
  <c r="R15" i="4"/>
  <c r="X23" i="4"/>
  <c r="Q8" i="4"/>
  <c r="R31" i="4"/>
  <c r="W8" i="4"/>
  <c r="Q19" i="4"/>
  <c r="X6" i="4"/>
  <c r="R10" i="4"/>
  <c r="Q5" i="4"/>
  <c r="R22" i="4"/>
  <c r="Q27" i="4"/>
  <c r="X26" i="4"/>
  <c r="R33" i="4"/>
  <c r="W30" i="4"/>
  <c r="P34" i="4"/>
  <c r="Q13" i="4"/>
  <c r="X20" i="4"/>
  <c r="P14" i="4"/>
  <c r="R29" i="4"/>
  <c r="R26" i="4"/>
  <c r="Q16" i="4"/>
  <c r="Q28" i="4"/>
  <c r="R7" i="4"/>
  <c r="W1" i="7"/>
  <c r="W17" i="4"/>
  <c r="P18" i="4"/>
  <c r="Q17" i="4"/>
  <c r="P1" i="4"/>
  <c r="X15" i="4"/>
  <c r="X31" i="4"/>
  <c r="W32" i="4"/>
  <c r="Q32" i="4"/>
  <c r="X11" i="4"/>
  <c r="W16" i="4"/>
  <c r="X29" i="4"/>
  <c r="P6" i="4"/>
  <c r="Q12" i="4"/>
  <c r="P25" i="4"/>
  <c r="X18" i="4"/>
  <c r="P15" i="4"/>
  <c r="W12" i="4"/>
  <c r="W24" i="4"/>
  <c r="P8" i="4"/>
  <c r="W34" i="4"/>
  <c r="P23" i="4"/>
  <c r="X8" i="4"/>
  <c r="W6" i="4"/>
  <c r="P10" i="4"/>
  <c r="W19" i="4"/>
  <c r="W27" i="4"/>
  <c r="X7" i="4"/>
  <c r="U1" i="7"/>
  <c r="P1" i="7"/>
  <c r="M1" i="7"/>
  <c r="S1" i="7"/>
  <c r="Z1" i="7"/>
  <c r="X1" i="7"/>
  <c r="Q1" i="7"/>
  <c r="V1" i="7"/>
  <c r="N1" i="7"/>
</calcChain>
</file>

<file path=xl/comments1.xml><?xml version="1.0" encoding="utf-8"?>
<comments xmlns="http://schemas.openxmlformats.org/spreadsheetml/2006/main">
  <authors>
    <author>作者</author>
  </authors>
  <commentList>
    <comment ref="AZ26" authorId="0" shapeId="0">
      <text>
        <r>
          <rPr>
            <sz val="9"/>
            <color indexed="81"/>
            <rFont val="宋体"/>
            <family val="3"/>
            <charset val="134"/>
          </rPr>
          <t>将其持有的可转债全部或部分按债券面值的103%(含当期利息)的价格回售给公司</t>
        </r>
      </text>
    </comment>
  </commentList>
</comments>
</file>

<file path=xl/comments2.xml><?xml version="1.0" encoding="utf-8"?>
<comments xmlns="http://schemas.openxmlformats.org/spreadsheetml/2006/main">
  <authors>
    <author>作者</author>
  </authors>
  <commentList>
    <comment ref="G28" authorId="0" shapeId="0">
      <text>
        <r>
          <rPr>
            <sz val="9"/>
            <color indexed="81"/>
            <rFont val="宋体"/>
            <family val="3"/>
            <charset val="134"/>
          </rPr>
          <t>Fetching...</t>
        </r>
      </text>
    </comment>
  </commentList>
</comments>
</file>

<file path=xl/sharedStrings.xml><?xml version="1.0" encoding="utf-8"?>
<sst xmlns="http://schemas.openxmlformats.org/spreadsheetml/2006/main" count="571" uniqueCount="297">
  <si>
    <t>100001.SH</t>
  </si>
  <si>
    <t>100009.SH</t>
  </si>
  <si>
    <t>100016.SH</t>
  </si>
  <si>
    <t>100087.SH</t>
  </si>
  <si>
    <t>100096.SH</t>
  </si>
  <si>
    <t>100117.SH</t>
  </si>
  <si>
    <t>100177.SH</t>
  </si>
  <si>
    <t>100196.SH</t>
  </si>
  <si>
    <t>100220.SH</t>
  </si>
  <si>
    <t>100236.SH</t>
  </si>
  <si>
    <t>100567.SH</t>
  </si>
  <si>
    <t>100726.SH</t>
  </si>
  <si>
    <t>100795.SH</t>
  </si>
  <si>
    <t>110001.SH</t>
  </si>
  <si>
    <t>110002.SH</t>
  </si>
  <si>
    <t>110003.SH</t>
  </si>
  <si>
    <t>110004.SH</t>
  </si>
  <si>
    <t>110005.SH</t>
  </si>
  <si>
    <t>110006.SH</t>
  </si>
  <si>
    <t>110007.SH</t>
  </si>
  <si>
    <t>110008.SH</t>
  </si>
  <si>
    <t>110009.SH</t>
  </si>
  <si>
    <t>110010.SH</t>
  </si>
  <si>
    <t>110011.SH</t>
  </si>
  <si>
    <t>110012.SH</t>
  </si>
  <si>
    <t>110013.SH</t>
  </si>
  <si>
    <t>110015.SH</t>
  </si>
  <si>
    <t>110016.SH</t>
  </si>
  <si>
    <t>110017.SH</t>
  </si>
  <si>
    <t>110018.SH</t>
  </si>
  <si>
    <t>110019.SH</t>
  </si>
  <si>
    <t>110021.SH</t>
  </si>
  <si>
    <t>110026.SH</t>
  </si>
  <si>
    <t>110036.SH</t>
  </si>
  <si>
    <t>110037.SH</t>
  </si>
  <si>
    <t>110078.SH</t>
  </si>
  <si>
    <t>110219.SH</t>
  </si>
  <si>
    <t>110227.SH</t>
  </si>
  <si>
    <t>110232.SH</t>
  </si>
  <si>
    <t>110317.SH</t>
  </si>
  <si>
    <t>110325.SH</t>
  </si>
  <si>
    <t>110368.SH</t>
  </si>
  <si>
    <t>110398.SH</t>
  </si>
  <si>
    <t>110418.SH</t>
  </si>
  <si>
    <t>110423.SH</t>
  </si>
  <si>
    <t>110488.SH</t>
  </si>
  <si>
    <t>110567.SH</t>
  </si>
  <si>
    <t>110598.SH</t>
  </si>
  <si>
    <t>110874.SH</t>
  </si>
  <si>
    <t>110971.SH</t>
  </si>
  <si>
    <t>113001.SH</t>
  </si>
  <si>
    <t>113002.SH</t>
  </si>
  <si>
    <t>125002.SZ</t>
  </si>
  <si>
    <t>125009.SZ</t>
  </si>
  <si>
    <t>125024.SZ</t>
  </si>
  <si>
    <t>125069.SZ</t>
  </si>
  <si>
    <t>125089.SZ</t>
  </si>
  <si>
    <t>125301.SZ</t>
  </si>
  <si>
    <t>125488.SZ</t>
  </si>
  <si>
    <t>125528.SZ</t>
  </si>
  <si>
    <t>125572.SZ</t>
  </si>
  <si>
    <t>125629.SZ</t>
  </si>
  <si>
    <t>125630.SZ</t>
  </si>
  <si>
    <t>125709.SZ</t>
  </si>
  <si>
    <t>125717.SZ</t>
  </si>
  <si>
    <t>125729.SZ</t>
  </si>
  <si>
    <t>125731.SZ</t>
  </si>
  <si>
    <t>125822.SZ</t>
  </si>
  <si>
    <t>125887.SZ</t>
  </si>
  <si>
    <t>125898.SZ</t>
  </si>
  <si>
    <t>125930.SZ</t>
  </si>
  <si>
    <t>125932.SZ</t>
  </si>
  <si>
    <t>125936.SZ</t>
  </si>
  <si>
    <t>125937.SZ</t>
  </si>
  <si>
    <t>125959.SZ</t>
  </si>
  <si>
    <t>125960.SZ</t>
  </si>
  <si>
    <t>125969.SZ</t>
  </si>
  <si>
    <t>126002.SZ</t>
  </si>
  <si>
    <t>126301.SZ</t>
  </si>
  <si>
    <t>126630.SZ</t>
  </si>
  <si>
    <t>126729.SZ</t>
  </si>
  <si>
    <t>128031.SZ</t>
  </si>
  <si>
    <t>128233.SZ</t>
  </si>
  <si>
    <t>129031.SZ</t>
  </si>
  <si>
    <t>110030.SH</t>
  </si>
  <si>
    <t>110031.SH</t>
  </si>
  <si>
    <t>110032.SH</t>
  </si>
  <si>
    <t>110033.SH</t>
  </si>
  <si>
    <t>110034.SH</t>
  </si>
  <si>
    <t>110038.SH</t>
  </si>
  <si>
    <t>113008.SH</t>
  </si>
  <si>
    <t>113009.SH</t>
  </si>
  <si>
    <t>113010.SH</t>
  </si>
  <si>
    <t>113011.SH</t>
  </si>
  <si>
    <t>113012.SH</t>
  </si>
  <si>
    <t>113013.SH</t>
  </si>
  <si>
    <t>113014.SH</t>
  </si>
  <si>
    <t>113015.SH</t>
  </si>
  <si>
    <t>113016.SH</t>
  </si>
  <si>
    <t>113502.SH</t>
  </si>
  <si>
    <t>123001.SZ</t>
  </si>
  <si>
    <t>127003.SZ</t>
  </si>
  <si>
    <t>127004.SZ</t>
  </si>
  <si>
    <t>128010.SZ</t>
  </si>
  <si>
    <t>128012.SZ</t>
  </si>
  <si>
    <t>128013.SZ</t>
  </si>
  <si>
    <t>128014.SZ</t>
  </si>
  <si>
    <t>128015.SZ</t>
  </si>
  <si>
    <t>128016.SZ</t>
  </si>
  <si>
    <t>128017.SZ</t>
  </si>
  <si>
    <t>128018.SZ</t>
  </si>
  <si>
    <t>128019.SZ</t>
  </si>
  <si>
    <t>转债代码</t>
    <phoneticPr fontId="1" type="noConversion"/>
  </si>
  <si>
    <t>转债名称</t>
    <phoneticPr fontId="1" type="noConversion"/>
  </si>
  <si>
    <t>正股代码</t>
    <phoneticPr fontId="1" type="noConversion"/>
  </si>
  <si>
    <t>正股简称</t>
    <phoneticPr fontId="1" type="noConversion"/>
  </si>
  <si>
    <t>面值_x000D_
[单位] 元</t>
  </si>
  <si>
    <t>发行期限_x000D_
[单位] 年</t>
  </si>
  <si>
    <t>发行价格_x000D_
[单位] 元</t>
  </si>
  <si>
    <t>起息日期</t>
  </si>
  <si>
    <t>到期日期</t>
  </si>
  <si>
    <t>利率类型</t>
  </si>
  <si>
    <t>利率_x000D_
[单位] %</t>
  </si>
  <si>
    <t>上市日期</t>
  </si>
  <si>
    <t>上市地点</t>
  </si>
  <si>
    <t>发行信用等级</t>
  </si>
  <si>
    <t>发行人中文名称</t>
  </si>
  <si>
    <t>发行人英文名称</t>
  </si>
  <si>
    <t>是否随存款利率调整</t>
  </si>
  <si>
    <t>是否有利息补偿</t>
  </si>
  <si>
    <t>补偿利率_x000D_
[单位] %</t>
  </si>
  <si>
    <t>补偿利率说明</t>
  </si>
  <si>
    <t>票面利率说明</t>
  </si>
  <si>
    <t>付息说明</t>
  </si>
  <si>
    <t>相对转股期_x000D_
[单位] 月</t>
  </si>
  <si>
    <t>自愿转股起始日期</t>
  </si>
  <si>
    <t>自愿转股终止日期</t>
  </si>
  <si>
    <t>是否强制转股</t>
  </si>
  <si>
    <t>强制转股日</t>
  </si>
  <si>
    <t>强制转股价格_x000D_
[单位] 元</t>
  </si>
  <si>
    <t>转股代码</t>
  </si>
  <si>
    <t>转股价随派息调整</t>
  </si>
  <si>
    <t>转股条款</t>
  </si>
  <si>
    <t>特别向下修正条款全文</t>
  </si>
  <si>
    <t>是否有特别向下修正条款</t>
  </si>
  <si>
    <t>特别修正起始时间</t>
  </si>
  <si>
    <t>特别修正结束时间</t>
  </si>
  <si>
    <t>重设触发计算最大时间区间_x000D_
[单位] 天</t>
  </si>
  <si>
    <t>重设触发计算时间区间_x000D_
[单位] 天</t>
  </si>
  <si>
    <t>触发比例_x000D_
[单位] %</t>
  </si>
  <si>
    <t>是否为算术平均价</t>
  </si>
  <si>
    <t>特别修正幅度_x000D_
[单位] %</t>
  </si>
  <si>
    <t>修正价格底线说明</t>
  </si>
  <si>
    <t>修正次数限制</t>
  </si>
  <si>
    <t>时点修正条款全文</t>
  </si>
  <si>
    <t>相对赎回期_x000D_
[单位] 月</t>
  </si>
  <si>
    <t>每年可赎回次数_x000D_
[单位] 次</t>
  </si>
  <si>
    <t>条件赎回起始日期</t>
  </si>
  <si>
    <t>赎回触发计算最大时间区间_x000D_
[单位] 天</t>
  </si>
  <si>
    <t>赎回触发计算时间区间_x000D_
[单位] 天</t>
  </si>
  <si>
    <t>赎回触发比例_x000D_
[单位] %</t>
  </si>
  <si>
    <t>赎回价格</t>
  </si>
  <si>
    <t>赎回价格说明</t>
  </si>
  <si>
    <t>赎回条款</t>
  </si>
  <si>
    <t>是否有时点赎回条款</t>
  </si>
  <si>
    <t>时点赎回数</t>
  </si>
  <si>
    <t>时点赎回条款全文</t>
  </si>
  <si>
    <t>相对回售期_x000D_
[单位] 月</t>
  </si>
  <si>
    <t>条件回售起始日期</t>
  </si>
  <si>
    <t>条件回售截止日期</t>
  </si>
  <si>
    <t>回售触发计算最大时间区间_x000D_
[单位] 天</t>
  </si>
  <si>
    <t>回售触发比例_x000D_
[单位] %</t>
  </si>
  <si>
    <t>回售价格</t>
  </si>
  <si>
    <t>回售价格说明</t>
  </si>
  <si>
    <t>利息处理</t>
  </si>
  <si>
    <t>条件回售条款全文</t>
  </si>
  <si>
    <t>无条件回售期</t>
  </si>
  <si>
    <t>无条件回售起始日期</t>
  </si>
  <si>
    <t>无条件回售结束日期</t>
  </si>
  <si>
    <t>无条件回售价_x000D_
[单位] 元</t>
  </si>
  <si>
    <t>无条件回售条款</t>
  </si>
  <si>
    <t>时点回售数</t>
  </si>
  <si>
    <t>时点回售条款全文</t>
  </si>
  <si>
    <t>附加回售价格说明</t>
  </si>
  <si>
    <t>附加回售条件</t>
  </si>
  <si>
    <t>董事会预案公告日</t>
  </si>
  <si>
    <t>股东大会公告日</t>
  </si>
  <si>
    <t>发审委审批通过日期</t>
  </si>
  <si>
    <t>发行公告日</t>
  </si>
  <si>
    <t>老股东配售股权登记日</t>
  </si>
  <si>
    <t>老股东配售日期</t>
  </si>
  <si>
    <t>老股东配售缴款日</t>
  </si>
  <si>
    <t>网下向机构投资者发行日期</t>
  </si>
  <si>
    <t>网上发行日期</t>
  </si>
  <si>
    <t>发行结果公告日</t>
  </si>
  <si>
    <t>发行方式</t>
  </si>
  <si>
    <t>老股东配售说明</t>
  </si>
  <si>
    <t>老股东配售代码</t>
  </si>
  <si>
    <t>老股东配售简称</t>
  </si>
  <si>
    <t>老股东配售比例分母</t>
  </si>
  <si>
    <t>网上发行申购名称</t>
  </si>
  <si>
    <t>定金比例</t>
  </si>
  <si>
    <t>网上有效申购户数</t>
  </si>
  <si>
    <t>是否仅通过网上发行</t>
  </si>
  <si>
    <t>网下有效申购户数</t>
  </si>
  <si>
    <t>0值/1公式</t>
    <phoneticPr fontId="1" type="noConversion"/>
  </si>
  <si>
    <t>关联参数1</t>
    <phoneticPr fontId="1" type="noConversion"/>
  </si>
  <si>
    <t>发行总额_x000D_
[单位] 亿元</t>
    <phoneticPr fontId="1" type="noConversion"/>
  </si>
  <si>
    <t>债券余额_x000D_
[单位] 亿</t>
    <phoneticPr fontId="1" type="noConversion"/>
  </si>
  <si>
    <t>所属Wind二级行业</t>
    <phoneticPr fontId="1" type="noConversion"/>
  </si>
  <si>
    <t>所属Wind二级行业代码_x000D_</t>
    <phoneticPr fontId="1" type="noConversion"/>
  </si>
  <si>
    <t>年付息次数_x000D_</t>
    <phoneticPr fontId="1" type="noConversion"/>
  </si>
  <si>
    <t>未转股余额_x000D_
[交易日期] 万元</t>
    <phoneticPr fontId="1" type="noConversion"/>
  </si>
  <si>
    <t>转债简称</t>
    <phoneticPr fontId="1" type="noConversion"/>
  </si>
  <si>
    <t>核准日</t>
    <phoneticPr fontId="1" type="noConversion"/>
  </si>
  <si>
    <t>公告日</t>
    <phoneticPr fontId="1" type="noConversion"/>
  </si>
  <si>
    <t>发行日</t>
    <phoneticPr fontId="1" type="noConversion"/>
  </si>
  <si>
    <t>上市日</t>
    <phoneticPr fontId="1" type="noConversion"/>
  </si>
  <si>
    <t>到期日</t>
    <phoneticPr fontId="1" type="noConversion"/>
  </si>
  <si>
    <t>核准到公告的正股相对收益</t>
    <phoneticPr fontId="1" type="noConversion"/>
  </si>
  <si>
    <t>000300.SH</t>
    <phoneticPr fontId="1" type="noConversion"/>
  </si>
  <si>
    <t>公告到发行的正股超额收益</t>
    <phoneticPr fontId="1" type="noConversion"/>
  </si>
  <si>
    <t>公告日之前3日的正股相对收益</t>
    <phoneticPr fontId="1" type="noConversion"/>
  </si>
  <si>
    <t>发行到上市的正股超额收益</t>
    <phoneticPr fontId="1" type="noConversion"/>
  </si>
  <si>
    <t>核准到公告的正股绝对收益</t>
    <phoneticPr fontId="1" type="noConversion"/>
  </si>
  <si>
    <t>公告到发行的正股绝对收益</t>
    <phoneticPr fontId="1" type="noConversion"/>
  </si>
  <si>
    <t>公告日之前3日的正股绝对收益</t>
    <phoneticPr fontId="1" type="noConversion"/>
  </si>
  <si>
    <t>发行到上市的正股绝对收益</t>
    <phoneticPr fontId="1" type="noConversion"/>
  </si>
  <si>
    <t>转股价格_x000D_</t>
    <phoneticPr fontId="1" type="noConversion"/>
  </si>
  <si>
    <t>转换比例_x000D_
[单位] %</t>
    <phoneticPr fontId="1" type="noConversion"/>
  </si>
  <si>
    <t>未转股比例_x000D_
[单位] %</t>
    <phoneticPr fontId="1" type="noConversion"/>
  </si>
  <si>
    <t>老股东配售价格_x000D_</t>
    <phoneticPr fontId="1" type="noConversion"/>
  </si>
  <si>
    <t>向老股东配售数量_x000D_
 万张</t>
  </si>
  <si>
    <t>老股东配售户数_x000D_
 户</t>
  </si>
  <si>
    <t>网上发行申购价格_x000D_
 元</t>
  </si>
  <si>
    <t>原非流通股股东有效申购金额_x000D_
亿元</t>
  </si>
  <si>
    <t>原非流通股股东获配金额_x000D_
 亿元</t>
  </si>
  <si>
    <t>原流通股股东有效申购户数_x000D_
 户</t>
  </si>
  <si>
    <t>原流通股股东有效申购金额_x000D_
亿元</t>
  </si>
  <si>
    <t>原流通股股东可配售额_x000D_
 亿元</t>
  </si>
  <si>
    <t>原流通股股东获配金额_x000D_
 亿元</t>
  </si>
  <si>
    <t>网上有效申购金额_x000D_
 亿元</t>
  </si>
  <si>
    <t>网上冻结资金_x000D_
 亿元</t>
  </si>
  <si>
    <t>网上获配金额_x000D_
 亿元</t>
  </si>
  <si>
    <t>网上获配比例_x000D_
 %</t>
  </si>
  <si>
    <t>网上中签率_x000D_
 %</t>
  </si>
  <si>
    <t>网下有效申购金额_x000D_
 亿元</t>
  </si>
  <si>
    <t>网下冻结资金_x000D_
 亿元</t>
  </si>
  <si>
    <t>网下获配金额_x000D_
 亿元</t>
  </si>
  <si>
    <t>网下中签率_x000D_
 %</t>
  </si>
  <si>
    <t>包销余额_x000D_
万 元</t>
  </si>
  <si>
    <t>网上发行数量
 万张</t>
    <phoneticPr fontId="1" type="noConversion"/>
  </si>
  <si>
    <t>网下向机构投资者发行数量
 万张</t>
    <phoneticPr fontId="1" type="noConversion"/>
  </si>
  <si>
    <t>原非流通股股东有效申购户数_x000D_
 户</t>
    <phoneticPr fontId="1" type="noConversion"/>
  </si>
  <si>
    <t>核准到公告平均时间（天）</t>
    <phoneticPr fontId="1" type="noConversion"/>
  </si>
  <si>
    <t>公告到发行平均时间（天）</t>
    <phoneticPr fontId="1" type="noConversion"/>
  </si>
  <si>
    <t>发行到上市平均时间（天）</t>
    <phoneticPr fontId="1" type="noConversion"/>
  </si>
  <si>
    <t>上市后四周的正股相对收益</t>
    <phoneticPr fontId="1" type="noConversion"/>
  </si>
  <si>
    <t>上市后四周的正股绝对收益</t>
    <phoneticPr fontId="1" type="noConversion"/>
  </si>
  <si>
    <t>上市后一周的正股绝对收益</t>
    <phoneticPr fontId="1" type="noConversion"/>
  </si>
  <si>
    <t>上市前一周的正股相对收益</t>
    <phoneticPr fontId="1" type="noConversion"/>
  </si>
  <si>
    <t>上市后一周的转债绝对收益</t>
    <phoneticPr fontId="1" type="noConversion"/>
  </si>
  <si>
    <t>上市后四周的转债绝对收益</t>
    <phoneticPr fontId="1" type="noConversion"/>
  </si>
  <si>
    <t>每股配售额_x000D_
元</t>
    <phoneticPr fontId="1" type="noConversion"/>
  </si>
  <si>
    <t>网上发行超额认购倍数</t>
    <phoneticPr fontId="1" type="noConversion"/>
  </si>
  <si>
    <t>网下有效申购手数
 亿元</t>
    <phoneticPr fontId="1" type="noConversion"/>
  </si>
  <si>
    <t>110039.SH</t>
  </si>
  <si>
    <t>128020.SZ</t>
  </si>
  <si>
    <t>110020.SH</t>
  </si>
  <si>
    <t>110022.SH</t>
  </si>
  <si>
    <t>110023.SH</t>
  </si>
  <si>
    <t>110024.SH</t>
  </si>
  <si>
    <t>110025.SH</t>
  </si>
  <si>
    <t>110027.SH</t>
  </si>
  <si>
    <t>110028.SH</t>
  </si>
  <si>
    <t>110029.SH</t>
  </si>
  <si>
    <t>110035.SH</t>
  </si>
  <si>
    <t>113003.SH</t>
  </si>
  <si>
    <t>113005.SH</t>
  </si>
  <si>
    <t>113006.SH</t>
  </si>
  <si>
    <t>113007.SH</t>
  </si>
  <si>
    <t>113501.SH</t>
  </si>
  <si>
    <t>127001.SZ</t>
  </si>
  <si>
    <t>127002.SZ</t>
  </si>
  <si>
    <t>128001.SZ</t>
  </si>
  <si>
    <t>128002.SZ</t>
  </si>
  <si>
    <t>128003.SZ</t>
  </si>
  <si>
    <t>128004.SZ</t>
  </si>
  <si>
    <t>128005.SZ</t>
  </si>
  <si>
    <t>128006.SZ</t>
  </si>
  <si>
    <t>128007.SZ</t>
  </si>
  <si>
    <t>128008.SZ</t>
  </si>
  <si>
    <t>128009.SZ</t>
  </si>
  <si>
    <t>128011.SZ</t>
  </si>
  <si>
    <t>0值/1公式</t>
    <phoneticPr fontId="1" type="noConversion"/>
  </si>
  <si>
    <t>关联参数1</t>
    <phoneticPr fontId="1" type="noConversion"/>
  </si>
  <si>
    <t>预案日</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</si>
</sst>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10">
    <numFmt numFmtId="176" formatCode="###,###,###,##0.0000"/>
    <numFmt numFmtId="177" formatCode="###,###,###,##0"/>
    <numFmt numFmtId="178" formatCode="yyyy\-mm\-dd"/>
    <numFmt numFmtId="179" formatCode="###,###,###,##0.00000000"/>
    <numFmt numFmtId="180" formatCode="0.00_);[Red]\(0.00\)"/>
    <numFmt numFmtId="181" formatCode="0.00_ "/>
    <numFmt numFmtId="182" formatCode="0.0_ "/>
    <numFmt numFmtId="183" formatCode="0.0_);[Red]\(0.0\)"/>
    <numFmt numFmtId="184" formatCode="0_);[Red]\(0\)"/>
    <numFmt numFmtId="185" formatCode="0.000_);[Red]\(0.000\)"/>
  </numFmts>
  <fonts count="7" x14ac:knownFonts="1">
    <font>
      <sz val="11"/>
      <color theme="1"/>
      <name val="宋体"/>
      <family val="2"/>
      <scheme val="minor"/>
    </font>
    <font>
      <sz val="9"/>
      <name val="宋体"/>
      <family val="3"/>
      <charset val="134"/>
      <scheme val="minor"/>
    </font>
    <font>
      <sz val="11"/>
      <color theme="1"/>
      <name val="宋体"/>
      <family val="2"/>
      <scheme val="minor"/>
    </font>
    <font>
      <sz val="10"/>
      <color theme="1"/>
      <name val="宋体"/>
      <family val="2"/>
      <scheme val="minor"/>
    </font>
    <font>
      <sz val="10"/>
      <color theme="1"/>
      <name val="宋体"/>
      <family val="3"/>
      <charset val="134"/>
    </font>
    <font>
      <sz val="10"/>
      <color theme="1"/>
      <name val="宋体"/>
      <family val="3"/>
      <charset val="134"/>
      <scheme val="minor"/>
    </font>
    <font>
      <sz val="9"/>
      <color indexed="81"/>
      <name val="宋体"/>
      <family val="3"/>
      <charset val="134"/>
    </font>
  </fonts>
  <fills count="4">
    <fill>
      <patternFill patternType="none"/>
    </fill>
    <fill>
      <patternFill patternType="gray125"/>
    </fill>
    <fill>
      <patternFill patternType="solid">
        <fgColor rgb="FFFFFF00"/>
        <bgColor indexed="64"/>
      </patternFill>
    </fill>
    <fill>
      <patternFill patternType="solid">
        <fgColor theme="0"/>
        <bgColor indexed="64"/>
      </patternFill>
    </fill>
  </fills>
  <borders count="3">
    <border>
      <left/>
      <right/>
      <top/>
      <bottom/>
      <diagonal/>
    </border>
    <border>
      <left style="thin">
        <color indexed="8"/>
      </left>
      <right style="thin">
        <color indexed="8"/>
      </right>
      <top style="thin">
        <color indexed="8"/>
      </top>
      <bottom style="thin">
        <color indexed="8"/>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2" fillId="0" borderId="0" applyFont="0" applyFill="0" applyBorder="0" applyAlignment="0" applyProtection="0">
      <alignment vertical="center"/>
    </xf>
  </cellStyleXfs>
  <cellXfs count="58">
    <xf numFmtId="0" fontId="0" fillId="0" borderId="0" xfId="0"/>
    <xf numFmtId="0" fontId="3" fillId="0" borderId="2" xfId="0" applyFont="1" applyBorder="1"/>
    <xf numFmtId="0" fontId="5" fillId="0" borderId="2" xfId="0" applyFont="1" applyBorder="1" applyAlignment="1">
      <alignment vertical="center" wrapText="1"/>
    </xf>
    <xf numFmtId="0" fontId="5" fillId="0" borderId="2" xfId="0" applyFont="1" applyBorder="1" applyAlignment="1">
      <alignment horizontal="center" vertical="center" wrapText="1"/>
    </xf>
    <xf numFmtId="0" fontId="5" fillId="3" borderId="2" xfId="0" applyFont="1" applyFill="1" applyBorder="1" applyAlignment="1">
      <alignment vertical="center" wrapText="1"/>
    </xf>
    <xf numFmtId="1" fontId="4" fillId="0" borderId="2" xfId="0" applyNumberFormat="1" applyFont="1" applyBorder="1" applyAlignment="1">
      <alignment horizontal="justify" vertical="center"/>
    </xf>
    <xf numFmtId="1" fontId="5" fillId="0" borderId="2" xfId="0" applyNumberFormat="1" applyFont="1" applyBorder="1" applyAlignment="1">
      <alignment vertical="center" wrapText="1"/>
    </xf>
    <xf numFmtId="178" fontId="5" fillId="0" borderId="1" xfId="0" applyNumberFormat="1" applyFont="1" applyBorder="1" applyAlignment="1">
      <alignment horizontal="center" vertical="center" wrapText="1"/>
    </xf>
    <xf numFmtId="49" fontId="5" fillId="0" borderId="1" xfId="0" applyNumberFormat="1" applyFont="1" applyBorder="1" applyAlignment="1">
      <alignment horizontal="center" vertical="center" wrapText="1"/>
    </xf>
    <xf numFmtId="176" fontId="5" fillId="0" borderId="1" xfId="0" applyNumberFormat="1" applyFont="1" applyBorder="1" applyAlignment="1">
      <alignment horizontal="center" vertical="center" wrapText="1"/>
    </xf>
    <xf numFmtId="177" fontId="5" fillId="0" borderId="1" xfId="0" applyNumberFormat="1" applyFont="1" applyBorder="1" applyAlignment="1">
      <alignment horizontal="center" vertical="center" wrapText="1"/>
    </xf>
    <xf numFmtId="179" fontId="5" fillId="0" borderId="1" xfId="0" applyNumberFormat="1" applyFont="1" applyBorder="1" applyAlignment="1">
      <alignment horizontal="center" vertical="center" wrapText="1"/>
    </xf>
    <xf numFmtId="0" fontId="5" fillId="0" borderId="0" xfId="0" applyFont="1" applyAlignment="1">
      <alignment wrapText="1"/>
    </xf>
    <xf numFmtId="0" fontId="5" fillId="0" borderId="1" xfId="0" applyNumberFormat="1" applyFont="1" applyBorder="1" applyAlignment="1">
      <alignment horizontal="center" vertical="center" wrapText="1"/>
    </xf>
    <xf numFmtId="0" fontId="0" fillId="0" borderId="0" xfId="0" applyAlignment="1">
      <alignment vertical="center"/>
    </xf>
    <xf numFmtId="0" fontId="3" fillId="0" borderId="2" xfId="0" applyFont="1" applyBorder="1" applyAlignment="1">
      <alignment horizontal="center" vertical="center"/>
    </xf>
    <xf numFmtId="176" fontId="5" fillId="0" borderId="2" xfId="0" applyNumberFormat="1" applyFont="1" applyBorder="1" applyAlignment="1">
      <alignment horizontal="center" vertical="center" wrapText="1"/>
    </xf>
    <xf numFmtId="177" fontId="5" fillId="0" borderId="2" xfId="0" applyNumberFormat="1" applyFont="1" applyBorder="1" applyAlignment="1">
      <alignment horizontal="center" vertical="center" wrapText="1"/>
    </xf>
    <xf numFmtId="178" fontId="5" fillId="0" borderId="2" xfId="0" applyNumberFormat="1" applyFont="1" applyBorder="1" applyAlignment="1">
      <alignment horizontal="center" vertical="center" wrapText="1"/>
    </xf>
    <xf numFmtId="180" fontId="5" fillId="2" borderId="2" xfId="0" applyNumberFormat="1" applyFont="1" applyFill="1" applyBorder="1" applyAlignment="1">
      <alignment horizontal="center" vertical="center" wrapText="1"/>
    </xf>
    <xf numFmtId="176" fontId="5" fillId="2" borderId="2" xfId="0" applyNumberFormat="1" applyFont="1" applyFill="1" applyBorder="1" applyAlignment="1">
      <alignment horizontal="center" vertical="center" wrapText="1"/>
    </xf>
    <xf numFmtId="176" fontId="5" fillId="0" borderId="2" xfId="0" applyNumberFormat="1" applyFont="1" applyFill="1" applyBorder="1" applyAlignment="1">
      <alignment horizontal="center" vertical="center" wrapText="1"/>
    </xf>
    <xf numFmtId="178" fontId="5" fillId="0" borderId="2" xfId="0" applyNumberFormat="1" applyFont="1" applyFill="1" applyBorder="1" applyAlignment="1">
      <alignment horizontal="center" vertical="center" wrapText="1"/>
    </xf>
    <xf numFmtId="49" fontId="5" fillId="0" borderId="2" xfId="0" applyNumberFormat="1" applyFont="1" applyFill="1" applyBorder="1" applyAlignment="1">
      <alignment horizontal="center" vertical="center" wrapText="1"/>
    </xf>
    <xf numFmtId="177" fontId="5" fillId="0" borderId="2" xfId="0" applyNumberFormat="1" applyFont="1" applyFill="1" applyBorder="1" applyAlignment="1">
      <alignment horizontal="center" vertical="center" wrapText="1"/>
    </xf>
    <xf numFmtId="0" fontId="5" fillId="0" borderId="0" xfId="0" applyFont="1" applyBorder="1" applyAlignment="1">
      <alignment wrapText="1"/>
    </xf>
    <xf numFmtId="2" fontId="5" fillId="0" borderId="2" xfId="0" applyNumberFormat="1" applyFont="1" applyBorder="1" applyAlignment="1">
      <alignment horizontal="center" vertical="center"/>
    </xf>
    <xf numFmtId="0" fontId="5" fillId="0" borderId="2" xfId="0" applyFont="1" applyBorder="1" applyAlignment="1">
      <alignment horizontal="center" vertical="center"/>
    </xf>
    <xf numFmtId="0" fontId="5" fillId="0" borderId="2" xfId="0" applyFont="1" applyFill="1" applyBorder="1" applyAlignment="1">
      <alignment horizontal="center" vertical="center"/>
    </xf>
    <xf numFmtId="0" fontId="5" fillId="0" borderId="0" xfId="0" applyFont="1" applyAlignment="1">
      <alignment horizontal="center" vertical="center"/>
    </xf>
    <xf numFmtId="0" fontId="5" fillId="0" borderId="0" xfId="0" applyFont="1" applyBorder="1"/>
    <xf numFmtId="0" fontId="5" fillId="0" borderId="0" xfId="0" applyFont="1"/>
    <xf numFmtId="14" fontId="5" fillId="0" borderId="0" xfId="0" applyNumberFormat="1" applyFont="1" applyBorder="1"/>
    <xf numFmtId="49" fontId="5" fillId="0" borderId="2" xfId="0" applyNumberFormat="1" applyFont="1" applyBorder="1" applyAlignment="1">
      <alignment horizontal="center" vertical="center" wrapText="1"/>
    </xf>
    <xf numFmtId="0" fontId="5" fillId="0" borderId="0" xfId="0" applyFont="1" applyAlignment="1">
      <alignment vertical="center"/>
    </xf>
    <xf numFmtId="0" fontId="5" fillId="0" borderId="2" xfId="0" applyFont="1" applyBorder="1" applyAlignment="1">
      <alignment horizontal="center"/>
    </xf>
    <xf numFmtId="0" fontId="5" fillId="0" borderId="2" xfId="0" applyFont="1" applyBorder="1" applyAlignment="1"/>
    <xf numFmtId="180" fontId="5" fillId="0" borderId="2" xfId="0" applyNumberFormat="1" applyFont="1" applyBorder="1" applyAlignment="1">
      <alignment horizontal="right"/>
    </xf>
    <xf numFmtId="181" fontId="5" fillId="0" borderId="2" xfId="0" applyNumberFormat="1" applyFont="1" applyBorder="1" applyAlignment="1"/>
    <xf numFmtId="180" fontId="5" fillId="0" borderId="0" xfId="0" applyNumberFormat="1" applyFont="1"/>
    <xf numFmtId="14" fontId="5" fillId="0" borderId="0" xfId="0" applyNumberFormat="1" applyFont="1"/>
    <xf numFmtId="0" fontId="5" fillId="0" borderId="0" xfId="0" applyFont="1" applyAlignment="1">
      <alignment vertical="top"/>
    </xf>
    <xf numFmtId="0" fontId="5" fillId="0" borderId="2" xfId="0" applyFont="1" applyBorder="1"/>
    <xf numFmtId="185" fontId="5" fillId="0" borderId="2" xfId="0" applyNumberFormat="1" applyFont="1" applyBorder="1"/>
    <xf numFmtId="184" fontId="5" fillId="0" borderId="2" xfId="0" applyNumberFormat="1" applyFont="1" applyBorder="1"/>
    <xf numFmtId="0" fontId="5" fillId="0" borderId="2" xfId="0" applyNumberFormat="1" applyFont="1" applyBorder="1"/>
    <xf numFmtId="183" fontId="5" fillId="0" borderId="2" xfId="0" applyNumberFormat="1" applyFont="1" applyBorder="1"/>
    <xf numFmtId="183" fontId="5" fillId="0" borderId="2" xfId="1" applyNumberFormat="1" applyFont="1" applyBorder="1" applyAlignment="1"/>
    <xf numFmtId="182" fontId="5" fillId="0" borderId="2" xfId="0" applyNumberFormat="1" applyFont="1" applyBorder="1"/>
    <xf numFmtId="0" fontId="5" fillId="0" borderId="0" xfId="0" applyNumberFormat="1" applyFont="1"/>
    <xf numFmtId="10" fontId="5" fillId="0" borderId="0" xfId="0" applyNumberFormat="1" applyFont="1"/>
    <xf numFmtId="49" fontId="3" fillId="0" borderId="2" xfId="0" applyNumberFormat="1" applyFont="1" applyBorder="1" applyAlignment="1">
      <alignment vertical="top"/>
    </xf>
    <xf numFmtId="1" fontId="5" fillId="0" borderId="2" xfId="0" applyNumberFormat="1" applyFont="1" applyBorder="1"/>
    <xf numFmtId="181" fontId="5" fillId="0" borderId="2" xfId="1" applyNumberFormat="1" applyFont="1" applyBorder="1" applyAlignment="1"/>
    <xf numFmtId="181" fontId="5" fillId="0" borderId="2" xfId="0" applyNumberFormat="1" applyFont="1" applyBorder="1"/>
    <xf numFmtId="1" fontId="5" fillId="0" borderId="0" xfId="0" applyNumberFormat="1" applyFont="1"/>
    <xf numFmtId="0" fontId="5" fillId="0" borderId="2" xfId="0" applyFont="1" applyBorder="1" applyAlignment="1">
      <alignment vertical="center"/>
    </xf>
    <xf numFmtId="0" fontId="5" fillId="0" borderId="0" xfId="0" applyFont="1" applyBorder="1" applyAlignment="1">
      <alignment vertical="center"/>
    </xf>
  </cellXfs>
  <cellStyles count="2">
    <cellStyle name="百分比" xfId="1" builtinId="5"/>
    <cellStyle name="常规"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C:\Wind\Wind.NET.Client\WindNET\DataBrowse\XLA\WindFunc.xla"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s>
    <definedNames>
      <definedName name="b_clause_conversion_code"/>
      <definedName name="b_pq_pctchange"/>
      <definedName name="cb_clause_calloption_conditionalredeemstartdate"/>
      <definedName name="cb_clause_calloption_iswithtimeredemptionclause"/>
      <definedName name="cb_clause_calloption_redeemclause"/>
      <definedName name="cb_clause_calloption_redeemitem"/>
      <definedName name="cb_clause_calloption_redeemmaxspan"/>
      <definedName name="cb_clause_calloption_redeemspan"/>
      <definedName name="cb_clause_calloption_redemptionmemo"/>
      <definedName name="cb_clause_calloption_redemptionprice"/>
      <definedName name="cb_clause_calloption_redemptiontimesperyear"/>
      <definedName name="cb_clause_calloption_relativecalloptionperiod"/>
      <definedName name="cb_clause_calloption_timeredemptiontimes"/>
      <definedName name="cb_clause_calloption_triggerproportion"/>
      <definedName name="cb_clause_conversion_2_conversionproportion"/>
      <definedName name="cb_clause_conversion_2_forceconvertdate"/>
      <definedName name="cb_clause_conversion_2_forceconvertprice"/>
      <definedName name="cb_clause_conversion_2_isforced"/>
      <definedName name="cb_clause_conversion_2_relativeswapsharemonth"/>
      <definedName name="cb_clause_conversion_2_swapshareenddate"/>
      <definedName name="cb_clause_conversion_2_swapsharestartdate"/>
      <definedName name="cb_clause_conversion2_bondlot"/>
      <definedName name="cb_clause_conversion2_bondproportion"/>
      <definedName name="cb_clause_conversion2_conversionproportion"/>
      <definedName name="cb_clause_conversion2_swapshareprice"/>
      <definedName name="cb_clause_conversion2_tosharepriceadjustitem"/>
      <definedName name="cb_clause_interest"/>
      <definedName name="cb_clause_putoption_additionalpricememo"/>
      <definedName name="cb_clause_putoption_conditionalputbackenddate"/>
      <definedName name="cb_clause_putoption_conditionalputbackstartenddate"/>
      <definedName name="cb_clause_putoption_interestdisposing"/>
      <definedName name="cb_clause_putoption_putbackadditionalcondition"/>
      <definedName name="cb_clause_putoption_putbackclause"/>
      <definedName name="cb_clause_putoption_putbackenddate"/>
      <definedName name="cb_clause_putoption_putbackperiod"/>
      <definedName name="cb_clause_putoption_putbackperiodobs"/>
      <definedName name="cb_clause_putoption_putbackprice"/>
      <definedName name="cb_clause_putoption_putbackstartdate"/>
      <definedName name="cb_clause_putoption_putbacktriggermaxspan"/>
      <definedName name="cb_clause_putoption_redeem_triggerproportion"/>
      <definedName name="cb_clause_putoption_resellingprice"/>
      <definedName name="cb_clause_putoption_resellingpriceexplaination"/>
      <definedName name="cb_clause_putoption_sellbackitem"/>
      <definedName name="cb_clause_putoption_timeputbackclause"/>
      <definedName name="cb_clause_putoption_timeputbacktimes"/>
      <definedName name="cb_clause_reset_isexitreset"/>
      <definedName name="cb_clause_reset_item"/>
      <definedName name="cb_clause_reset_referencepriceisanverage"/>
      <definedName name="cb_clause_reset_resetmaxtimespan"/>
      <definedName name="cb_clause_reset_resetperiodenddate"/>
      <definedName name="cb_clause_reset_resetrange"/>
      <definedName name="cb_clause_reset_resetstartdate"/>
      <definedName name="cb_clause_reset_resettimeslimit"/>
      <definedName name="cb_clause_reset_resettimespan"/>
      <definedName name="cb_clause_reset_resettriggerratio"/>
      <definedName name="cb_clause_reset_stockpricelowestlimit"/>
      <definedName name="cb_clause_reset_timepointclause"/>
      <definedName name="cb_info_carrydate"/>
      <definedName name="cb_info_creditrating"/>
      <definedName name="cb_info_interest"/>
      <definedName name="cb_info_interestfrequency"/>
      <definedName name="cb_info_interesttype"/>
      <definedName name="cb_info_issueamount"/>
      <definedName name="cb_info_issueen"/>
      <definedName name="cb_info_issueprice"/>
      <definedName name="cb_info_issuer"/>
      <definedName name="cb_info_listeddate"/>
      <definedName name="cb_info_listedmkt"/>
      <definedName name="cb_info_maturitydate"/>
      <definedName name="cb_info_name"/>
      <definedName name="cb_info_outstandingbalance"/>
      <definedName name="cb_info_par"/>
      <definedName name="cb_info_term"/>
      <definedName name="cb_info_underlyingcode"/>
      <definedName name="cb_info_underlyingname"/>
      <definedName name="cb_list_annocedate"/>
      <definedName name="cb_list_announcedate"/>
      <definedName name="cb_list_dateinstoff"/>
      <definedName name="cb_list_dtonl"/>
      <definedName name="cb_list_effectpchvoloff"/>
      <definedName name="cb_list_excesspchonl"/>
      <definedName name="cb_list_issuevolonl"/>
      <definedName name="cb_list_originals"/>
      <definedName name="cb_list_pchnameonl"/>
      <definedName name="cb_list_pchpriceonl"/>
      <definedName name="cb_list_permitdate"/>
      <definedName name="cb_list_rationchkindate"/>
      <definedName name="cb_list_rationcode"/>
      <definedName name="cb_list_rationdate"/>
      <definedName name="cb_list_rationname"/>
      <definedName name="cb_list_rationpaymtdate"/>
      <definedName name="cb_list_rationprice"/>
      <definedName name="cb_list_rationratiode"/>
      <definedName name="cb_list_rationvol"/>
      <definedName name="cb_list_type"/>
      <definedName name="cb_list_volinstoff"/>
      <definedName name="cb_result_avairationamttrad"/>
      <definedName name="cb_result_balance"/>
      <definedName name="cb_result_efamntnontrad"/>
      <definedName name="cb_result_efinvestornontrad"/>
      <definedName name="cb_result_efinvestors"/>
      <definedName name="cb_result_efsubscrpamt"/>
      <definedName name="cb_result_efsubscrpamtoff"/>
      <definedName name="cb_result_efsubscrpamtonl"/>
      <definedName name="cb_result_efsubscrpoff"/>
      <definedName name="cb_result_efsubscrponl"/>
      <definedName name="cb_result_explnration"/>
      <definedName name="cb_result_issueonl"/>
      <definedName name="cb_result_placeamnttrad"/>
      <definedName name="cb_result_rationamt"/>
      <definedName name="cb_result_rationamtnontrad"/>
      <definedName name="cb_result_rationamtoff"/>
      <definedName name="cb_result_rationamtonl"/>
      <definedName name="cb_result_rationcode"/>
      <definedName name="cb_result_rationratioonl"/>
      <definedName name="cb_result_sucrateoff"/>
      <definedName name="cb_result_sucrateonl"/>
      <definedName name="cb_war_annodatemeeting"/>
      <definedName name="s_info_industry_gics"/>
      <definedName name="s_info_industry_gicscode"/>
      <definedName name="S_Info_Name"/>
      <definedName name="s_ipo_bfund"/>
      <definedName name="s_ipo_op_amount"/>
      <definedName name="s_pq_pctchange"/>
      <definedName name="s_refrmkd_preplandate"/>
    </definedNames>
    <sheetDataSet>
      <sheetData sheetId="0"/>
      <sheetData sheetId="1"/>
      <sheetData sheetId="2"/>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U144"/>
  <sheetViews>
    <sheetView tabSelected="1" workbookViewId="0">
      <pane xSplit="2" ySplit="4" topLeftCell="C5" activePane="bottomRight" state="frozen"/>
      <selection pane="topRight" activeCell="C1" sqref="C1"/>
      <selection pane="bottomLeft" activeCell="A6" sqref="A6"/>
      <selection pane="bottomRight" activeCell="G22" sqref="G22"/>
    </sheetView>
  </sheetViews>
  <sheetFormatPr defaultRowHeight="12" x14ac:dyDescent="0.15"/>
  <cols>
    <col min="1" max="1" width="9" style="31"/>
    <col min="2" max="2" width="14.625" style="31" customWidth="1"/>
    <col min="3" max="21" width="9.75" style="31" customWidth="1"/>
    <col min="22" max="16384" width="9" style="31"/>
  </cols>
  <sheetData>
    <row r="1" spans="1:21" s="29" customFormat="1" x14ac:dyDescent="0.15">
      <c r="A1" s="1" t="s">
        <v>95</v>
      </c>
      <c r="B1" s="35" t="str">
        <f>[1]!S_Info_Name(A1)</f>
        <v>国君转债</v>
      </c>
      <c r="C1" s="15" t="str">
        <f>[1]!cb_info_underlyingcode(A1)</f>
        <v>601211.SH</v>
      </c>
      <c r="D1" s="15" t="str">
        <f xml:space="preserve"> [1]!cb_info_underlyingname(A1)</f>
        <v>国泰君安</v>
      </c>
      <c r="E1" s="15">
        <f>[1]!cb_info_par(A1)</f>
        <v>100</v>
      </c>
      <c r="F1" s="15">
        <f>[1]!cb_info_term(A1)</f>
        <v>6</v>
      </c>
      <c r="G1" s="15">
        <f>[1]!cb_info_issueprice(A1)</f>
        <v>100</v>
      </c>
      <c r="H1" s="26">
        <f>[1]!cb_info_issueamount(A1)/100000000</f>
        <v>70</v>
      </c>
      <c r="I1" s="26">
        <f ca="1">[1]!cb_info_outstandingbalance(A1,TODAY())</f>
        <v>70</v>
      </c>
      <c r="J1" s="27" t="str">
        <f>[1]!cb_info_carrydate(A1)</f>
        <v>2017-07-07</v>
      </c>
      <c r="K1" s="27" t="str">
        <f>[1]!cb_info_maturitydate(A1)</f>
        <v>2023-07-07</v>
      </c>
      <c r="L1" s="15" t="str">
        <f xml:space="preserve"> [1]!cb_info_interesttype(A1)</f>
        <v>累进利率</v>
      </c>
      <c r="M1" s="15">
        <f xml:space="preserve">  [1]!cb_info_interest(A1)</f>
        <v>0.2</v>
      </c>
      <c r="N1" s="15">
        <f xml:space="preserve"> [1]!cb_info_interestfrequency(A1)</f>
        <v>1</v>
      </c>
      <c r="O1" s="27" t="str">
        <f xml:space="preserve"> [1]!cb_info_listeddate(A1)</f>
        <v>2017-07-24</v>
      </c>
      <c r="P1" s="15" t="str">
        <f xml:space="preserve"> [1]!cb_info_listedmkt(A1)</f>
        <v>上海</v>
      </c>
      <c r="Q1" s="15" t="str">
        <f>[1]!cb_info_creditrating(A1)</f>
        <v>AAA</v>
      </c>
      <c r="R1" s="27" t="str">
        <f xml:space="preserve"> [1]!cb_info_issuer(A1)</f>
        <v>国泰君安证券股份有限公司</v>
      </c>
      <c r="S1" s="27" t="str">
        <f>[1]!cb_info_issueen(A1)</f>
        <v>Guotai Junan Securities Co., Ltd.</v>
      </c>
      <c r="T1" s="28" t="str">
        <f>[1]!s_info_industry_gics(A1,2)</f>
        <v>多元金融</v>
      </c>
      <c r="U1" s="28" t="str">
        <f>[1]!s_info_industry_gicscode(A1,2)</f>
        <v>4020</v>
      </c>
    </row>
    <row r="2" spans="1:21" x14ac:dyDescent="0.15">
      <c r="A2" s="29" t="s">
        <v>294</v>
      </c>
      <c r="C2" s="30"/>
      <c r="D2" s="30"/>
      <c r="E2" s="30"/>
      <c r="F2" s="30"/>
      <c r="G2" s="30"/>
      <c r="H2" s="30"/>
      <c r="I2" s="30"/>
      <c r="J2" s="30"/>
      <c r="K2" s="30"/>
      <c r="L2" s="30"/>
      <c r="M2" s="30"/>
      <c r="N2" s="30"/>
      <c r="O2" s="30"/>
      <c r="P2" s="30"/>
      <c r="Q2" s="30"/>
      <c r="R2" s="30"/>
      <c r="S2" s="30"/>
      <c r="T2" s="30"/>
      <c r="U2" s="30"/>
    </row>
    <row r="3" spans="1:21" x14ac:dyDescent="0.15">
      <c r="A3" s="29" t="s">
        <v>295</v>
      </c>
      <c r="C3" s="30"/>
      <c r="D3" s="30"/>
      <c r="E3" s="30"/>
      <c r="F3" s="30"/>
      <c r="G3" s="30"/>
      <c r="H3" s="30"/>
      <c r="I3" s="32"/>
      <c r="J3" s="30"/>
      <c r="K3" s="30"/>
      <c r="L3" s="30"/>
      <c r="M3" s="30"/>
      <c r="N3" s="30"/>
      <c r="O3" s="30"/>
      <c r="P3" s="30"/>
      <c r="Q3" s="30"/>
      <c r="R3" s="30"/>
      <c r="S3" s="30"/>
      <c r="T3" s="30"/>
      <c r="U3" s="30"/>
    </row>
    <row r="4" spans="1:21" s="25" customFormat="1" ht="24" x14ac:dyDescent="0.15">
      <c r="A4" s="33" t="s">
        <v>112</v>
      </c>
      <c r="B4" s="3" t="s">
        <v>113</v>
      </c>
      <c r="C4" s="3" t="s">
        <v>114</v>
      </c>
      <c r="D4" s="3" t="s">
        <v>115</v>
      </c>
      <c r="E4" s="16" t="s">
        <v>116</v>
      </c>
      <c r="F4" s="17" t="s">
        <v>117</v>
      </c>
      <c r="G4" s="16" t="s">
        <v>118</v>
      </c>
      <c r="H4" s="16" t="s">
        <v>207</v>
      </c>
      <c r="I4" s="21" t="s">
        <v>208</v>
      </c>
      <c r="J4" s="22" t="s">
        <v>119</v>
      </c>
      <c r="K4" s="22" t="s">
        <v>120</v>
      </c>
      <c r="L4" s="23" t="s">
        <v>121</v>
      </c>
      <c r="M4" s="21" t="s">
        <v>122</v>
      </c>
      <c r="N4" s="24" t="s">
        <v>211</v>
      </c>
      <c r="O4" s="22" t="s">
        <v>123</v>
      </c>
      <c r="P4" s="23" t="s">
        <v>124</v>
      </c>
      <c r="Q4" s="23" t="s">
        <v>125</v>
      </c>
      <c r="R4" s="23" t="s">
        <v>126</v>
      </c>
      <c r="S4" s="23" t="s">
        <v>127</v>
      </c>
      <c r="T4" s="23" t="s">
        <v>209</v>
      </c>
      <c r="U4" s="23" t="s">
        <v>210</v>
      </c>
    </row>
    <row r="5" spans="1:21" x14ac:dyDescent="0.15">
      <c r="A5" s="34" t="s">
        <v>84</v>
      </c>
      <c r="B5" s="35" t="str">
        <f>[1]!S_Info_Name(A5)</f>
        <v>格力转债</v>
      </c>
      <c r="C5" s="15" t="str">
        <f>[1]!cb_info_underlyingcode(A5)</f>
        <v>600185.SH</v>
      </c>
      <c r="D5" s="15" t="str">
        <f xml:space="preserve"> [1]!cb_info_underlyingname(A5)</f>
        <v>格力地产</v>
      </c>
      <c r="E5" s="15">
        <f>[1]!cb_info_par(A5)</f>
        <v>100</v>
      </c>
      <c r="F5" s="15">
        <f>[1]!cb_info_term(A5)</f>
        <v>5</v>
      </c>
      <c r="G5" s="15">
        <f>[1]!cb_info_issueprice(A5)</f>
        <v>100</v>
      </c>
      <c r="H5" s="26">
        <f>[1]!cb_info_issueamount(A5)/100000000</f>
        <v>9.8000000000000007</v>
      </c>
      <c r="I5" s="26">
        <f ca="1">[1]!cb_info_outstandingbalance(A5,TODAY())</f>
        <v>9.7751199999999994</v>
      </c>
      <c r="J5" s="27" t="str">
        <f>[1]!cb_info_carrydate(A5)</f>
        <v>2014-12-25</v>
      </c>
      <c r="K5" s="27" t="str">
        <f>[1]!cb_info_maturitydate(A5)</f>
        <v>2019-12-25</v>
      </c>
      <c r="L5" s="15" t="str">
        <f xml:space="preserve"> [1]!cb_info_interesttype(A5)</f>
        <v>累进利率</v>
      </c>
      <c r="M5" s="15">
        <f xml:space="preserve">  [1]!cb_info_interest(A5)</f>
        <v>0.6</v>
      </c>
      <c r="N5" s="15">
        <f xml:space="preserve"> [1]!cb_info_interestfrequency(A5)</f>
        <v>1</v>
      </c>
      <c r="O5" s="27" t="str">
        <f xml:space="preserve"> [1]!cb_info_listeddate(A5)</f>
        <v>2015-01-13</v>
      </c>
      <c r="P5" s="15" t="str">
        <f xml:space="preserve"> [1]!cb_info_listedmkt(A5)</f>
        <v>上海</v>
      </c>
      <c r="Q5" s="15" t="str">
        <f>[1]!cb_info_creditrating(A5)</f>
        <v>AA</v>
      </c>
      <c r="R5" s="27" t="str">
        <f xml:space="preserve"> [1]!cb_info_issuer(A5)</f>
        <v>格力地产股份有限公司</v>
      </c>
      <c r="S5" s="27" t="str">
        <f>[1]!cb_info_issueen(A5)</f>
        <v>Gree Real Estate Co.,Ltd</v>
      </c>
      <c r="T5" s="28" t="str">
        <f>[1]!s_info_industry_gics(A5,2)</f>
        <v>房地产Ⅱ</v>
      </c>
      <c r="U5" s="28" t="str">
        <f>[1]!s_info_industry_gicscode(A5,2)</f>
        <v>6010</v>
      </c>
    </row>
    <row r="6" spans="1:21" x14ac:dyDescent="0.15">
      <c r="A6" s="34" t="s">
        <v>85</v>
      </c>
      <c r="B6" s="35" t="str">
        <f>[1]!S_Info_Name(A6)</f>
        <v>航信转债</v>
      </c>
      <c r="C6" s="15" t="str">
        <f>[1]!cb_info_underlyingcode(A6)</f>
        <v>600271.SH</v>
      </c>
      <c r="D6" s="15" t="str">
        <f xml:space="preserve"> [1]!cb_info_underlyingname(A6)</f>
        <v>航天信息</v>
      </c>
      <c r="E6" s="15">
        <f>[1]!cb_info_par(A6)</f>
        <v>100</v>
      </c>
      <c r="F6" s="15">
        <f>[1]!cb_info_term(A6)</f>
        <v>6</v>
      </c>
      <c r="G6" s="15">
        <f>[1]!cb_info_issueprice(A6)</f>
        <v>100</v>
      </c>
      <c r="H6" s="26">
        <f>[1]!cb_info_issueamount(A6)/100000000</f>
        <v>24</v>
      </c>
      <c r="I6" s="26">
        <f ca="1">[1]!cb_info_outstandingbalance(A6,TODAY())</f>
        <v>23.99484</v>
      </c>
      <c r="J6" s="27" t="str">
        <f>[1]!cb_info_carrydate(A6)</f>
        <v>2015-06-12</v>
      </c>
      <c r="K6" s="27" t="str">
        <f>[1]!cb_info_maturitydate(A6)</f>
        <v>2021-06-12</v>
      </c>
      <c r="L6" s="15" t="str">
        <f xml:space="preserve"> [1]!cb_info_interesttype(A6)</f>
        <v>累进利率</v>
      </c>
      <c r="M6" s="15">
        <f xml:space="preserve">  [1]!cb_info_interest(A6)</f>
        <v>0.2</v>
      </c>
      <c r="N6" s="15">
        <f xml:space="preserve"> [1]!cb_info_interestfrequency(A6)</f>
        <v>1</v>
      </c>
      <c r="O6" s="27" t="str">
        <f xml:space="preserve"> [1]!cb_info_listeddate(A6)</f>
        <v>2015-06-30</v>
      </c>
      <c r="P6" s="15" t="str">
        <f xml:space="preserve"> [1]!cb_info_listedmkt(A6)</f>
        <v>上海</v>
      </c>
      <c r="Q6" s="15" t="str">
        <f>[1]!cb_info_creditrating(A6)</f>
        <v>AAA</v>
      </c>
      <c r="R6" s="27" t="str">
        <f xml:space="preserve"> [1]!cb_info_issuer(A6)</f>
        <v>航天信息股份有限公司</v>
      </c>
      <c r="S6" s="27" t="str">
        <f>[1]!cb_info_issueen(A6)</f>
        <v>Aisino Corporation</v>
      </c>
      <c r="T6" s="28" t="str">
        <f>[1]!s_info_industry_gics(A6,2)</f>
        <v>技术硬件与设备</v>
      </c>
      <c r="U6" s="28" t="str">
        <f>[1]!s_info_industry_gicscode(A6,2)</f>
        <v>4520</v>
      </c>
    </row>
    <row r="7" spans="1:21" x14ac:dyDescent="0.15">
      <c r="A7" s="34" t="s">
        <v>86</v>
      </c>
      <c r="B7" s="35" t="str">
        <f>[1]!S_Info_Name(A7)</f>
        <v>三一转债</v>
      </c>
      <c r="C7" s="15" t="str">
        <f>[1]!cb_info_underlyingcode(A7)</f>
        <v>600031.SH</v>
      </c>
      <c r="D7" s="15" t="str">
        <f xml:space="preserve"> [1]!cb_info_underlyingname(A7)</f>
        <v>三一重工</v>
      </c>
      <c r="E7" s="15">
        <f>[1]!cb_info_par(A7)</f>
        <v>100</v>
      </c>
      <c r="F7" s="15">
        <f>[1]!cb_info_term(A7)</f>
        <v>6</v>
      </c>
      <c r="G7" s="15">
        <f>[1]!cb_info_issueprice(A7)</f>
        <v>100</v>
      </c>
      <c r="H7" s="26">
        <f>[1]!cb_info_issueamount(A7)/100000000</f>
        <v>45</v>
      </c>
      <c r="I7" s="26">
        <f ca="1">[1]!cb_info_outstandingbalance(A7,TODAY())</f>
        <v>44.994430000000001</v>
      </c>
      <c r="J7" s="27" t="str">
        <f>[1]!cb_info_carrydate(A7)</f>
        <v>2016-01-04</v>
      </c>
      <c r="K7" s="27" t="str">
        <f>[1]!cb_info_maturitydate(A7)</f>
        <v>2022-01-04</v>
      </c>
      <c r="L7" s="15" t="str">
        <f xml:space="preserve"> [1]!cb_info_interesttype(A7)</f>
        <v>累进利率</v>
      </c>
      <c r="M7" s="15">
        <f xml:space="preserve">  [1]!cb_info_interest(A7)</f>
        <v>0.2</v>
      </c>
      <c r="N7" s="15">
        <f xml:space="preserve"> [1]!cb_info_interestfrequency(A7)</f>
        <v>1</v>
      </c>
      <c r="O7" s="27" t="str">
        <f xml:space="preserve"> [1]!cb_info_listeddate(A7)</f>
        <v>2016-01-18</v>
      </c>
      <c r="P7" s="15" t="str">
        <f xml:space="preserve"> [1]!cb_info_listedmkt(A7)</f>
        <v>上海</v>
      </c>
      <c r="Q7" s="15" t="str">
        <f>[1]!cb_info_creditrating(A7)</f>
        <v>AA+</v>
      </c>
      <c r="R7" s="27" t="str">
        <f xml:space="preserve"> [1]!cb_info_issuer(A7)</f>
        <v>三一重工股份有限公司</v>
      </c>
      <c r="S7" s="27" t="str">
        <f>[1]!cb_info_issueen(A7)</f>
        <v>Sany Heavy Industry Co.,Ltd.</v>
      </c>
      <c r="T7" s="28" t="str">
        <f>[1]!s_info_industry_gics(A7,2)</f>
        <v>资本货物</v>
      </c>
      <c r="U7" s="28" t="str">
        <f>[1]!s_info_industry_gicscode(A7,2)</f>
        <v>2010</v>
      </c>
    </row>
    <row r="8" spans="1:21" x14ac:dyDescent="0.15">
      <c r="A8" s="34" t="s">
        <v>87</v>
      </c>
      <c r="B8" s="35" t="str">
        <f>[1]!S_Info_Name(A8)</f>
        <v>国贸转债</v>
      </c>
      <c r="C8" s="15" t="str">
        <f>[1]!cb_info_underlyingcode(A8)</f>
        <v>600755.SH</v>
      </c>
      <c r="D8" s="15" t="str">
        <f xml:space="preserve"> [1]!cb_info_underlyingname(A8)</f>
        <v>厦门国贸</v>
      </c>
      <c r="E8" s="15">
        <f>[1]!cb_info_par(A8)</f>
        <v>100</v>
      </c>
      <c r="F8" s="15">
        <f>[1]!cb_info_term(A8)</f>
        <v>6</v>
      </c>
      <c r="G8" s="15">
        <f>[1]!cb_info_issueprice(A8)</f>
        <v>100</v>
      </c>
      <c r="H8" s="26">
        <f>[1]!cb_info_issueamount(A8)/100000000</f>
        <v>28</v>
      </c>
      <c r="I8" s="26">
        <f ca="1">[1]!cb_info_outstandingbalance(A8,TODAY())</f>
        <v>18.130330000000001</v>
      </c>
      <c r="J8" s="27" t="str">
        <f>[1]!cb_info_carrydate(A8)</f>
        <v>2016-01-05</v>
      </c>
      <c r="K8" s="27" t="str">
        <f>[1]!cb_info_maturitydate(A8)</f>
        <v>2022-01-05</v>
      </c>
      <c r="L8" s="15" t="str">
        <f xml:space="preserve"> [1]!cb_info_interesttype(A8)</f>
        <v>累进利率</v>
      </c>
      <c r="M8" s="15">
        <f xml:space="preserve">  [1]!cb_info_interest(A8)</f>
        <v>0.3</v>
      </c>
      <c r="N8" s="15">
        <f xml:space="preserve"> [1]!cb_info_interestfrequency(A8)</f>
        <v>1</v>
      </c>
      <c r="O8" s="27" t="str">
        <f xml:space="preserve"> [1]!cb_info_listeddate(A8)</f>
        <v>2016-01-19</v>
      </c>
      <c r="P8" s="15" t="str">
        <f xml:space="preserve"> [1]!cb_info_listedmkt(A8)</f>
        <v>上海</v>
      </c>
      <c r="Q8" s="15" t="str">
        <f>[1]!cb_info_creditrating(A8)</f>
        <v>AA+</v>
      </c>
      <c r="R8" s="27" t="str">
        <f xml:space="preserve"> [1]!cb_info_issuer(A8)</f>
        <v>厦门国贸集团股份有限公司</v>
      </c>
      <c r="S8" s="27" t="str">
        <f>[1]!cb_info_issueen(A8)</f>
        <v>Xiamen ITG Group Corp.,Ltd</v>
      </c>
      <c r="T8" s="28" t="str">
        <f>[1]!s_info_industry_gics(A8,2)</f>
        <v>资本货物</v>
      </c>
      <c r="U8" s="28" t="str">
        <f>[1]!s_info_industry_gicscode(A8,2)</f>
        <v>2010</v>
      </c>
    </row>
    <row r="9" spans="1:21" x14ac:dyDescent="0.15">
      <c r="A9" s="34" t="s">
        <v>88</v>
      </c>
      <c r="B9" s="35" t="str">
        <f>[1]!S_Info_Name(A9)</f>
        <v>九州转债</v>
      </c>
      <c r="C9" s="15" t="str">
        <f>[1]!cb_info_underlyingcode(A9)</f>
        <v>600998.SH</v>
      </c>
      <c r="D9" s="15" t="str">
        <f xml:space="preserve"> [1]!cb_info_underlyingname(A9)</f>
        <v>九州通</v>
      </c>
      <c r="E9" s="15">
        <f>[1]!cb_info_par(A9)</f>
        <v>100</v>
      </c>
      <c r="F9" s="15">
        <f>[1]!cb_info_term(A9)</f>
        <v>6</v>
      </c>
      <c r="G9" s="15">
        <f>[1]!cb_info_issueprice(A9)</f>
        <v>100</v>
      </c>
      <c r="H9" s="26">
        <f>[1]!cb_info_issueamount(A9)/100000000</f>
        <v>15</v>
      </c>
      <c r="I9" s="26">
        <f ca="1">[1]!cb_info_outstandingbalance(A9,TODAY())</f>
        <v>14.99583</v>
      </c>
      <c r="J9" s="27" t="str">
        <f>[1]!cb_info_carrydate(A9)</f>
        <v>2016-01-15</v>
      </c>
      <c r="K9" s="27" t="str">
        <f>[1]!cb_info_maturitydate(A9)</f>
        <v>2022-01-15</v>
      </c>
      <c r="L9" s="15" t="str">
        <f xml:space="preserve"> [1]!cb_info_interesttype(A9)</f>
        <v>累进利率</v>
      </c>
      <c r="M9" s="15">
        <f xml:space="preserve">  [1]!cb_info_interest(A9)</f>
        <v>0.2</v>
      </c>
      <c r="N9" s="15">
        <f xml:space="preserve"> [1]!cb_info_interestfrequency(A9)</f>
        <v>1</v>
      </c>
      <c r="O9" s="27" t="str">
        <f xml:space="preserve"> [1]!cb_info_listeddate(A9)</f>
        <v>2016-01-29</v>
      </c>
      <c r="P9" s="15" t="str">
        <f xml:space="preserve"> [1]!cb_info_listedmkt(A9)</f>
        <v>上海</v>
      </c>
      <c r="Q9" s="15" t="str">
        <f>[1]!cb_info_creditrating(A9)</f>
        <v>AA+</v>
      </c>
      <c r="R9" s="27" t="str">
        <f xml:space="preserve"> [1]!cb_info_issuer(A9)</f>
        <v>九州通医药集团股份有限公司</v>
      </c>
      <c r="S9" s="27" t="str">
        <f>[1]!cb_info_issueen(A9)</f>
        <v>Jointown Pharmaceutical Group Co., Ltd.</v>
      </c>
      <c r="T9" s="28" t="str">
        <f>[1]!s_info_industry_gics(A9,2)</f>
        <v>食品与主要用品零售Ⅱ</v>
      </c>
      <c r="U9" s="28" t="str">
        <f>[1]!s_info_industry_gicscode(A9,2)</f>
        <v>3010</v>
      </c>
    </row>
    <row r="10" spans="1:21" x14ac:dyDescent="0.15">
      <c r="A10" s="34" t="s">
        <v>89</v>
      </c>
      <c r="B10" s="35" t="str">
        <f>[1]!S_Info_Name(A10)</f>
        <v>济川转债</v>
      </c>
      <c r="C10" s="15" t="str">
        <f>[1]!cb_info_underlyingcode(A10)</f>
        <v>600566.SH</v>
      </c>
      <c r="D10" s="15" t="str">
        <f xml:space="preserve"> [1]!cb_info_underlyingname(A10)</f>
        <v>济川药业</v>
      </c>
      <c r="E10" s="15">
        <f>[1]!cb_info_par(A10)</f>
        <v>100</v>
      </c>
      <c r="F10" s="15">
        <f>[1]!cb_info_term(A10)</f>
        <v>5</v>
      </c>
      <c r="G10" s="15">
        <f>[1]!cb_info_issueprice(A10)</f>
        <v>100</v>
      </c>
      <c r="H10" s="26">
        <f>[1]!cb_info_issueamount(A10)/100000000</f>
        <v>8.4315999999999995</v>
      </c>
      <c r="I10" s="26">
        <f ca="1">[1]!cb_info_outstandingbalance(A10,TODAY())</f>
        <v>8.4315999999999995</v>
      </c>
      <c r="J10" s="27" t="str">
        <f>[1]!cb_info_carrydate(A10)</f>
        <v>2017-11-13</v>
      </c>
      <c r="K10" s="27" t="str">
        <f>[1]!cb_info_maturitydate(A10)</f>
        <v>2022-11-13</v>
      </c>
      <c r="L10" s="15" t="str">
        <f xml:space="preserve"> [1]!cb_info_interesttype(A10)</f>
        <v>累进利率</v>
      </c>
      <c r="M10" s="15">
        <f xml:space="preserve">  [1]!cb_info_interest(A10)</f>
        <v>0.2</v>
      </c>
      <c r="N10" s="15">
        <f xml:space="preserve"> [1]!cb_info_interestfrequency(A10)</f>
        <v>1</v>
      </c>
      <c r="O10" s="27">
        <f xml:space="preserve"> [1]!cb_info_listeddate(A10)</f>
        <v>0</v>
      </c>
      <c r="P10" s="15" t="str">
        <f xml:space="preserve"> [1]!cb_info_listedmkt(A10)</f>
        <v>上海</v>
      </c>
      <c r="Q10" s="15" t="str">
        <f>[1]!cb_info_creditrating(A10)</f>
        <v>AA</v>
      </c>
      <c r="R10" s="27" t="str">
        <f xml:space="preserve"> [1]!cb_info_issuer(A10)</f>
        <v>湖北济川药业股份有限公司</v>
      </c>
      <c r="S10" s="27" t="str">
        <f>[1]!cb_info_issueen(A10)</f>
        <v>Hubei Jumpcan Pharmaceutical Co., Ltd.</v>
      </c>
      <c r="T10" s="28" t="str">
        <f>[1]!s_info_industry_gics(A10,2)</f>
        <v>制药、生物科技与生命科学</v>
      </c>
      <c r="U10" s="28" t="str">
        <f>[1]!s_info_industry_gicscode(A10,2)</f>
        <v>3520</v>
      </c>
    </row>
    <row r="11" spans="1:21" x14ac:dyDescent="0.15">
      <c r="A11" s="34" t="s">
        <v>266</v>
      </c>
      <c r="B11" s="35" t="str">
        <f>[1]!S_Info_Name(A11)</f>
        <v>宝信转债</v>
      </c>
      <c r="C11" s="15" t="str">
        <f>[1]!cb_info_underlyingcode(A11)</f>
        <v>600845.SH</v>
      </c>
      <c r="D11" s="15" t="str">
        <f xml:space="preserve"> [1]!cb_info_underlyingname(A11)</f>
        <v>宝信软件</v>
      </c>
      <c r="E11" s="15">
        <f>[1]!cb_info_par(A11)</f>
        <v>100</v>
      </c>
      <c r="F11" s="15">
        <f>[1]!cb_info_term(A11)</f>
        <v>6</v>
      </c>
      <c r="G11" s="15">
        <f>[1]!cb_info_issueprice(A11)</f>
        <v>100</v>
      </c>
      <c r="H11" s="26">
        <f>[1]!cb_info_issueamount(A11)/100000000</f>
        <v>16</v>
      </c>
      <c r="I11" s="26">
        <f ca="1">[1]!cb_info_outstandingbalance(A11,TODAY())</f>
        <v>16</v>
      </c>
      <c r="J11" s="27" t="str">
        <f>[1]!cb_info_carrydate(A11)</f>
        <v>2017-11-17</v>
      </c>
      <c r="K11" s="27" t="str">
        <f>[1]!cb_info_maturitydate(A11)</f>
        <v>2023-11-17</v>
      </c>
      <c r="L11" s="15" t="str">
        <f xml:space="preserve"> [1]!cb_info_interesttype(A11)</f>
        <v>累进利率</v>
      </c>
      <c r="M11" s="15">
        <f xml:space="preserve">  [1]!cb_info_interest(A11)</f>
        <v>0.3</v>
      </c>
      <c r="N11" s="15">
        <f xml:space="preserve"> [1]!cb_info_interestfrequency(A11)</f>
        <v>1</v>
      </c>
      <c r="O11" s="27">
        <f xml:space="preserve"> [1]!cb_info_listeddate(A11)</f>
        <v>0</v>
      </c>
      <c r="P11" s="15" t="str">
        <f xml:space="preserve"> [1]!cb_info_listedmkt(A11)</f>
        <v>上海</v>
      </c>
      <c r="Q11" s="15" t="str">
        <f>[1]!cb_info_creditrating(A11)</f>
        <v>AA+</v>
      </c>
      <c r="R11" s="27" t="str">
        <f xml:space="preserve"> [1]!cb_info_issuer(A11)</f>
        <v>上海宝信软件股份有限公司</v>
      </c>
      <c r="S11" s="27" t="str">
        <f>[1]!cb_info_issueen(A11)</f>
        <v>Shanghai Baosight Software Co.,Ltd.</v>
      </c>
      <c r="T11" s="28" t="str">
        <f>[1]!s_info_industry_gics(A11,2)</f>
        <v>软件与服务</v>
      </c>
      <c r="U11" s="28" t="str">
        <f>[1]!s_info_industry_gicscode(A11,2)</f>
        <v>4510</v>
      </c>
    </row>
    <row r="12" spans="1:21" x14ac:dyDescent="0.15">
      <c r="A12" s="34" t="s">
        <v>90</v>
      </c>
      <c r="B12" s="35" t="str">
        <f>[1]!S_Info_Name(A12)</f>
        <v>电气转债</v>
      </c>
      <c r="C12" s="15" t="str">
        <f>[1]!cb_info_underlyingcode(A12)</f>
        <v>601727.SH</v>
      </c>
      <c r="D12" s="15" t="str">
        <f xml:space="preserve"> [1]!cb_info_underlyingname(A12)</f>
        <v>上海电气</v>
      </c>
      <c r="E12" s="15">
        <f>[1]!cb_info_par(A12)</f>
        <v>100</v>
      </c>
      <c r="F12" s="15">
        <f>[1]!cb_info_term(A12)</f>
        <v>6</v>
      </c>
      <c r="G12" s="15">
        <f>[1]!cb_info_issueprice(A12)</f>
        <v>100</v>
      </c>
      <c r="H12" s="26">
        <f>[1]!cb_info_issueamount(A12)/100000000</f>
        <v>60</v>
      </c>
      <c r="I12" s="26">
        <f ca="1">[1]!cb_info_outstandingbalance(A12,TODAY())</f>
        <v>59.926180000000002</v>
      </c>
      <c r="J12" s="27" t="str">
        <f>[1]!cb_info_carrydate(A12)</f>
        <v>2015-02-02</v>
      </c>
      <c r="K12" s="27" t="str">
        <f>[1]!cb_info_maturitydate(A12)</f>
        <v>2021-02-02</v>
      </c>
      <c r="L12" s="15" t="str">
        <f xml:space="preserve"> [1]!cb_info_interesttype(A12)</f>
        <v>累进利率</v>
      </c>
      <c r="M12" s="15">
        <f xml:space="preserve">  [1]!cb_info_interest(A12)</f>
        <v>0.2</v>
      </c>
      <c r="N12" s="15">
        <f xml:space="preserve"> [1]!cb_info_interestfrequency(A12)</f>
        <v>1</v>
      </c>
      <c r="O12" s="27" t="str">
        <f xml:space="preserve"> [1]!cb_info_listeddate(A12)</f>
        <v>2015-02-16</v>
      </c>
      <c r="P12" s="15" t="str">
        <f xml:space="preserve"> [1]!cb_info_listedmkt(A12)</f>
        <v>上海</v>
      </c>
      <c r="Q12" s="15" t="str">
        <f>[1]!cb_info_creditrating(A12)</f>
        <v>AAA</v>
      </c>
      <c r="R12" s="27" t="str">
        <f xml:space="preserve"> [1]!cb_info_issuer(A12)</f>
        <v>上海电气集团股份有限公司</v>
      </c>
      <c r="S12" s="27" t="str">
        <f>[1]!cb_info_issueen(A12)</f>
        <v>Shanghai Electric Group Company Limited</v>
      </c>
      <c r="T12" s="28" t="str">
        <f>[1]!s_info_industry_gics(A12,2)</f>
        <v>资本货物</v>
      </c>
      <c r="U12" s="28" t="str">
        <f>[1]!s_info_industry_gicscode(A12,2)</f>
        <v>2010</v>
      </c>
    </row>
    <row r="13" spans="1:21" x14ac:dyDescent="0.15">
      <c r="A13" s="34" t="s">
        <v>91</v>
      </c>
      <c r="B13" s="35" t="str">
        <f>[1]!S_Info_Name(A13)</f>
        <v>广汽转债</v>
      </c>
      <c r="C13" s="15" t="str">
        <f>[1]!cb_info_underlyingcode(A13)</f>
        <v>601238.SH</v>
      </c>
      <c r="D13" s="15" t="str">
        <f xml:space="preserve"> [1]!cb_info_underlyingname(A13)</f>
        <v>广汽集团</v>
      </c>
      <c r="E13" s="15">
        <f>[1]!cb_info_par(A13)</f>
        <v>100</v>
      </c>
      <c r="F13" s="15">
        <f>[1]!cb_info_term(A13)</f>
        <v>6</v>
      </c>
      <c r="G13" s="15">
        <f>[1]!cb_info_issueprice(A13)</f>
        <v>100</v>
      </c>
      <c r="H13" s="26">
        <f>[1]!cb_info_issueamount(A13)/100000000</f>
        <v>41.055799999999998</v>
      </c>
      <c r="I13" s="26">
        <f ca="1">[1]!cb_info_outstandingbalance(A13,TODAY())</f>
        <v>29.625969999999999</v>
      </c>
      <c r="J13" s="27" t="str">
        <f>[1]!cb_info_carrydate(A13)</f>
        <v>2016-01-22</v>
      </c>
      <c r="K13" s="27" t="str">
        <f>[1]!cb_info_maturitydate(A13)</f>
        <v>2022-01-22</v>
      </c>
      <c r="L13" s="15" t="str">
        <f xml:space="preserve"> [1]!cb_info_interesttype(A13)</f>
        <v>累进利率</v>
      </c>
      <c r="M13" s="15">
        <f xml:space="preserve">  [1]!cb_info_interest(A13)</f>
        <v>0.2</v>
      </c>
      <c r="N13" s="15">
        <f xml:space="preserve"> [1]!cb_info_interestfrequency(A13)</f>
        <v>1</v>
      </c>
      <c r="O13" s="27" t="str">
        <f xml:space="preserve"> [1]!cb_info_listeddate(A13)</f>
        <v>2016-02-04</v>
      </c>
      <c r="P13" s="15" t="str">
        <f xml:space="preserve"> [1]!cb_info_listedmkt(A13)</f>
        <v>上海</v>
      </c>
      <c r="Q13" s="15" t="str">
        <f>[1]!cb_info_creditrating(A13)</f>
        <v>AAA</v>
      </c>
      <c r="R13" s="27" t="str">
        <f xml:space="preserve"> [1]!cb_info_issuer(A13)</f>
        <v>广州汽车集团股份有限公司</v>
      </c>
      <c r="S13" s="27" t="str">
        <f>[1]!cb_info_issueen(A13)</f>
        <v>Guangzhou Automobile Group Co., Ltd.</v>
      </c>
      <c r="T13" s="28" t="str">
        <f>[1]!s_info_industry_gics(A13,2)</f>
        <v>汽车与汽车零部件</v>
      </c>
      <c r="U13" s="28" t="str">
        <f>[1]!s_info_industry_gicscode(A13,2)</f>
        <v>2510</v>
      </c>
    </row>
    <row r="14" spans="1:21" x14ac:dyDescent="0.15">
      <c r="A14" s="34" t="s">
        <v>92</v>
      </c>
      <c r="B14" s="35" t="str">
        <f>[1]!S_Info_Name(A14)</f>
        <v>江南转债</v>
      </c>
      <c r="C14" s="15" t="str">
        <f>[1]!cb_info_underlyingcode(A14)</f>
        <v>601199.SH</v>
      </c>
      <c r="D14" s="15" t="str">
        <f xml:space="preserve"> [1]!cb_info_underlyingname(A14)</f>
        <v>江南水务</v>
      </c>
      <c r="E14" s="15">
        <f>[1]!cb_info_par(A14)</f>
        <v>100</v>
      </c>
      <c r="F14" s="15">
        <f>[1]!cb_info_term(A14)</f>
        <v>6</v>
      </c>
      <c r="G14" s="15">
        <f>[1]!cb_info_issueprice(A14)</f>
        <v>100</v>
      </c>
      <c r="H14" s="26">
        <f>[1]!cb_info_issueamount(A14)/100000000</f>
        <v>7.6</v>
      </c>
      <c r="I14" s="26">
        <f ca="1">[1]!cb_info_outstandingbalance(A14,TODAY())</f>
        <v>7.5993899999999996</v>
      </c>
      <c r="J14" s="27" t="str">
        <f>[1]!cb_info_carrydate(A14)</f>
        <v>2016-03-18</v>
      </c>
      <c r="K14" s="27" t="str">
        <f>[1]!cb_info_maturitydate(A14)</f>
        <v>2022-03-18</v>
      </c>
      <c r="L14" s="15" t="str">
        <f xml:space="preserve"> [1]!cb_info_interesttype(A14)</f>
        <v>累进利率</v>
      </c>
      <c r="M14" s="15">
        <f xml:space="preserve">  [1]!cb_info_interest(A14)</f>
        <v>0.3</v>
      </c>
      <c r="N14" s="15">
        <f xml:space="preserve"> [1]!cb_info_interestfrequency(A14)</f>
        <v>1</v>
      </c>
      <c r="O14" s="27" t="str">
        <f xml:space="preserve"> [1]!cb_info_listeddate(A14)</f>
        <v>2016-04-05</v>
      </c>
      <c r="P14" s="15" t="str">
        <f xml:space="preserve"> [1]!cb_info_listedmkt(A14)</f>
        <v>上海</v>
      </c>
      <c r="Q14" s="15" t="str">
        <f>[1]!cb_info_creditrating(A14)</f>
        <v>AA</v>
      </c>
      <c r="R14" s="27" t="str">
        <f xml:space="preserve"> [1]!cb_info_issuer(A14)</f>
        <v>江苏江南水务股份有限公司</v>
      </c>
      <c r="S14" s="27" t="str">
        <f>[1]!cb_info_issueen(A14)</f>
        <v>Jiangsu Jiangnan Water Co.,Ltd.</v>
      </c>
      <c r="T14" s="28" t="str">
        <f>[1]!s_info_industry_gics(A14,2)</f>
        <v>公用事业Ⅱ</v>
      </c>
      <c r="U14" s="28" t="str">
        <f>[1]!s_info_industry_gicscode(A14,2)</f>
        <v>5510</v>
      </c>
    </row>
    <row r="15" spans="1:21" x14ac:dyDescent="0.15">
      <c r="A15" s="34" t="s">
        <v>93</v>
      </c>
      <c r="B15" s="35" t="str">
        <f>[1]!S_Info_Name(A15)</f>
        <v>光大转债</v>
      </c>
      <c r="C15" s="15" t="str">
        <f>[1]!cb_info_underlyingcode(A15)</f>
        <v>601818.SH</v>
      </c>
      <c r="D15" s="15" t="str">
        <f xml:space="preserve"> [1]!cb_info_underlyingname(A15)</f>
        <v>光大银行</v>
      </c>
      <c r="E15" s="15">
        <f>[1]!cb_info_par(A15)</f>
        <v>100</v>
      </c>
      <c r="F15" s="15">
        <f>[1]!cb_info_term(A15)</f>
        <v>6</v>
      </c>
      <c r="G15" s="15">
        <f>[1]!cb_info_issueprice(A15)</f>
        <v>100</v>
      </c>
      <c r="H15" s="26">
        <f>[1]!cb_info_issueamount(A15)/100000000</f>
        <v>300</v>
      </c>
      <c r="I15" s="26">
        <f ca="1">[1]!cb_info_outstandingbalance(A15,TODAY())</f>
        <v>299.99869999999999</v>
      </c>
      <c r="J15" s="27" t="str">
        <f>[1]!cb_info_carrydate(A15)</f>
        <v>2017-03-17</v>
      </c>
      <c r="K15" s="27" t="str">
        <f>[1]!cb_info_maturitydate(A15)</f>
        <v>2023-03-17</v>
      </c>
      <c r="L15" s="15" t="str">
        <f xml:space="preserve"> [1]!cb_info_interesttype(A15)</f>
        <v>累进利率</v>
      </c>
      <c r="M15" s="15">
        <f xml:space="preserve">  [1]!cb_info_interest(A15)</f>
        <v>0.2</v>
      </c>
      <c r="N15" s="15">
        <f xml:space="preserve"> [1]!cb_info_interestfrequency(A15)</f>
        <v>1</v>
      </c>
      <c r="O15" s="27" t="str">
        <f xml:space="preserve"> [1]!cb_info_listeddate(A15)</f>
        <v>2017-04-05</v>
      </c>
      <c r="P15" s="15" t="str">
        <f xml:space="preserve"> [1]!cb_info_listedmkt(A15)</f>
        <v>上海</v>
      </c>
      <c r="Q15" s="15" t="str">
        <f>[1]!cb_info_creditrating(A15)</f>
        <v>AAA</v>
      </c>
      <c r="R15" s="27" t="str">
        <f xml:space="preserve"> [1]!cb_info_issuer(A15)</f>
        <v>中国光大银行股份有限公司</v>
      </c>
      <c r="S15" s="27" t="str">
        <f>[1]!cb_info_issueen(A15)</f>
        <v>China Everbright Bank Company Limited</v>
      </c>
      <c r="T15" s="28" t="str">
        <f>[1]!s_info_industry_gics(A15,2)</f>
        <v>银行</v>
      </c>
      <c r="U15" s="28" t="str">
        <f>[1]!s_info_industry_gicscode(A15,2)</f>
        <v>4010</v>
      </c>
    </row>
    <row r="16" spans="1:21" x14ac:dyDescent="0.15">
      <c r="A16" s="34" t="s">
        <v>94</v>
      </c>
      <c r="B16" s="35" t="str">
        <f>[1]!S_Info_Name(A16)</f>
        <v>骆驼转债</v>
      </c>
      <c r="C16" s="15" t="str">
        <f>[1]!cb_info_underlyingcode(A16)</f>
        <v>601311.SH</v>
      </c>
      <c r="D16" s="15" t="str">
        <f xml:space="preserve"> [1]!cb_info_underlyingname(A16)</f>
        <v>骆驼股份</v>
      </c>
      <c r="E16" s="15">
        <f>[1]!cb_info_par(A16)</f>
        <v>100</v>
      </c>
      <c r="F16" s="15">
        <f>[1]!cb_info_term(A16)</f>
        <v>6</v>
      </c>
      <c r="G16" s="15">
        <f>[1]!cb_info_issueprice(A16)</f>
        <v>100</v>
      </c>
      <c r="H16" s="26">
        <f>[1]!cb_info_issueamount(A16)/100000000</f>
        <v>7.17</v>
      </c>
      <c r="I16" s="26">
        <f ca="1">[1]!cb_info_outstandingbalance(A16,TODAY())</f>
        <v>7.1695000000000002</v>
      </c>
      <c r="J16" s="27" t="str">
        <f>[1]!cb_info_carrydate(A16)</f>
        <v>2017-03-24</v>
      </c>
      <c r="K16" s="27" t="str">
        <f>[1]!cb_info_maturitydate(A16)</f>
        <v>2023-03-24</v>
      </c>
      <c r="L16" s="15" t="str">
        <f xml:space="preserve"> [1]!cb_info_interesttype(A16)</f>
        <v>累进利率</v>
      </c>
      <c r="M16" s="15">
        <f xml:space="preserve">  [1]!cb_info_interest(A16)</f>
        <v>0.3</v>
      </c>
      <c r="N16" s="15">
        <f xml:space="preserve"> [1]!cb_info_interestfrequency(A16)</f>
        <v>1</v>
      </c>
      <c r="O16" s="27" t="str">
        <f xml:space="preserve"> [1]!cb_info_listeddate(A16)</f>
        <v>2017-04-13</v>
      </c>
      <c r="P16" s="15" t="str">
        <f xml:space="preserve"> [1]!cb_info_listedmkt(A16)</f>
        <v>上海</v>
      </c>
      <c r="Q16" s="15" t="str">
        <f>[1]!cb_info_creditrating(A16)</f>
        <v>AA</v>
      </c>
      <c r="R16" s="27" t="str">
        <f xml:space="preserve"> [1]!cb_info_issuer(A16)</f>
        <v>骆驼集团股份有限公司</v>
      </c>
      <c r="S16" s="27" t="str">
        <f>[1]!cb_info_issueen(A16)</f>
        <v>Camel Group Co.,Ltd.</v>
      </c>
      <c r="T16" s="28" t="str">
        <f>[1]!s_info_industry_gics(A16,2)</f>
        <v>资本货物</v>
      </c>
      <c r="U16" s="28" t="str">
        <f>[1]!s_info_industry_gicscode(A16,2)</f>
        <v>2010</v>
      </c>
    </row>
    <row r="17" spans="1:21" x14ac:dyDescent="0.15">
      <c r="A17" s="34" t="s">
        <v>95</v>
      </c>
      <c r="B17" s="35" t="str">
        <f>[1]!S_Info_Name(A17)</f>
        <v>国君转债</v>
      </c>
      <c r="C17" s="15" t="str">
        <f>[1]!cb_info_underlyingcode(A17)</f>
        <v>601211.SH</v>
      </c>
      <c r="D17" s="15" t="str">
        <f xml:space="preserve"> [1]!cb_info_underlyingname(A17)</f>
        <v>国泰君安</v>
      </c>
      <c r="E17" s="15">
        <f>[1]!cb_info_par(A17)</f>
        <v>100</v>
      </c>
      <c r="F17" s="15">
        <f>[1]!cb_info_term(A17)</f>
        <v>6</v>
      </c>
      <c r="G17" s="15">
        <f>[1]!cb_info_issueprice(A17)</f>
        <v>100</v>
      </c>
      <c r="H17" s="26">
        <f>[1]!cb_info_issueamount(A17)/100000000</f>
        <v>70</v>
      </c>
      <c r="I17" s="26">
        <f ca="1">[1]!cb_info_outstandingbalance(A17,TODAY())</f>
        <v>70</v>
      </c>
      <c r="J17" s="27" t="str">
        <f>[1]!cb_info_carrydate(A17)</f>
        <v>2017-07-07</v>
      </c>
      <c r="K17" s="27" t="str">
        <f>[1]!cb_info_maturitydate(A17)</f>
        <v>2023-07-07</v>
      </c>
      <c r="L17" s="15" t="str">
        <f xml:space="preserve"> [1]!cb_info_interesttype(A17)</f>
        <v>累进利率</v>
      </c>
      <c r="M17" s="15">
        <f xml:space="preserve">  [1]!cb_info_interest(A17)</f>
        <v>0.2</v>
      </c>
      <c r="N17" s="15">
        <f xml:space="preserve"> [1]!cb_info_interestfrequency(A17)</f>
        <v>1</v>
      </c>
      <c r="O17" s="27" t="str">
        <f xml:space="preserve"> [1]!cb_info_listeddate(A17)</f>
        <v>2017-07-24</v>
      </c>
      <c r="P17" s="15" t="str">
        <f xml:space="preserve"> [1]!cb_info_listedmkt(A17)</f>
        <v>上海</v>
      </c>
      <c r="Q17" s="15" t="str">
        <f>[1]!cb_info_creditrating(A17)</f>
        <v>AAA</v>
      </c>
      <c r="R17" s="27" t="str">
        <f xml:space="preserve"> [1]!cb_info_issuer(A17)</f>
        <v>国泰君安证券股份有限公司</v>
      </c>
      <c r="S17" s="27" t="str">
        <f>[1]!cb_info_issueen(A17)</f>
        <v>Guotai Junan Securities Co., Ltd.</v>
      </c>
      <c r="T17" s="28" t="str">
        <f>[1]!s_info_industry_gics(A17,2)</f>
        <v>多元金融</v>
      </c>
      <c r="U17" s="28" t="str">
        <f>[1]!s_info_industry_gicscode(A17,2)</f>
        <v>4020</v>
      </c>
    </row>
    <row r="18" spans="1:21" x14ac:dyDescent="0.15">
      <c r="A18" s="34" t="s">
        <v>96</v>
      </c>
      <c r="B18" s="35" t="str">
        <f>[1]!S_Info_Name(A18)</f>
        <v>林洋转债</v>
      </c>
      <c r="C18" s="15" t="str">
        <f>[1]!cb_info_underlyingcode(A18)</f>
        <v>601222.SH</v>
      </c>
      <c r="D18" s="15" t="str">
        <f xml:space="preserve"> [1]!cb_info_underlyingname(A18)</f>
        <v>林洋能源</v>
      </c>
      <c r="E18" s="15">
        <f>[1]!cb_info_par(A18)</f>
        <v>100</v>
      </c>
      <c r="F18" s="15">
        <f>[1]!cb_info_term(A18)</f>
        <v>6</v>
      </c>
      <c r="G18" s="15">
        <f>[1]!cb_info_issueprice(A18)</f>
        <v>100</v>
      </c>
      <c r="H18" s="26">
        <f>[1]!cb_info_issueamount(A18)/100000000</f>
        <v>30</v>
      </c>
      <c r="I18" s="26">
        <f ca="1">[1]!cb_info_outstandingbalance(A18,TODAY())</f>
        <v>30</v>
      </c>
      <c r="J18" s="27" t="str">
        <f>[1]!cb_info_carrydate(A18)</f>
        <v>2017-10-27</v>
      </c>
      <c r="K18" s="27" t="str">
        <f>[1]!cb_info_maturitydate(A18)</f>
        <v>2023-10-27</v>
      </c>
      <c r="L18" s="15" t="str">
        <f xml:space="preserve"> [1]!cb_info_interesttype(A18)</f>
        <v>累进利率</v>
      </c>
      <c r="M18" s="15">
        <f xml:space="preserve">  [1]!cb_info_interest(A18)</f>
        <v>0.3</v>
      </c>
      <c r="N18" s="15">
        <f xml:space="preserve"> [1]!cb_info_interestfrequency(A18)</f>
        <v>1</v>
      </c>
      <c r="O18" s="27" t="str">
        <f xml:space="preserve"> [1]!cb_info_listeddate(A18)</f>
        <v>2017-11-13</v>
      </c>
      <c r="P18" s="15" t="str">
        <f xml:space="preserve"> [1]!cb_info_listedmkt(A18)</f>
        <v>上海</v>
      </c>
      <c r="Q18" s="15" t="str">
        <f>[1]!cb_info_creditrating(A18)</f>
        <v>AA</v>
      </c>
      <c r="R18" s="27" t="str">
        <f xml:space="preserve"> [1]!cb_info_issuer(A18)</f>
        <v>江苏林洋能源股份有限公司</v>
      </c>
      <c r="S18" s="27" t="str">
        <f>[1]!cb_info_issueen(A18)</f>
        <v>Jiangsu Linyang Energy Co., Ltd.</v>
      </c>
      <c r="T18" s="28" t="str">
        <f>[1]!s_info_industry_gics(A18,2)</f>
        <v>资本货物</v>
      </c>
      <c r="U18" s="28" t="str">
        <f>[1]!s_info_industry_gicscode(A18,2)</f>
        <v>2010</v>
      </c>
    </row>
    <row r="19" spans="1:21" x14ac:dyDescent="0.15">
      <c r="A19" s="34" t="s">
        <v>97</v>
      </c>
      <c r="B19" s="35" t="str">
        <f>[1]!S_Info_Name(A19)</f>
        <v>隆基转债</v>
      </c>
      <c r="C19" s="15" t="str">
        <f>[1]!cb_info_underlyingcode(A19)</f>
        <v>601012.SH</v>
      </c>
      <c r="D19" s="15" t="str">
        <f xml:space="preserve"> [1]!cb_info_underlyingname(A19)</f>
        <v>隆基股份</v>
      </c>
      <c r="E19" s="15">
        <f>[1]!cb_info_par(A19)</f>
        <v>100</v>
      </c>
      <c r="F19" s="15">
        <f>[1]!cb_info_term(A19)</f>
        <v>6</v>
      </c>
      <c r="G19" s="15">
        <f>[1]!cb_info_issueprice(A19)</f>
        <v>100</v>
      </c>
      <c r="H19" s="26">
        <f>[1]!cb_info_issueamount(A19)/100000000</f>
        <v>28</v>
      </c>
      <c r="I19" s="26">
        <f ca="1">[1]!cb_info_outstandingbalance(A19,TODAY())</f>
        <v>28</v>
      </c>
      <c r="J19" s="27" t="str">
        <f>[1]!cb_info_carrydate(A19)</f>
        <v>2017-11-02</v>
      </c>
      <c r="K19" s="27" t="str">
        <f>[1]!cb_info_maturitydate(A19)</f>
        <v>2023-11-02</v>
      </c>
      <c r="L19" s="15" t="str">
        <f xml:space="preserve"> [1]!cb_info_interesttype(A19)</f>
        <v>累进利率</v>
      </c>
      <c r="M19" s="15">
        <f xml:space="preserve">  [1]!cb_info_interest(A19)</f>
        <v>0.3</v>
      </c>
      <c r="N19" s="15">
        <f xml:space="preserve"> [1]!cb_info_interestfrequency(A19)</f>
        <v>1</v>
      </c>
      <c r="O19" s="27" t="str">
        <f xml:space="preserve"> [1]!cb_info_listeddate(A19)</f>
        <v>2017-11-20</v>
      </c>
      <c r="P19" s="15" t="str">
        <f xml:space="preserve"> [1]!cb_info_listedmkt(A19)</f>
        <v>上海</v>
      </c>
      <c r="Q19" s="15" t="str">
        <f>[1]!cb_info_creditrating(A19)</f>
        <v>AA+</v>
      </c>
      <c r="R19" s="27" t="str">
        <f xml:space="preserve"> [1]!cb_info_issuer(A19)</f>
        <v>隆基绿能科技股份有限公司</v>
      </c>
      <c r="S19" s="27" t="str">
        <f>[1]!cb_info_issueen(A19)</f>
        <v>Longi Green Energy Technology Co., Ltd.</v>
      </c>
      <c r="T19" s="28" t="str">
        <f>[1]!s_info_industry_gics(A19,2)</f>
        <v>半导体与半导体生产设备</v>
      </c>
      <c r="U19" s="28" t="str">
        <f>[1]!s_info_industry_gicscode(A19,2)</f>
        <v>4530</v>
      </c>
    </row>
    <row r="20" spans="1:21" x14ac:dyDescent="0.15">
      <c r="A20" s="34" t="s">
        <v>98</v>
      </c>
      <c r="B20" s="35" t="str">
        <f>[1]!S_Info_Name(A20)</f>
        <v>小康转债</v>
      </c>
      <c r="C20" s="15" t="str">
        <f>[1]!cb_info_underlyingcode(A20)</f>
        <v>601127.SH</v>
      </c>
      <c r="D20" s="15" t="str">
        <f xml:space="preserve"> [1]!cb_info_underlyingname(A20)</f>
        <v>小康股份</v>
      </c>
      <c r="E20" s="15">
        <f>[1]!cb_info_par(A20)</f>
        <v>100</v>
      </c>
      <c r="F20" s="15">
        <f>[1]!cb_info_term(A20)</f>
        <v>6</v>
      </c>
      <c r="G20" s="15">
        <f>[1]!cb_info_issueprice(A20)</f>
        <v>100</v>
      </c>
      <c r="H20" s="26">
        <f>[1]!cb_info_issueamount(A20)/100000000</f>
        <v>15</v>
      </c>
      <c r="I20" s="26">
        <f ca="1">[1]!cb_info_outstandingbalance(A20,TODAY())</f>
        <v>15</v>
      </c>
      <c r="J20" s="27" t="str">
        <f>[1]!cb_info_carrydate(A20)</f>
        <v>2017-11-06</v>
      </c>
      <c r="K20" s="27" t="str">
        <f>[1]!cb_info_maturitydate(A20)</f>
        <v>2023-11-06</v>
      </c>
      <c r="L20" s="15" t="str">
        <f xml:space="preserve"> [1]!cb_info_interesttype(A20)</f>
        <v>累进利率</v>
      </c>
      <c r="M20" s="15">
        <f xml:space="preserve">  [1]!cb_info_interest(A20)</f>
        <v>0.3</v>
      </c>
      <c r="N20" s="15">
        <f xml:space="preserve"> [1]!cb_info_interestfrequency(A20)</f>
        <v>1</v>
      </c>
      <c r="O20" s="27" t="str">
        <f xml:space="preserve"> [1]!cb_info_listeddate(A20)</f>
        <v>2017-11-21</v>
      </c>
      <c r="P20" s="15" t="str">
        <f xml:space="preserve"> [1]!cb_info_listedmkt(A20)</f>
        <v>上海</v>
      </c>
      <c r="Q20" s="15" t="str">
        <f>[1]!cb_info_creditrating(A20)</f>
        <v>AA</v>
      </c>
      <c r="R20" s="27" t="str">
        <f xml:space="preserve"> [1]!cb_info_issuer(A20)</f>
        <v>重庆小康工业集团股份有限公司</v>
      </c>
      <c r="S20" s="27" t="str">
        <f>[1]!cb_info_issueen(A20)</f>
        <v>Chongqing Sokon Industry Group Co.,Ltd</v>
      </c>
      <c r="T20" s="28" t="str">
        <f>[1]!s_info_industry_gics(A20,2)</f>
        <v>汽车与汽车零部件</v>
      </c>
      <c r="U20" s="28" t="str">
        <f>[1]!s_info_industry_gicscode(A20,2)</f>
        <v>2510</v>
      </c>
    </row>
    <row r="21" spans="1:21" x14ac:dyDescent="0.15">
      <c r="A21" s="34" t="s">
        <v>99</v>
      </c>
      <c r="B21" s="35" t="str">
        <f>[1]!S_Info_Name(A21)</f>
        <v>嘉澳转债</v>
      </c>
      <c r="C21" s="15" t="str">
        <f>[1]!cb_info_underlyingcode(A21)</f>
        <v>603822.SH</v>
      </c>
      <c r="D21" s="15" t="str">
        <f xml:space="preserve"> [1]!cb_info_underlyingname(A21)</f>
        <v>嘉澳环保</v>
      </c>
      <c r="E21" s="15">
        <f>[1]!cb_info_par(A21)</f>
        <v>100</v>
      </c>
      <c r="F21" s="15">
        <f>[1]!cb_info_term(A21)</f>
        <v>6</v>
      </c>
      <c r="G21" s="15">
        <f>[1]!cb_info_issueprice(A21)</f>
        <v>100</v>
      </c>
      <c r="H21" s="26">
        <f>[1]!cb_info_issueamount(A21)/100000000</f>
        <v>1.85</v>
      </c>
      <c r="I21" s="26">
        <f ca="1">[1]!cb_info_outstandingbalance(A21,TODAY())</f>
        <v>1.85</v>
      </c>
      <c r="J21" s="27" t="str">
        <f>[1]!cb_info_carrydate(A21)</f>
        <v>2017-11-10</v>
      </c>
      <c r="K21" s="27" t="str">
        <f>[1]!cb_info_maturitydate(A21)</f>
        <v>2023-11-10</v>
      </c>
      <c r="L21" s="15" t="str">
        <f xml:space="preserve"> [1]!cb_info_interesttype(A21)</f>
        <v>累进利率</v>
      </c>
      <c r="M21" s="15">
        <f xml:space="preserve">  [1]!cb_info_interest(A21)</f>
        <v>0.4</v>
      </c>
      <c r="N21" s="15">
        <f xml:space="preserve"> [1]!cb_info_interestfrequency(A21)</f>
        <v>1</v>
      </c>
      <c r="O21" s="27">
        <f xml:space="preserve"> [1]!cb_info_listeddate(A21)</f>
        <v>0</v>
      </c>
      <c r="P21" s="15" t="str">
        <f xml:space="preserve"> [1]!cb_info_listedmkt(A21)</f>
        <v>上海</v>
      </c>
      <c r="Q21" s="15" t="str">
        <f>[1]!cb_info_creditrating(A21)</f>
        <v>AA-</v>
      </c>
      <c r="R21" s="27" t="str">
        <f xml:space="preserve"> [1]!cb_info_issuer(A21)</f>
        <v>浙江嘉澳环保科技股份有限公司</v>
      </c>
      <c r="S21" s="27" t="str">
        <f>[1]!cb_info_issueen(A21)</f>
        <v>Zhejiang Jiaao Enprotech Stock Co., Ltd.</v>
      </c>
      <c r="T21" s="28" t="str">
        <f>[1]!s_info_industry_gics(A21,2)</f>
        <v>材料Ⅱ</v>
      </c>
      <c r="U21" s="28" t="str">
        <f>[1]!s_info_industry_gicscode(A21,2)</f>
        <v>1510</v>
      </c>
    </row>
    <row r="22" spans="1:21" x14ac:dyDescent="0.15">
      <c r="A22" s="34" t="s">
        <v>100</v>
      </c>
      <c r="B22" s="35" t="str">
        <f>[1]!S_Info_Name(A22)</f>
        <v>蓝标转债</v>
      </c>
      <c r="C22" s="15" t="str">
        <f>[1]!cb_info_underlyingcode(A22)</f>
        <v>300058.SZ</v>
      </c>
      <c r="D22" s="15" t="str">
        <f xml:space="preserve"> [1]!cb_info_underlyingname(A22)</f>
        <v>蓝色光标</v>
      </c>
      <c r="E22" s="15">
        <f>[1]!cb_info_par(A22)</f>
        <v>100</v>
      </c>
      <c r="F22" s="15">
        <f>[1]!cb_info_term(A22)</f>
        <v>6</v>
      </c>
      <c r="G22" s="15">
        <f>[1]!cb_info_issueprice(A22)</f>
        <v>100</v>
      </c>
      <c r="H22" s="26">
        <f>[1]!cb_info_issueamount(A22)/100000000</f>
        <v>14</v>
      </c>
      <c r="I22" s="26">
        <f ca="1">[1]!cb_info_outstandingbalance(A22,TODAY())</f>
        <v>13.998033</v>
      </c>
      <c r="J22" s="27" t="str">
        <f>[1]!cb_info_carrydate(A22)</f>
        <v>2015-12-18</v>
      </c>
      <c r="K22" s="27" t="str">
        <f>[1]!cb_info_maturitydate(A22)</f>
        <v>2021-12-18</v>
      </c>
      <c r="L22" s="15" t="str">
        <f xml:space="preserve"> [1]!cb_info_interesttype(A22)</f>
        <v>累进利率</v>
      </c>
      <c r="M22" s="15">
        <f xml:space="preserve">  [1]!cb_info_interest(A22)</f>
        <v>0.5</v>
      </c>
      <c r="N22" s="15">
        <f xml:space="preserve"> [1]!cb_info_interestfrequency(A22)</f>
        <v>1</v>
      </c>
      <c r="O22" s="27" t="str">
        <f xml:space="preserve"> [1]!cb_info_listeddate(A22)</f>
        <v>2016-01-08</v>
      </c>
      <c r="P22" s="15" t="str">
        <f xml:space="preserve"> [1]!cb_info_listedmkt(A22)</f>
        <v>深圳</v>
      </c>
      <c r="Q22" s="15" t="str">
        <f>[1]!cb_info_creditrating(A22)</f>
        <v>AA</v>
      </c>
      <c r="R22" s="27" t="str">
        <f xml:space="preserve"> [1]!cb_info_issuer(A22)</f>
        <v>北京蓝色光标品牌管理顾问股份有限公司</v>
      </c>
      <c r="S22" s="27" t="str">
        <f>[1]!cb_info_issueen(A22)</f>
        <v>Bluefocus Communication Group Co., Ltd.</v>
      </c>
      <c r="T22" s="28" t="str">
        <f>[1]!s_info_industry_gics(A22,2)</f>
        <v>媒体Ⅱ</v>
      </c>
      <c r="U22" s="28" t="str">
        <f>[1]!s_info_industry_gicscode(A22,2)</f>
        <v>2540</v>
      </c>
    </row>
    <row r="23" spans="1:21" x14ac:dyDescent="0.15">
      <c r="A23" s="34" t="s">
        <v>101</v>
      </c>
      <c r="B23" s="35" t="str">
        <f>[1]!S_Info_Name(A23)</f>
        <v>海印转债</v>
      </c>
      <c r="C23" s="15" t="str">
        <f>[1]!cb_info_underlyingcode(A23)</f>
        <v>000861.SZ</v>
      </c>
      <c r="D23" s="15" t="str">
        <f xml:space="preserve"> [1]!cb_info_underlyingname(A23)</f>
        <v>海印股份</v>
      </c>
      <c r="E23" s="15">
        <f>[1]!cb_info_par(A23)</f>
        <v>100</v>
      </c>
      <c r="F23" s="15">
        <f>[1]!cb_info_term(A23)</f>
        <v>6</v>
      </c>
      <c r="G23" s="15">
        <f>[1]!cb_info_issueprice(A23)</f>
        <v>100</v>
      </c>
      <c r="H23" s="26">
        <f>[1]!cb_info_issueamount(A23)/100000000</f>
        <v>11.11</v>
      </c>
      <c r="I23" s="26">
        <f ca="1">[1]!cb_info_outstandingbalance(A23,TODAY())</f>
        <v>11.109329000000001</v>
      </c>
      <c r="J23" s="27" t="str">
        <f>[1]!cb_info_carrydate(A23)</f>
        <v>2016-06-08</v>
      </c>
      <c r="K23" s="27" t="str">
        <f>[1]!cb_info_maturitydate(A23)</f>
        <v>2022-06-08</v>
      </c>
      <c r="L23" s="15" t="str">
        <f xml:space="preserve"> [1]!cb_info_interesttype(A23)</f>
        <v>累进利率</v>
      </c>
      <c r="M23" s="15">
        <f xml:space="preserve">  [1]!cb_info_interest(A23)</f>
        <v>0.5</v>
      </c>
      <c r="N23" s="15">
        <f xml:space="preserve"> [1]!cb_info_interestfrequency(A23)</f>
        <v>1</v>
      </c>
      <c r="O23" s="27" t="str">
        <f xml:space="preserve"> [1]!cb_info_listeddate(A23)</f>
        <v>2016-07-01</v>
      </c>
      <c r="P23" s="15" t="str">
        <f xml:space="preserve"> [1]!cb_info_listedmkt(A23)</f>
        <v>深圳</v>
      </c>
      <c r="Q23" s="15" t="str">
        <f>[1]!cb_info_creditrating(A23)</f>
        <v>AA-</v>
      </c>
      <c r="R23" s="27" t="str">
        <f xml:space="preserve"> [1]!cb_info_issuer(A23)</f>
        <v>广东海印集团股份有限公司</v>
      </c>
      <c r="S23" s="27" t="str">
        <f>[1]!cb_info_issueen(A23)</f>
        <v>Guangdong Highsun Group Co.,Ltd.</v>
      </c>
      <c r="T23" s="28" t="str">
        <f>[1]!s_info_industry_gics(A23,2)</f>
        <v>资本货物</v>
      </c>
      <c r="U23" s="28" t="str">
        <f>[1]!s_info_industry_gicscode(A23,2)</f>
        <v>2010</v>
      </c>
    </row>
    <row r="24" spans="1:21" x14ac:dyDescent="0.15">
      <c r="A24" s="34" t="s">
        <v>102</v>
      </c>
      <c r="B24" s="35" t="str">
        <f>[1]!S_Info_Name(A24)</f>
        <v>模塑转债</v>
      </c>
      <c r="C24" s="15" t="str">
        <f>[1]!cb_info_underlyingcode(A24)</f>
        <v>000700.SZ</v>
      </c>
      <c r="D24" s="15" t="str">
        <f xml:space="preserve"> [1]!cb_info_underlyingname(A24)</f>
        <v>模塑科技</v>
      </c>
      <c r="E24" s="15">
        <f>[1]!cb_info_par(A24)</f>
        <v>100</v>
      </c>
      <c r="F24" s="15">
        <f>[1]!cb_info_term(A24)</f>
        <v>6</v>
      </c>
      <c r="G24" s="15">
        <f>[1]!cb_info_issueprice(A24)</f>
        <v>100</v>
      </c>
      <c r="H24" s="26">
        <f>[1]!cb_info_issueamount(A24)/100000000</f>
        <v>8.1365999999999996</v>
      </c>
      <c r="I24" s="26">
        <f ca="1">[1]!cb_info_outstandingbalance(A24,TODAY())</f>
        <v>8.1365999999999996</v>
      </c>
      <c r="J24" s="27" t="str">
        <f>[1]!cb_info_carrydate(A24)</f>
        <v>2017-06-02</v>
      </c>
      <c r="K24" s="27" t="str">
        <f>[1]!cb_info_maturitydate(A24)</f>
        <v>2023-06-02</v>
      </c>
      <c r="L24" s="15" t="str">
        <f xml:space="preserve"> [1]!cb_info_interesttype(A24)</f>
        <v>累进利率</v>
      </c>
      <c r="M24" s="15">
        <f xml:space="preserve">  [1]!cb_info_interest(A24)</f>
        <v>0.5</v>
      </c>
      <c r="N24" s="15">
        <f xml:space="preserve"> [1]!cb_info_interestfrequency(A24)</f>
        <v>1</v>
      </c>
      <c r="O24" s="27" t="str">
        <f xml:space="preserve"> [1]!cb_info_listeddate(A24)</f>
        <v>2017-06-26</v>
      </c>
      <c r="P24" s="15" t="str">
        <f xml:space="preserve"> [1]!cb_info_listedmkt(A24)</f>
        <v>深圳</v>
      </c>
      <c r="Q24" s="15" t="str">
        <f>[1]!cb_info_creditrating(A24)</f>
        <v>AA</v>
      </c>
      <c r="R24" s="27" t="str">
        <f xml:space="preserve"> [1]!cb_info_issuer(A24)</f>
        <v>江南模塑科技股份有限公司</v>
      </c>
      <c r="S24" s="27" t="str">
        <f>[1]!cb_info_issueen(A24)</f>
        <v>Jiangnan Mould &amp; Plastic Technology Co., Ltd.</v>
      </c>
      <c r="T24" s="28" t="str">
        <f>[1]!s_info_industry_gics(A24,2)</f>
        <v>汽车与汽车零部件</v>
      </c>
      <c r="U24" s="28" t="str">
        <f>[1]!s_info_industry_gicscode(A24,2)</f>
        <v>2510</v>
      </c>
    </row>
    <row r="25" spans="1:21" x14ac:dyDescent="0.15">
      <c r="A25" s="34" t="s">
        <v>103</v>
      </c>
      <c r="B25" s="35" t="str">
        <f>[1]!S_Info_Name(A25)</f>
        <v>顺昌转债</v>
      </c>
      <c r="C25" s="15" t="str">
        <f>[1]!cb_info_underlyingcode(A25)</f>
        <v>002245.SZ</v>
      </c>
      <c r="D25" s="15" t="str">
        <f xml:space="preserve"> [1]!cb_info_underlyingname(A25)</f>
        <v>澳洋顺昌</v>
      </c>
      <c r="E25" s="15">
        <f>[1]!cb_info_par(A25)</f>
        <v>100</v>
      </c>
      <c r="F25" s="15">
        <f>[1]!cb_info_term(A25)</f>
        <v>6</v>
      </c>
      <c r="G25" s="15">
        <f>[1]!cb_info_issueprice(A25)</f>
        <v>100</v>
      </c>
      <c r="H25" s="26">
        <f>[1]!cb_info_issueamount(A25)/100000000</f>
        <v>5.0999999999999996</v>
      </c>
      <c r="I25" s="26">
        <f ca="1">[1]!cb_info_outstandingbalance(A25,TODAY())</f>
        <v>5.0979200000000002</v>
      </c>
      <c r="J25" s="27" t="str">
        <f>[1]!cb_info_carrydate(A25)</f>
        <v>2016-01-22</v>
      </c>
      <c r="K25" s="27" t="str">
        <f>[1]!cb_info_maturitydate(A25)</f>
        <v>2022-01-22</v>
      </c>
      <c r="L25" s="15" t="str">
        <f xml:space="preserve"> [1]!cb_info_interesttype(A25)</f>
        <v>累进利率</v>
      </c>
      <c r="M25" s="15">
        <f xml:space="preserve">  [1]!cb_info_interest(A25)</f>
        <v>0.5</v>
      </c>
      <c r="N25" s="15">
        <f xml:space="preserve"> [1]!cb_info_interestfrequency(A25)</f>
        <v>1</v>
      </c>
      <c r="O25" s="27" t="str">
        <f xml:space="preserve"> [1]!cb_info_listeddate(A25)</f>
        <v>2016-02-23</v>
      </c>
      <c r="P25" s="15" t="str">
        <f xml:space="preserve"> [1]!cb_info_listedmkt(A25)</f>
        <v>深圳</v>
      </c>
      <c r="Q25" s="15" t="str">
        <f>[1]!cb_info_creditrating(A25)</f>
        <v>AA</v>
      </c>
      <c r="R25" s="27" t="str">
        <f xml:space="preserve"> [1]!cb_info_issuer(A25)</f>
        <v>江苏澳洋顺昌股份有限公司</v>
      </c>
      <c r="S25" s="27" t="str">
        <f>[1]!cb_info_issueen(A25)</f>
        <v>Jiangsu Aucksun Co.,Ltd.</v>
      </c>
      <c r="T25" s="28" t="str">
        <f>[1]!s_info_industry_gics(A25,2)</f>
        <v>运输</v>
      </c>
      <c r="U25" s="28" t="str">
        <f>[1]!s_info_industry_gicscode(A25,2)</f>
        <v>2030</v>
      </c>
    </row>
    <row r="26" spans="1:21" x14ac:dyDescent="0.15">
      <c r="A26" s="34" t="s">
        <v>104</v>
      </c>
      <c r="B26" s="35" t="str">
        <f>[1]!S_Info_Name(A26)</f>
        <v>辉丰转债</v>
      </c>
      <c r="C26" s="15" t="str">
        <f>[1]!cb_info_underlyingcode(A26)</f>
        <v>002496.SZ</v>
      </c>
      <c r="D26" s="15" t="str">
        <f xml:space="preserve"> [1]!cb_info_underlyingname(A26)</f>
        <v>辉丰股份</v>
      </c>
      <c r="E26" s="15">
        <f>[1]!cb_info_par(A26)</f>
        <v>100</v>
      </c>
      <c r="F26" s="15">
        <f>[1]!cb_info_term(A26)</f>
        <v>6</v>
      </c>
      <c r="G26" s="15">
        <f>[1]!cb_info_issueprice(A26)</f>
        <v>100</v>
      </c>
      <c r="H26" s="26">
        <f>[1]!cb_info_issueamount(A26)/100000000</f>
        <v>8.4499999999999993</v>
      </c>
      <c r="I26" s="26">
        <f ca="1">[1]!cb_info_outstandingbalance(A26,TODAY())</f>
        <v>8.4497479999999996</v>
      </c>
      <c r="J26" s="27" t="str">
        <f>[1]!cb_info_carrydate(A26)</f>
        <v>2016-04-21</v>
      </c>
      <c r="K26" s="27" t="str">
        <f>[1]!cb_info_maturitydate(A26)</f>
        <v>2022-04-21</v>
      </c>
      <c r="L26" s="15" t="str">
        <f xml:space="preserve"> [1]!cb_info_interesttype(A26)</f>
        <v>累进利率</v>
      </c>
      <c r="M26" s="15">
        <f xml:space="preserve">  [1]!cb_info_interest(A26)</f>
        <v>0.5</v>
      </c>
      <c r="N26" s="15">
        <f xml:space="preserve"> [1]!cb_info_interestfrequency(A26)</f>
        <v>1</v>
      </c>
      <c r="O26" s="27" t="str">
        <f xml:space="preserve"> [1]!cb_info_listeddate(A26)</f>
        <v>2016-05-17</v>
      </c>
      <c r="P26" s="15" t="str">
        <f xml:space="preserve"> [1]!cb_info_listedmkt(A26)</f>
        <v>深圳</v>
      </c>
      <c r="Q26" s="15" t="str">
        <f>[1]!cb_info_creditrating(A26)</f>
        <v>AA</v>
      </c>
      <c r="R26" s="27" t="str">
        <f xml:space="preserve"> [1]!cb_info_issuer(A26)</f>
        <v>江苏辉丰生物农业股份有限公司</v>
      </c>
      <c r="S26" s="27" t="str">
        <f>[1]!cb_info_issueen(A26)</f>
        <v>JIANGSU HUIFENG BIO AGRICULTURE CO., LTD.</v>
      </c>
      <c r="T26" s="28" t="str">
        <f>[1]!s_info_industry_gics(A26,2)</f>
        <v>材料Ⅱ</v>
      </c>
      <c r="U26" s="28" t="str">
        <f>[1]!s_info_industry_gicscode(A26,2)</f>
        <v>1510</v>
      </c>
    </row>
    <row r="27" spans="1:21" x14ac:dyDescent="0.15">
      <c r="A27" s="34" t="s">
        <v>105</v>
      </c>
      <c r="B27" s="35" t="str">
        <f>[1]!S_Info_Name(A27)</f>
        <v>洪涛转债</v>
      </c>
      <c r="C27" s="15" t="str">
        <f>[1]!cb_info_underlyingcode(A27)</f>
        <v>002325.SZ</v>
      </c>
      <c r="D27" s="15" t="str">
        <f xml:space="preserve"> [1]!cb_info_underlyingname(A27)</f>
        <v>洪涛股份</v>
      </c>
      <c r="E27" s="15">
        <f>[1]!cb_info_par(A27)</f>
        <v>100</v>
      </c>
      <c r="F27" s="15">
        <f>[1]!cb_info_term(A27)</f>
        <v>6</v>
      </c>
      <c r="G27" s="15">
        <f>[1]!cb_info_issueprice(A27)</f>
        <v>100</v>
      </c>
      <c r="H27" s="26">
        <f>[1]!cb_info_issueamount(A27)/100000000</f>
        <v>12</v>
      </c>
      <c r="I27" s="26">
        <f ca="1">[1]!cb_info_outstandingbalance(A27,TODAY())</f>
        <v>11.999886999999999</v>
      </c>
      <c r="J27" s="27" t="str">
        <f>[1]!cb_info_carrydate(A27)</f>
        <v>2016-07-29</v>
      </c>
      <c r="K27" s="27" t="str">
        <f>[1]!cb_info_maturitydate(A27)</f>
        <v>2022-07-29</v>
      </c>
      <c r="L27" s="15" t="str">
        <f xml:space="preserve"> [1]!cb_info_interesttype(A27)</f>
        <v>累进利率</v>
      </c>
      <c r="M27" s="15">
        <f xml:space="preserve">  [1]!cb_info_interest(A27)</f>
        <v>0.4</v>
      </c>
      <c r="N27" s="15">
        <f xml:space="preserve"> [1]!cb_info_interestfrequency(A27)</f>
        <v>1</v>
      </c>
      <c r="O27" s="27" t="str">
        <f xml:space="preserve"> [1]!cb_info_listeddate(A27)</f>
        <v>2016-08-23</v>
      </c>
      <c r="P27" s="15" t="str">
        <f xml:space="preserve"> [1]!cb_info_listedmkt(A27)</f>
        <v>深圳</v>
      </c>
      <c r="Q27" s="15" t="str">
        <f>[1]!cb_info_creditrating(A27)</f>
        <v>AA</v>
      </c>
      <c r="R27" s="27" t="str">
        <f xml:space="preserve"> [1]!cb_info_issuer(A27)</f>
        <v>深圳市洪涛装饰股份有限公司</v>
      </c>
      <c r="S27" s="27" t="str">
        <f>[1]!cb_info_issueen(A27)</f>
        <v>Shenzhen Hongtao Decoration Co.,Ltd.</v>
      </c>
      <c r="T27" s="28" t="str">
        <f>[1]!s_info_industry_gics(A27,2)</f>
        <v>资本货物</v>
      </c>
      <c r="U27" s="28" t="str">
        <f>[1]!s_info_industry_gicscode(A27,2)</f>
        <v>2010</v>
      </c>
    </row>
    <row r="28" spans="1:21" x14ac:dyDescent="0.15">
      <c r="A28" s="34" t="s">
        <v>106</v>
      </c>
      <c r="B28" s="35" t="str">
        <f>[1]!S_Info_Name(A28)</f>
        <v>永东转债</v>
      </c>
      <c r="C28" s="15" t="str">
        <f>[1]!cb_info_underlyingcode(A28)</f>
        <v>002753.SZ</v>
      </c>
      <c r="D28" s="15" t="str">
        <f xml:space="preserve"> [1]!cb_info_underlyingname(A28)</f>
        <v>永东股份</v>
      </c>
      <c r="E28" s="15">
        <f>[1]!cb_info_par(A28)</f>
        <v>100</v>
      </c>
      <c r="F28" s="15">
        <f>[1]!cb_info_term(A28)</f>
        <v>6</v>
      </c>
      <c r="G28" s="15">
        <f>[1]!cb_info_issueprice(A28)</f>
        <v>100</v>
      </c>
      <c r="H28" s="26">
        <f>[1]!cb_info_issueamount(A28)/100000000</f>
        <v>3.4</v>
      </c>
      <c r="I28" s="26">
        <f ca="1">[1]!cb_info_outstandingbalance(A28,TODAY())</f>
        <v>3.3997670000000002</v>
      </c>
      <c r="J28" s="27" t="str">
        <f>[1]!cb_info_carrydate(A28)</f>
        <v>2017-04-17</v>
      </c>
      <c r="K28" s="27" t="str">
        <f>[1]!cb_info_maturitydate(A28)</f>
        <v>2023-04-17</v>
      </c>
      <c r="L28" s="15" t="str">
        <f xml:space="preserve"> [1]!cb_info_interesttype(A28)</f>
        <v>累进利率</v>
      </c>
      <c r="M28" s="15">
        <f xml:space="preserve">  [1]!cb_info_interest(A28)</f>
        <v>0.5</v>
      </c>
      <c r="N28" s="15">
        <f xml:space="preserve"> [1]!cb_info_interestfrequency(A28)</f>
        <v>1</v>
      </c>
      <c r="O28" s="27" t="str">
        <f xml:space="preserve"> [1]!cb_info_listeddate(A28)</f>
        <v>2017-05-12</v>
      </c>
      <c r="P28" s="15" t="str">
        <f xml:space="preserve"> [1]!cb_info_listedmkt(A28)</f>
        <v>深圳</v>
      </c>
      <c r="Q28" s="15" t="str">
        <f>[1]!cb_info_creditrating(A28)</f>
        <v>AA-</v>
      </c>
      <c r="R28" s="27" t="str">
        <f xml:space="preserve"> [1]!cb_info_issuer(A28)</f>
        <v>山西永东化工股份有限公司</v>
      </c>
      <c r="S28" s="27" t="str">
        <f>[1]!cb_info_issueen(A28)</f>
        <v>Shanxi Yongdong Chemistry Industry Co.,Ltd.</v>
      </c>
      <c r="T28" s="28" t="str">
        <f>[1]!s_info_industry_gics(A28,2)</f>
        <v>材料Ⅱ</v>
      </c>
      <c r="U28" s="28" t="str">
        <f>[1]!s_info_industry_gicscode(A28,2)</f>
        <v>1510</v>
      </c>
    </row>
    <row r="29" spans="1:21" x14ac:dyDescent="0.15">
      <c r="A29" s="34" t="s">
        <v>107</v>
      </c>
      <c r="B29" s="35" t="str">
        <f>[1]!S_Info_Name(A29)</f>
        <v>久其转债</v>
      </c>
      <c r="C29" s="15" t="str">
        <f>[1]!cb_info_underlyingcode(A29)</f>
        <v>002279.SZ</v>
      </c>
      <c r="D29" s="15" t="str">
        <f xml:space="preserve"> [1]!cb_info_underlyingname(A29)</f>
        <v>久其软件</v>
      </c>
      <c r="E29" s="15">
        <f>[1]!cb_info_par(A29)</f>
        <v>100</v>
      </c>
      <c r="F29" s="15">
        <f>[1]!cb_info_term(A29)</f>
        <v>6</v>
      </c>
      <c r="G29" s="15">
        <f>[1]!cb_info_issueprice(A29)</f>
        <v>100</v>
      </c>
      <c r="H29" s="26">
        <f>[1]!cb_info_issueamount(A29)/100000000</f>
        <v>7.8</v>
      </c>
      <c r="I29" s="26">
        <f ca="1">[1]!cb_info_outstandingbalance(A29,TODAY())</f>
        <v>7.8</v>
      </c>
      <c r="J29" s="27" t="str">
        <f>[1]!cb_info_carrydate(A29)</f>
        <v>2017-06-08</v>
      </c>
      <c r="K29" s="27" t="str">
        <f>[1]!cb_info_maturitydate(A29)</f>
        <v>2023-06-08</v>
      </c>
      <c r="L29" s="15" t="str">
        <f xml:space="preserve"> [1]!cb_info_interesttype(A29)</f>
        <v>累进利率</v>
      </c>
      <c r="M29" s="15">
        <f xml:space="preserve">  [1]!cb_info_interest(A29)</f>
        <v>0.3</v>
      </c>
      <c r="N29" s="15">
        <f xml:space="preserve"> [1]!cb_info_interestfrequency(A29)</f>
        <v>1</v>
      </c>
      <c r="O29" s="27" t="str">
        <f xml:space="preserve"> [1]!cb_info_listeddate(A29)</f>
        <v>2017-06-27</v>
      </c>
      <c r="P29" s="15" t="str">
        <f xml:space="preserve"> [1]!cb_info_listedmkt(A29)</f>
        <v>深圳</v>
      </c>
      <c r="Q29" s="15" t="str">
        <f>[1]!cb_info_creditrating(A29)</f>
        <v>AA</v>
      </c>
      <c r="R29" s="27" t="str">
        <f xml:space="preserve"> [1]!cb_info_issuer(A29)</f>
        <v>北京久其软件股份有限公司</v>
      </c>
      <c r="S29" s="27" t="str">
        <f>[1]!cb_info_issueen(A29)</f>
        <v>Beijing Join-Cheer Software Co.,Ltd.</v>
      </c>
      <c r="T29" s="28" t="str">
        <f>[1]!s_info_industry_gics(A29,2)</f>
        <v>软件与服务</v>
      </c>
      <c r="U29" s="28" t="str">
        <f>[1]!s_info_industry_gicscode(A29,2)</f>
        <v>4510</v>
      </c>
    </row>
    <row r="30" spans="1:21" x14ac:dyDescent="0.15">
      <c r="A30" s="34" t="s">
        <v>108</v>
      </c>
      <c r="B30" s="35" t="str">
        <f>[1]!S_Info_Name(A30)</f>
        <v>雨虹转债</v>
      </c>
      <c r="C30" s="15" t="str">
        <f>[1]!cb_info_underlyingcode(A30)</f>
        <v>002271.SZ</v>
      </c>
      <c r="D30" s="15" t="str">
        <f xml:space="preserve"> [1]!cb_info_underlyingname(A30)</f>
        <v>东方雨虹</v>
      </c>
      <c r="E30" s="15">
        <f>[1]!cb_info_par(A30)</f>
        <v>100</v>
      </c>
      <c r="F30" s="15">
        <f>[1]!cb_info_term(A30)</f>
        <v>6</v>
      </c>
      <c r="G30" s="15">
        <f>[1]!cb_info_issueprice(A30)</f>
        <v>100</v>
      </c>
      <c r="H30" s="26">
        <f>[1]!cb_info_issueamount(A30)/100000000</f>
        <v>18.399999999999999</v>
      </c>
      <c r="I30" s="26">
        <f ca="1">[1]!cb_info_outstandingbalance(A30,TODAY())</f>
        <v>18.399999999999999</v>
      </c>
      <c r="J30" s="27" t="str">
        <f>[1]!cb_info_carrydate(A30)</f>
        <v>2017-09-25</v>
      </c>
      <c r="K30" s="27" t="str">
        <f>[1]!cb_info_maturitydate(A30)</f>
        <v>2023-09-25</v>
      </c>
      <c r="L30" s="15" t="str">
        <f xml:space="preserve"> [1]!cb_info_interesttype(A30)</f>
        <v>累进利率</v>
      </c>
      <c r="M30" s="15">
        <f xml:space="preserve">  [1]!cb_info_interest(A30)</f>
        <v>0.3</v>
      </c>
      <c r="N30" s="15">
        <f xml:space="preserve"> [1]!cb_info_interestfrequency(A30)</f>
        <v>1</v>
      </c>
      <c r="O30" s="27" t="str">
        <f xml:space="preserve"> [1]!cb_info_listeddate(A30)</f>
        <v>2017-10-20</v>
      </c>
      <c r="P30" s="15" t="str">
        <f xml:space="preserve"> [1]!cb_info_listedmkt(A30)</f>
        <v>深圳</v>
      </c>
      <c r="Q30" s="15" t="str">
        <f>[1]!cb_info_creditrating(A30)</f>
        <v>AA</v>
      </c>
      <c r="R30" s="27" t="str">
        <f xml:space="preserve"> [1]!cb_info_issuer(A30)</f>
        <v>北京东方雨虹防水技术股份有限公司</v>
      </c>
      <c r="S30" s="27" t="str">
        <f>[1]!cb_info_issueen(A30)</f>
        <v>Beijing Oriental Yuhong Waterproof Technology Co.,Ltd.</v>
      </c>
      <c r="T30" s="28" t="str">
        <f>[1]!s_info_industry_gics(A30,2)</f>
        <v>材料Ⅱ</v>
      </c>
      <c r="U30" s="28" t="str">
        <f>[1]!s_info_industry_gicscode(A30,2)</f>
        <v>1510</v>
      </c>
    </row>
    <row r="31" spans="1:21" x14ac:dyDescent="0.15">
      <c r="A31" s="34" t="s">
        <v>109</v>
      </c>
      <c r="B31" s="35" t="str">
        <f>[1]!S_Info_Name(A31)</f>
        <v>金禾转债</v>
      </c>
      <c r="C31" s="15" t="str">
        <f>[1]!cb_info_underlyingcode(A31)</f>
        <v>002597.SZ</v>
      </c>
      <c r="D31" s="15" t="str">
        <f xml:space="preserve"> [1]!cb_info_underlyingname(A31)</f>
        <v>金禾实业</v>
      </c>
      <c r="E31" s="15">
        <f>[1]!cb_info_par(A31)</f>
        <v>100</v>
      </c>
      <c r="F31" s="15">
        <f>[1]!cb_info_term(A31)</f>
        <v>6</v>
      </c>
      <c r="G31" s="15">
        <f>[1]!cb_info_issueprice(A31)</f>
        <v>100</v>
      </c>
      <c r="H31" s="26">
        <f>[1]!cb_info_issueamount(A31)/100000000</f>
        <v>6</v>
      </c>
      <c r="I31" s="26">
        <f ca="1">[1]!cb_info_outstandingbalance(A31,TODAY())</f>
        <v>6</v>
      </c>
      <c r="J31" s="27" t="str">
        <f>[1]!cb_info_carrydate(A31)</f>
        <v>2017-11-01</v>
      </c>
      <c r="K31" s="27" t="str">
        <f>[1]!cb_info_maturitydate(A31)</f>
        <v>2023-11-01</v>
      </c>
      <c r="L31" s="15" t="str">
        <f xml:space="preserve"> [1]!cb_info_interesttype(A31)</f>
        <v>累进利率</v>
      </c>
      <c r="M31" s="15">
        <f xml:space="preserve">  [1]!cb_info_interest(A31)</f>
        <v>0.3</v>
      </c>
      <c r="N31" s="15">
        <f xml:space="preserve"> [1]!cb_info_interestfrequency(A31)</f>
        <v>1</v>
      </c>
      <c r="O31" s="27">
        <f xml:space="preserve"> [1]!cb_info_listeddate(A31)</f>
        <v>0</v>
      </c>
      <c r="P31" s="15" t="str">
        <f xml:space="preserve"> [1]!cb_info_listedmkt(A31)</f>
        <v>深圳</v>
      </c>
      <c r="Q31" s="15" t="str">
        <f>[1]!cb_info_creditrating(A31)</f>
        <v>AA</v>
      </c>
      <c r="R31" s="27" t="str">
        <f xml:space="preserve"> [1]!cb_info_issuer(A31)</f>
        <v>安徽金禾实业股份有限公司</v>
      </c>
      <c r="S31" s="27" t="str">
        <f>[1]!cb_info_issueen(A31)</f>
        <v>Anhui Jinhe Industrial Co.,Ltd</v>
      </c>
      <c r="T31" s="28" t="str">
        <f>[1]!s_info_industry_gics(A31,2)</f>
        <v>材料Ⅱ</v>
      </c>
      <c r="U31" s="28" t="str">
        <f>[1]!s_info_industry_gicscode(A31,2)</f>
        <v>1510</v>
      </c>
    </row>
    <row r="32" spans="1:21" x14ac:dyDescent="0.15">
      <c r="A32" s="34" t="s">
        <v>110</v>
      </c>
      <c r="B32" s="35" t="str">
        <f>[1]!S_Info_Name(A32)</f>
        <v>时达转债</v>
      </c>
      <c r="C32" s="15" t="str">
        <f>[1]!cb_info_underlyingcode(A32)</f>
        <v>002527.SZ</v>
      </c>
      <c r="D32" s="15" t="str">
        <f xml:space="preserve"> [1]!cb_info_underlyingname(A32)</f>
        <v>新时达</v>
      </c>
      <c r="E32" s="15">
        <f>[1]!cb_info_par(A32)</f>
        <v>100</v>
      </c>
      <c r="F32" s="15">
        <f>[1]!cb_info_term(A32)</f>
        <v>6</v>
      </c>
      <c r="G32" s="15">
        <f>[1]!cb_info_issueprice(A32)</f>
        <v>100</v>
      </c>
      <c r="H32" s="26">
        <f>[1]!cb_info_issueamount(A32)/100000000</f>
        <v>8.825057000000001</v>
      </c>
      <c r="I32" s="26">
        <f ca="1">[1]!cb_info_outstandingbalance(A32,TODAY())</f>
        <v>8.8250569999999993</v>
      </c>
      <c r="J32" s="27" t="str">
        <f>[1]!cb_info_carrydate(A32)</f>
        <v>2017-11-06</v>
      </c>
      <c r="K32" s="27" t="str">
        <f>[1]!cb_info_maturitydate(A32)</f>
        <v>2023-11-06</v>
      </c>
      <c r="L32" s="15" t="str">
        <f xml:space="preserve"> [1]!cb_info_interesttype(A32)</f>
        <v>累进利率</v>
      </c>
      <c r="M32" s="15">
        <f xml:space="preserve">  [1]!cb_info_interest(A32)</f>
        <v>0.3</v>
      </c>
      <c r="N32" s="15">
        <f xml:space="preserve"> [1]!cb_info_interestfrequency(A32)</f>
        <v>1</v>
      </c>
      <c r="O32" s="27">
        <f xml:space="preserve"> [1]!cb_info_listeddate(A32)</f>
        <v>0</v>
      </c>
      <c r="P32" s="15" t="str">
        <f xml:space="preserve"> [1]!cb_info_listedmkt(A32)</f>
        <v>深圳</v>
      </c>
      <c r="Q32" s="15" t="str">
        <f>[1]!cb_info_creditrating(A32)</f>
        <v>AA</v>
      </c>
      <c r="R32" s="27" t="str">
        <f xml:space="preserve"> [1]!cb_info_issuer(A32)</f>
        <v>上海新时达电气股份有限公司</v>
      </c>
      <c r="S32" s="27" t="str">
        <f>[1]!cb_info_issueen(A32)</f>
        <v>Shanghai STEP Electric Corporation</v>
      </c>
      <c r="T32" s="28" t="str">
        <f>[1]!s_info_industry_gics(A32,2)</f>
        <v>资本货物</v>
      </c>
      <c r="U32" s="28" t="str">
        <f>[1]!s_info_industry_gicscode(A32,2)</f>
        <v>2010</v>
      </c>
    </row>
    <row r="33" spans="1:21" x14ac:dyDescent="0.15">
      <c r="A33" s="34" t="s">
        <v>111</v>
      </c>
      <c r="B33" s="35" t="str">
        <f>[1]!S_Info_Name(A33)</f>
        <v>久立转2</v>
      </c>
      <c r="C33" s="15" t="str">
        <f>[1]!cb_info_underlyingcode(A33)</f>
        <v>002318.SZ</v>
      </c>
      <c r="D33" s="15" t="str">
        <f xml:space="preserve"> [1]!cb_info_underlyingname(A33)</f>
        <v>久立特材</v>
      </c>
      <c r="E33" s="15">
        <f>[1]!cb_info_par(A33)</f>
        <v>100</v>
      </c>
      <c r="F33" s="15">
        <f>[1]!cb_info_term(A33)</f>
        <v>6</v>
      </c>
      <c r="G33" s="15">
        <f>[1]!cb_info_issueprice(A33)</f>
        <v>100</v>
      </c>
      <c r="H33" s="26">
        <f>[1]!cb_info_issueamount(A33)/100000000</f>
        <v>10.4</v>
      </c>
      <c r="I33" s="26">
        <f ca="1">[1]!cb_info_outstandingbalance(A33,TODAY())</f>
        <v>10.4</v>
      </c>
      <c r="J33" s="27" t="str">
        <f>[1]!cb_info_carrydate(A33)</f>
        <v>2017-11-08</v>
      </c>
      <c r="K33" s="27" t="str">
        <f>[1]!cb_info_maturitydate(A33)</f>
        <v>2023-11-08</v>
      </c>
      <c r="L33" s="15" t="str">
        <f xml:space="preserve"> [1]!cb_info_interesttype(A33)</f>
        <v>累进利率</v>
      </c>
      <c r="M33" s="15">
        <f xml:space="preserve">  [1]!cb_info_interest(A33)</f>
        <v>0.3</v>
      </c>
      <c r="N33" s="15">
        <f xml:space="preserve"> [1]!cb_info_interestfrequency(A33)</f>
        <v>1</v>
      </c>
      <c r="O33" s="27">
        <f xml:space="preserve"> [1]!cb_info_listeddate(A33)</f>
        <v>0</v>
      </c>
      <c r="P33" s="15" t="str">
        <f xml:space="preserve"> [1]!cb_info_listedmkt(A33)</f>
        <v>深圳</v>
      </c>
      <c r="Q33" s="15" t="str">
        <f>[1]!cb_info_creditrating(A33)</f>
        <v>AA</v>
      </c>
      <c r="R33" s="27" t="str">
        <f xml:space="preserve"> [1]!cb_info_issuer(A33)</f>
        <v>浙江久立特材科技股份有限公司</v>
      </c>
      <c r="S33" s="27" t="str">
        <f>[1]!cb_info_issueen(A33)</f>
        <v>Zhejiang JIULI Hi-tech Metals Co., Ltd.</v>
      </c>
      <c r="T33" s="28" t="str">
        <f>[1]!s_info_industry_gics(A33,2)</f>
        <v>材料Ⅱ</v>
      </c>
      <c r="U33" s="28" t="str">
        <f>[1]!s_info_industry_gicscode(A33,2)</f>
        <v>1510</v>
      </c>
    </row>
    <row r="34" spans="1:21" x14ac:dyDescent="0.15">
      <c r="A34" s="34" t="s">
        <v>267</v>
      </c>
      <c r="B34" s="35" t="str">
        <f>[1]!S_Info_Name(A34)</f>
        <v>水晶转债</v>
      </c>
      <c r="C34" s="15" t="str">
        <f>[1]!cb_info_underlyingcode(A34)</f>
        <v>002273.SZ</v>
      </c>
      <c r="D34" s="15" t="str">
        <f xml:space="preserve"> [1]!cb_info_underlyingname(A34)</f>
        <v>水晶光电</v>
      </c>
      <c r="E34" s="15">
        <f>[1]!cb_info_par(A34)</f>
        <v>100</v>
      </c>
      <c r="F34" s="15">
        <f>[1]!cb_info_term(A34)</f>
        <v>6</v>
      </c>
      <c r="G34" s="15">
        <f>[1]!cb_info_issueprice(A34)</f>
        <v>100</v>
      </c>
      <c r="H34" s="26">
        <f>[1]!cb_info_issueamount(A34)/100000000</f>
        <v>11.8</v>
      </c>
      <c r="I34" s="26">
        <f ca="1">[1]!cb_info_outstandingbalance(A34,TODAY())</f>
        <v>11.8</v>
      </c>
      <c r="J34" s="27" t="str">
        <f>[1]!cb_info_carrydate(A34)</f>
        <v>2017-11-17</v>
      </c>
      <c r="K34" s="27" t="str">
        <f>[1]!cb_info_maturitydate(A34)</f>
        <v>2023-11-17</v>
      </c>
      <c r="L34" s="15" t="str">
        <f xml:space="preserve"> [1]!cb_info_interesttype(A34)</f>
        <v>累进利率</v>
      </c>
      <c r="M34" s="15">
        <f xml:space="preserve">  [1]!cb_info_interest(A34)</f>
        <v>0.3</v>
      </c>
      <c r="N34" s="15">
        <f xml:space="preserve"> [1]!cb_info_interestfrequency(A34)</f>
        <v>1</v>
      </c>
      <c r="O34" s="27">
        <f xml:space="preserve"> [1]!cb_info_listeddate(A34)</f>
        <v>0</v>
      </c>
      <c r="P34" s="15" t="str">
        <f xml:space="preserve"> [1]!cb_info_listedmkt(A34)</f>
        <v>深圳</v>
      </c>
      <c r="Q34" s="15" t="str">
        <f>[1]!cb_info_creditrating(A34)</f>
        <v>AA</v>
      </c>
      <c r="R34" s="27" t="str">
        <f xml:space="preserve"> [1]!cb_info_issuer(A34)</f>
        <v>浙江水晶光电科技股份有限公司</v>
      </c>
      <c r="S34" s="27" t="str">
        <f>[1]!cb_info_issueen(A34)</f>
        <v>Zhejiang Crystal-Optech Co., Ltd</v>
      </c>
      <c r="T34" s="28" t="str">
        <f>[1]!s_info_industry_gics(A34,2)</f>
        <v>技术硬件与设备</v>
      </c>
      <c r="U34" s="28" t="str">
        <f>[1]!s_info_industry_gicscode(A34,2)</f>
        <v>4520</v>
      </c>
    </row>
    <row r="35" spans="1:21" ht="13.5" x14ac:dyDescent="0.15">
      <c r="C35"/>
      <c r="D35"/>
      <c r="E35"/>
      <c r="F35"/>
      <c r="G35"/>
      <c r="H35"/>
      <c r="I35"/>
      <c r="J35"/>
      <c r="K35"/>
      <c r="L35"/>
      <c r="M35"/>
      <c r="N35"/>
      <c r="O35"/>
      <c r="P35"/>
      <c r="Q35"/>
      <c r="R35"/>
      <c r="S35"/>
      <c r="T35"/>
      <c r="U35"/>
    </row>
    <row r="36" spans="1:21" ht="13.5" x14ac:dyDescent="0.15">
      <c r="C36"/>
      <c r="D36"/>
      <c r="E36"/>
      <c r="F36"/>
      <c r="G36"/>
      <c r="H36"/>
      <c r="I36"/>
      <c r="J36"/>
      <c r="K36"/>
      <c r="L36"/>
      <c r="M36"/>
      <c r="N36"/>
      <c r="O36"/>
      <c r="P36"/>
      <c r="Q36"/>
      <c r="R36"/>
      <c r="S36"/>
      <c r="T36"/>
      <c r="U36"/>
    </row>
    <row r="37" spans="1:21" ht="13.5" x14ac:dyDescent="0.15">
      <c r="C37"/>
      <c r="D37"/>
      <c r="E37"/>
      <c r="F37"/>
      <c r="G37"/>
      <c r="H37"/>
      <c r="I37"/>
      <c r="J37"/>
      <c r="K37"/>
      <c r="L37"/>
      <c r="M37"/>
      <c r="N37"/>
      <c r="O37"/>
      <c r="P37"/>
      <c r="Q37"/>
      <c r="R37"/>
      <c r="S37"/>
      <c r="T37"/>
      <c r="U37"/>
    </row>
    <row r="38" spans="1:21" ht="13.5" x14ac:dyDescent="0.15">
      <c r="C38"/>
      <c r="D38"/>
      <c r="E38"/>
      <c r="F38"/>
      <c r="G38"/>
      <c r="H38"/>
      <c r="I38"/>
      <c r="J38"/>
      <c r="K38"/>
      <c r="L38"/>
      <c r="M38"/>
      <c r="N38"/>
      <c r="O38"/>
      <c r="P38"/>
      <c r="Q38"/>
      <c r="R38"/>
      <c r="S38"/>
      <c r="T38"/>
      <c r="U38"/>
    </row>
    <row r="39" spans="1:21" ht="13.5" x14ac:dyDescent="0.15">
      <c r="C39"/>
      <c r="D39"/>
      <c r="E39"/>
      <c r="F39"/>
      <c r="G39"/>
      <c r="H39"/>
      <c r="I39"/>
      <c r="J39"/>
      <c r="K39"/>
      <c r="L39"/>
      <c r="M39"/>
      <c r="N39"/>
      <c r="O39"/>
      <c r="P39"/>
      <c r="Q39"/>
      <c r="R39"/>
      <c r="S39"/>
      <c r="T39"/>
      <c r="U39"/>
    </row>
    <row r="40" spans="1:21" ht="13.5" x14ac:dyDescent="0.15">
      <c r="C40"/>
      <c r="D40"/>
      <c r="E40"/>
      <c r="F40"/>
      <c r="G40"/>
      <c r="H40"/>
      <c r="I40"/>
      <c r="J40"/>
      <c r="K40"/>
      <c r="L40"/>
      <c r="M40"/>
      <c r="N40"/>
      <c r="O40"/>
      <c r="P40"/>
      <c r="Q40"/>
      <c r="R40"/>
      <c r="S40"/>
      <c r="T40"/>
      <c r="U40"/>
    </row>
    <row r="41" spans="1:21" ht="13.5" x14ac:dyDescent="0.15">
      <c r="C41"/>
      <c r="D41"/>
      <c r="E41"/>
      <c r="F41"/>
      <c r="G41"/>
      <c r="H41"/>
      <c r="I41"/>
      <c r="J41"/>
      <c r="K41"/>
      <c r="L41"/>
      <c r="M41"/>
      <c r="N41"/>
      <c r="O41"/>
      <c r="P41"/>
      <c r="Q41"/>
      <c r="R41"/>
      <c r="S41"/>
      <c r="T41"/>
      <c r="U41"/>
    </row>
    <row r="42" spans="1:21" ht="13.5" x14ac:dyDescent="0.15">
      <c r="C42"/>
      <c r="D42"/>
      <c r="E42"/>
      <c r="F42"/>
      <c r="G42"/>
      <c r="H42"/>
      <c r="I42"/>
      <c r="J42"/>
      <c r="K42"/>
      <c r="L42"/>
      <c r="M42"/>
      <c r="N42"/>
      <c r="O42"/>
      <c r="P42"/>
      <c r="Q42"/>
      <c r="R42"/>
      <c r="S42"/>
      <c r="T42"/>
      <c r="U42"/>
    </row>
    <row r="43" spans="1:21" ht="13.5" x14ac:dyDescent="0.15">
      <c r="C43"/>
      <c r="D43"/>
      <c r="E43"/>
      <c r="F43"/>
      <c r="G43"/>
      <c r="H43"/>
      <c r="I43"/>
      <c r="J43"/>
      <c r="K43"/>
      <c r="L43"/>
      <c r="M43"/>
      <c r="N43"/>
      <c r="O43"/>
      <c r="P43"/>
      <c r="Q43"/>
      <c r="R43"/>
      <c r="S43"/>
      <c r="T43"/>
      <c r="U43"/>
    </row>
    <row r="44" spans="1:21" ht="13.5" x14ac:dyDescent="0.15">
      <c r="C44"/>
      <c r="D44"/>
      <c r="E44"/>
      <c r="F44"/>
      <c r="G44"/>
      <c r="H44"/>
      <c r="I44"/>
      <c r="J44"/>
      <c r="K44"/>
      <c r="L44"/>
      <c r="M44"/>
      <c r="N44"/>
      <c r="O44"/>
      <c r="P44"/>
      <c r="Q44"/>
      <c r="R44"/>
      <c r="S44"/>
      <c r="T44"/>
      <c r="U44"/>
    </row>
    <row r="45" spans="1:21" ht="13.5" x14ac:dyDescent="0.15">
      <c r="C45"/>
      <c r="D45"/>
      <c r="E45"/>
      <c r="F45"/>
      <c r="G45"/>
      <c r="H45"/>
      <c r="I45"/>
      <c r="J45"/>
      <c r="K45"/>
      <c r="L45"/>
      <c r="M45"/>
      <c r="N45"/>
      <c r="O45"/>
      <c r="P45"/>
      <c r="Q45"/>
      <c r="R45"/>
      <c r="S45"/>
      <c r="T45"/>
      <c r="U45"/>
    </row>
    <row r="46" spans="1:21" ht="13.5" x14ac:dyDescent="0.15">
      <c r="C46"/>
      <c r="D46"/>
      <c r="E46"/>
      <c r="F46"/>
      <c r="G46"/>
      <c r="H46"/>
      <c r="I46"/>
      <c r="J46"/>
      <c r="K46"/>
      <c r="L46"/>
      <c r="M46"/>
      <c r="N46"/>
      <c r="O46"/>
      <c r="P46"/>
      <c r="Q46"/>
      <c r="R46"/>
      <c r="S46"/>
      <c r="T46"/>
      <c r="U46"/>
    </row>
    <row r="47" spans="1:21" ht="13.5" x14ac:dyDescent="0.15">
      <c r="C47"/>
      <c r="D47"/>
      <c r="E47"/>
      <c r="F47"/>
      <c r="G47"/>
      <c r="H47"/>
      <c r="I47"/>
      <c r="J47"/>
      <c r="K47"/>
      <c r="L47"/>
      <c r="M47"/>
      <c r="N47"/>
      <c r="O47"/>
      <c r="P47"/>
      <c r="Q47"/>
      <c r="R47"/>
      <c r="S47"/>
      <c r="T47"/>
      <c r="U47"/>
    </row>
    <row r="48" spans="1:21" ht="13.5" x14ac:dyDescent="0.15">
      <c r="C48"/>
      <c r="D48"/>
      <c r="E48"/>
      <c r="F48"/>
      <c r="G48"/>
      <c r="H48"/>
      <c r="I48"/>
      <c r="J48"/>
      <c r="K48"/>
      <c r="L48"/>
      <c r="M48"/>
      <c r="N48"/>
      <c r="O48"/>
      <c r="P48"/>
      <c r="Q48"/>
      <c r="R48"/>
      <c r="S48"/>
      <c r="T48"/>
      <c r="U48"/>
    </row>
    <row r="49" spans="3:21" ht="13.5" x14ac:dyDescent="0.15">
      <c r="C49"/>
      <c r="D49"/>
      <c r="E49"/>
      <c r="F49"/>
      <c r="G49"/>
      <c r="H49"/>
      <c r="I49"/>
      <c r="J49"/>
      <c r="K49"/>
      <c r="L49"/>
      <c r="M49"/>
      <c r="N49"/>
      <c r="O49"/>
      <c r="P49"/>
      <c r="Q49"/>
      <c r="R49"/>
      <c r="S49"/>
      <c r="T49"/>
      <c r="U49"/>
    </row>
    <row r="50" spans="3:21" ht="13.5" x14ac:dyDescent="0.15">
      <c r="C50"/>
      <c r="D50"/>
      <c r="E50"/>
      <c r="F50"/>
      <c r="G50"/>
      <c r="H50"/>
      <c r="I50"/>
      <c r="J50"/>
      <c r="K50"/>
      <c r="L50"/>
      <c r="M50"/>
      <c r="N50"/>
      <c r="O50"/>
      <c r="P50"/>
      <c r="Q50"/>
      <c r="R50"/>
      <c r="S50"/>
      <c r="T50"/>
      <c r="U50"/>
    </row>
    <row r="51" spans="3:21" ht="13.5" x14ac:dyDescent="0.15">
      <c r="C51"/>
      <c r="D51"/>
      <c r="E51"/>
      <c r="F51"/>
      <c r="G51"/>
      <c r="H51"/>
      <c r="I51"/>
      <c r="J51"/>
      <c r="K51"/>
      <c r="L51"/>
      <c r="M51"/>
      <c r="N51"/>
      <c r="O51"/>
      <c r="P51"/>
      <c r="Q51"/>
      <c r="R51"/>
      <c r="S51"/>
      <c r="T51"/>
      <c r="U51"/>
    </row>
    <row r="52" spans="3:21" ht="13.5" x14ac:dyDescent="0.15">
      <c r="C52"/>
      <c r="D52"/>
      <c r="E52"/>
      <c r="F52"/>
      <c r="G52"/>
      <c r="H52"/>
      <c r="I52"/>
      <c r="J52"/>
      <c r="K52"/>
      <c r="L52"/>
      <c r="M52"/>
      <c r="N52"/>
      <c r="O52"/>
      <c r="P52"/>
      <c r="Q52"/>
      <c r="R52"/>
      <c r="S52"/>
      <c r="T52"/>
      <c r="U52"/>
    </row>
    <row r="53" spans="3:21" ht="13.5" x14ac:dyDescent="0.15">
      <c r="C53"/>
      <c r="D53"/>
      <c r="E53"/>
      <c r="F53"/>
      <c r="G53"/>
      <c r="H53"/>
      <c r="I53"/>
      <c r="J53"/>
      <c r="K53"/>
      <c r="L53"/>
      <c r="M53"/>
      <c r="N53"/>
      <c r="O53"/>
      <c r="P53"/>
      <c r="Q53"/>
      <c r="R53"/>
      <c r="S53"/>
      <c r="T53"/>
      <c r="U53"/>
    </row>
    <row r="54" spans="3:21" ht="13.5" x14ac:dyDescent="0.15">
      <c r="C54"/>
      <c r="D54"/>
      <c r="E54"/>
      <c r="F54"/>
      <c r="G54"/>
      <c r="H54"/>
      <c r="I54"/>
      <c r="J54"/>
      <c r="K54"/>
      <c r="L54"/>
      <c r="M54"/>
      <c r="N54"/>
      <c r="O54"/>
      <c r="P54"/>
      <c r="Q54"/>
      <c r="R54"/>
      <c r="S54"/>
      <c r="T54"/>
      <c r="U54"/>
    </row>
    <row r="55" spans="3:21" ht="13.5" x14ac:dyDescent="0.15">
      <c r="C55"/>
      <c r="D55"/>
      <c r="E55"/>
      <c r="F55"/>
      <c r="G55"/>
      <c r="H55"/>
      <c r="I55"/>
      <c r="J55"/>
      <c r="K55"/>
      <c r="L55"/>
      <c r="M55"/>
      <c r="N55"/>
      <c r="O55"/>
      <c r="P55"/>
      <c r="Q55"/>
      <c r="R55"/>
      <c r="S55"/>
      <c r="T55"/>
      <c r="U55"/>
    </row>
    <row r="56" spans="3:21" ht="13.5" x14ac:dyDescent="0.15">
      <c r="C56"/>
      <c r="D56"/>
      <c r="E56"/>
      <c r="F56"/>
      <c r="G56"/>
      <c r="H56"/>
      <c r="I56"/>
      <c r="J56"/>
      <c r="K56"/>
      <c r="L56"/>
      <c r="M56"/>
      <c r="N56"/>
      <c r="O56"/>
      <c r="P56"/>
      <c r="Q56"/>
      <c r="R56"/>
      <c r="S56"/>
      <c r="T56"/>
      <c r="U56"/>
    </row>
    <row r="57" spans="3:21" ht="13.5" x14ac:dyDescent="0.15">
      <c r="C57"/>
      <c r="D57"/>
      <c r="E57"/>
      <c r="F57"/>
      <c r="G57"/>
      <c r="H57"/>
      <c r="I57"/>
      <c r="J57"/>
      <c r="K57"/>
      <c r="L57"/>
      <c r="M57"/>
      <c r="N57"/>
      <c r="O57"/>
      <c r="P57"/>
      <c r="Q57"/>
      <c r="R57"/>
      <c r="S57"/>
      <c r="T57"/>
      <c r="U57"/>
    </row>
    <row r="58" spans="3:21" ht="13.5" x14ac:dyDescent="0.15">
      <c r="C58"/>
      <c r="D58"/>
      <c r="E58"/>
      <c r="F58"/>
      <c r="G58"/>
      <c r="H58"/>
      <c r="I58"/>
      <c r="J58"/>
      <c r="K58"/>
      <c r="L58"/>
      <c r="M58"/>
      <c r="N58"/>
      <c r="O58"/>
      <c r="P58"/>
      <c r="Q58"/>
      <c r="R58"/>
      <c r="S58"/>
      <c r="T58"/>
      <c r="U58"/>
    </row>
    <row r="59" spans="3:21" ht="13.5" x14ac:dyDescent="0.15">
      <c r="C59"/>
      <c r="D59"/>
      <c r="E59"/>
      <c r="F59"/>
      <c r="G59"/>
      <c r="H59"/>
      <c r="I59"/>
      <c r="J59"/>
      <c r="K59"/>
      <c r="L59"/>
      <c r="M59"/>
      <c r="N59"/>
      <c r="O59"/>
      <c r="P59"/>
      <c r="Q59"/>
      <c r="R59"/>
      <c r="S59"/>
      <c r="T59"/>
      <c r="U59"/>
    </row>
    <row r="60" spans="3:21" ht="13.5" x14ac:dyDescent="0.15">
      <c r="C60"/>
      <c r="D60"/>
      <c r="E60"/>
      <c r="F60"/>
      <c r="G60"/>
      <c r="H60"/>
      <c r="I60"/>
      <c r="J60"/>
      <c r="K60"/>
      <c r="L60"/>
      <c r="M60"/>
      <c r="N60"/>
      <c r="O60"/>
      <c r="P60"/>
      <c r="Q60"/>
      <c r="R60"/>
      <c r="S60"/>
      <c r="T60"/>
      <c r="U60"/>
    </row>
    <row r="61" spans="3:21" ht="13.5" x14ac:dyDescent="0.15">
      <c r="C61"/>
      <c r="D61"/>
      <c r="E61"/>
      <c r="F61"/>
      <c r="G61"/>
      <c r="H61"/>
      <c r="I61"/>
      <c r="J61"/>
      <c r="K61"/>
      <c r="L61"/>
      <c r="M61"/>
      <c r="N61"/>
      <c r="O61"/>
      <c r="P61"/>
      <c r="Q61"/>
      <c r="R61"/>
      <c r="S61"/>
      <c r="T61"/>
      <c r="U61"/>
    </row>
    <row r="62" spans="3:21" ht="13.5" x14ac:dyDescent="0.15">
      <c r="C62"/>
      <c r="D62"/>
      <c r="E62"/>
      <c r="F62"/>
      <c r="G62"/>
      <c r="H62"/>
      <c r="I62"/>
      <c r="J62"/>
      <c r="K62"/>
      <c r="L62"/>
      <c r="M62"/>
      <c r="N62"/>
      <c r="O62"/>
      <c r="P62"/>
      <c r="Q62"/>
      <c r="R62"/>
      <c r="S62"/>
      <c r="T62"/>
      <c r="U62"/>
    </row>
    <row r="63" spans="3:21" ht="13.5" x14ac:dyDescent="0.15">
      <c r="C63"/>
      <c r="D63"/>
      <c r="E63"/>
      <c r="F63"/>
      <c r="G63"/>
      <c r="H63"/>
      <c r="I63"/>
      <c r="J63"/>
      <c r="K63"/>
      <c r="L63"/>
      <c r="M63"/>
      <c r="N63"/>
      <c r="O63"/>
      <c r="P63"/>
      <c r="Q63"/>
      <c r="R63"/>
      <c r="S63"/>
      <c r="T63"/>
      <c r="U63"/>
    </row>
    <row r="64" spans="3:21" ht="13.5" x14ac:dyDescent="0.15">
      <c r="C64"/>
      <c r="D64"/>
      <c r="E64"/>
      <c r="F64"/>
      <c r="G64"/>
      <c r="H64"/>
      <c r="I64"/>
      <c r="J64"/>
      <c r="K64"/>
      <c r="L64"/>
      <c r="M64"/>
      <c r="N64"/>
      <c r="O64"/>
      <c r="P64"/>
      <c r="Q64"/>
      <c r="R64"/>
      <c r="S64"/>
      <c r="T64"/>
      <c r="U64"/>
    </row>
    <row r="65" spans="3:21" ht="13.5" x14ac:dyDescent="0.15">
      <c r="C65"/>
      <c r="D65"/>
      <c r="E65"/>
      <c r="F65"/>
      <c r="G65"/>
      <c r="H65"/>
      <c r="I65"/>
      <c r="J65"/>
      <c r="K65"/>
      <c r="L65"/>
      <c r="M65"/>
      <c r="N65"/>
      <c r="O65"/>
      <c r="P65"/>
      <c r="Q65"/>
      <c r="R65"/>
      <c r="S65"/>
      <c r="T65"/>
      <c r="U65"/>
    </row>
    <row r="66" spans="3:21" ht="13.5" x14ac:dyDescent="0.15">
      <c r="C66"/>
      <c r="D66"/>
      <c r="E66"/>
      <c r="F66"/>
      <c r="G66"/>
      <c r="H66"/>
      <c r="I66"/>
      <c r="J66"/>
      <c r="K66"/>
      <c r="L66"/>
      <c r="M66"/>
      <c r="N66"/>
      <c r="O66"/>
      <c r="P66"/>
      <c r="Q66"/>
      <c r="R66"/>
      <c r="S66"/>
      <c r="T66"/>
      <c r="U66"/>
    </row>
    <row r="67" spans="3:21" ht="13.5" x14ac:dyDescent="0.15">
      <c r="C67"/>
      <c r="D67"/>
      <c r="E67"/>
      <c r="F67"/>
      <c r="G67"/>
      <c r="H67"/>
      <c r="I67"/>
      <c r="J67"/>
      <c r="K67"/>
      <c r="L67"/>
      <c r="M67"/>
      <c r="N67"/>
      <c r="O67"/>
      <c r="P67"/>
      <c r="Q67"/>
      <c r="R67"/>
      <c r="S67"/>
      <c r="T67"/>
      <c r="U67"/>
    </row>
    <row r="68" spans="3:21" ht="13.5" x14ac:dyDescent="0.15">
      <c r="C68"/>
      <c r="D68"/>
      <c r="E68"/>
      <c r="F68"/>
      <c r="G68"/>
      <c r="H68"/>
      <c r="I68"/>
      <c r="J68"/>
      <c r="K68"/>
      <c r="L68"/>
      <c r="M68"/>
      <c r="N68"/>
      <c r="O68"/>
      <c r="P68"/>
      <c r="Q68"/>
      <c r="R68"/>
      <c r="S68"/>
      <c r="T68"/>
      <c r="U68"/>
    </row>
    <row r="69" spans="3:21" ht="13.5" x14ac:dyDescent="0.15">
      <c r="C69"/>
      <c r="D69"/>
      <c r="E69"/>
      <c r="F69"/>
      <c r="G69"/>
      <c r="H69"/>
      <c r="I69"/>
      <c r="J69"/>
      <c r="K69"/>
      <c r="L69"/>
      <c r="M69"/>
      <c r="N69"/>
      <c r="O69"/>
      <c r="P69"/>
      <c r="Q69"/>
      <c r="R69"/>
      <c r="S69"/>
      <c r="T69"/>
      <c r="U69"/>
    </row>
    <row r="70" spans="3:21" ht="13.5" x14ac:dyDescent="0.15">
      <c r="C70"/>
      <c r="D70"/>
      <c r="E70"/>
      <c r="F70"/>
      <c r="G70"/>
      <c r="H70"/>
      <c r="I70"/>
      <c r="J70"/>
      <c r="K70"/>
      <c r="L70"/>
      <c r="M70"/>
      <c r="N70"/>
      <c r="O70"/>
      <c r="P70"/>
      <c r="Q70"/>
      <c r="R70"/>
      <c r="S70"/>
      <c r="T70"/>
      <c r="U70"/>
    </row>
    <row r="71" spans="3:21" ht="13.5" x14ac:dyDescent="0.15">
      <c r="C71"/>
      <c r="D71"/>
      <c r="E71"/>
      <c r="F71"/>
      <c r="G71"/>
      <c r="H71"/>
      <c r="I71"/>
      <c r="J71"/>
      <c r="K71"/>
      <c r="L71"/>
      <c r="M71"/>
      <c r="N71"/>
      <c r="O71"/>
      <c r="P71"/>
      <c r="Q71"/>
      <c r="R71"/>
      <c r="S71"/>
      <c r="T71"/>
      <c r="U71"/>
    </row>
    <row r="72" spans="3:21" ht="13.5" x14ac:dyDescent="0.15">
      <c r="C72"/>
      <c r="D72"/>
      <c r="E72"/>
      <c r="F72"/>
      <c r="G72"/>
      <c r="H72"/>
      <c r="I72"/>
      <c r="J72"/>
      <c r="K72"/>
      <c r="L72"/>
      <c r="M72"/>
      <c r="N72"/>
      <c r="O72"/>
      <c r="P72"/>
      <c r="Q72"/>
      <c r="R72"/>
      <c r="S72"/>
      <c r="T72"/>
      <c r="U72"/>
    </row>
    <row r="73" spans="3:21" ht="13.5" x14ac:dyDescent="0.15">
      <c r="C73"/>
      <c r="D73"/>
      <c r="E73"/>
      <c r="F73"/>
      <c r="G73"/>
      <c r="H73"/>
      <c r="I73"/>
      <c r="J73"/>
      <c r="K73"/>
      <c r="L73"/>
      <c r="M73"/>
      <c r="N73"/>
      <c r="O73"/>
      <c r="P73"/>
      <c r="Q73"/>
      <c r="R73"/>
      <c r="S73"/>
      <c r="T73"/>
      <c r="U73"/>
    </row>
    <row r="74" spans="3:21" ht="13.5" x14ac:dyDescent="0.15">
      <c r="C74"/>
      <c r="D74"/>
      <c r="E74"/>
      <c r="F74"/>
      <c r="G74"/>
      <c r="H74"/>
      <c r="I74"/>
      <c r="J74"/>
      <c r="K74"/>
      <c r="L74"/>
      <c r="M74"/>
      <c r="N74"/>
      <c r="O74"/>
      <c r="P74"/>
      <c r="Q74"/>
      <c r="R74"/>
      <c r="S74"/>
      <c r="T74"/>
      <c r="U74"/>
    </row>
    <row r="75" spans="3:21" ht="13.5" x14ac:dyDescent="0.15">
      <c r="C75"/>
      <c r="D75"/>
      <c r="E75"/>
      <c r="F75"/>
      <c r="G75"/>
      <c r="H75"/>
      <c r="I75"/>
      <c r="J75"/>
      <c r="K75"/>
      <c r="L75"/>
      <c r="M75"/>
      <c r="N75"/>
      <c r="O75"/>
      <c r="P75"/>
      <c r="Q75"/>
      <c r="R75"/>
      <c r="S75"/>
      <c r="T75"/>
      <c r="U75"/>
    </row>
    <row r="76" spans="3:21" ht="13.5" x14ac:dyDescent="0.15">
      <c r="C76"/>
      <c r="D76"/>
      <c r="E76"/>
      <c r="F76"/>
      <c r="G76"/>
      <c r="H76"/>
      <c r="I76"/>
      <c r="J76"/>
      <c r="K76"/>
      <c r="L76"/>
      <c r="M76"/>
      <c r="N76"/>
      <c r="O76"/>
      <c r="P76"/>
      <c r="Q76"/>
      <c r="R76"/>
      <c r="S76"/>
      <c r="T76"/>
      <c r="U76"/>
    </row>
    <row r="77" spans="3:21" ht="13.5" x14ac:dyDescent="0.15">
      <c r="C77"/>
      <c r="D77"/>
      <c r="E77"/>
      <c r="F77"/>
      <c r="G77"/>
      <c r="H77"/>
      <c r="I77"/>
      <c r="J77"/>
      <c r="K77"/>
      <c r="L77"/>
      <c r="M77"/>
      <c r="N77"/>
      <c r="O77"/>
      <c r="P77"/>
      <c r="Q77"/>
      <c r="R77"/>
      <c r="S77"/>
      <c r="T77"/>
      <c r="U77"/>
    </row>
    <row r="78" spans="3:21" ht="13.5" x14ac:dyDescent="0.15">
      <c r="C78"/>
      <c r="D78"/>
      <c r="E78"/>
      <c r="F78"/>
      <c r="G78"/>
      <c r="H78"/>
      <c r="I78"/>
      <c r="J78"/>
      <c r="K78"/>
      <c r="L78"/>
      <c r="M78"/>
      <c r="N78"/>
      <c r="O78"/>
      <c r="P78"/>
      <c r="Q78"/>
      <c r="R78"/>
      <c r="S78"/>
      <c r="T78"/>
      <c r="U78"/>
    </row>
    <row r="79" spans="3:21" ht="13.5" x14ac:dyDescent="0.15">
      <c r="C79"/>
      <c r="D79"/>
      <c r="E79"/>
      <c r="F79"/>
      <c r="G79"/>
      <c r="H79"/>
      <c r="I79"/>
      <c r="J79"/>
      <c r="K79"/>
      <c r="L79"/>
      <c r="M79"/>
      <c r="N79"/>
      <c r="O79"/>
      <c r="P79"/>
      <c r="Q79"/>
      <c r="R79"/>
      <c r="S79"/>
      <c r="T79"/>
      <c r="U79"/>
    </row>
    <row r="80" spans="3:21" ht="13.5" x14ac:dyDescent="0.15">
      <c r="C80"/>
      <c r="D80"/>
      <c r="E80"/>
      <c r="F80"/>
      <c r="G80"/>
      <c r="H80"/>
      <c r="I80"/>
      <c r="J80"/>
      <c r="K80"/>
      <c r="L80"/>
      <c r="M80"/>
      <c r="N80"/>
      <c r="O80"/>
      <c r="P80"/>
      <c r="Q80"/>
      <c r="R80"/>
      <c r="S80"/>
      <c r="T80"/>
      <c r="U80"/>
    </row>
    <row r="81" spans="3:21" ht="13.5" x14ac:dyDescent="0.15">
      <c r="C81"/>
      <c r="D81"/>
      <c r="E81"/>
      <c r="F81"/>
      <c r="G81"/>
      <c r="H81"/>
      <c r="I81"/>
      <c r="J81"/>
      <c r="K81"/>
      <c r="L81"/>
      <c r="M81"/>
      <c r="N81"/>
      <c r="O81"/>
      <c r="P81"/>
      <c r="Q81"/>
      <c r="R81"/>
      <c r="S81"/>
      <c r="T81"/>
      <c r="U81"/>
    </row>
    <row r="82" spans="3:21" ht="13.5" x14ac:dyDescent="0.15">
      <c r="C82"/>
      <c r="D82"/>
      <c r="E82"/>
      <c r="F82"/>
      <c r="G82"/>
      <c r="H82"/>
      <c r="I82"/>
      <c r="J82"/>
      <c r="K82"/>
      <c r="L82"/>
      <c r="M82"/>
      <c r="N82"/>
      <c r="O82"/>
      <c r="P82"/>
      <c r="Q82"/>
      <c r="R82"/>
      <c r="S82"/>
      <c r="T82"/>
      <c r="U82"/>
    </row>
    <row r="83" spans="3:21" ht="13.5" x14ac:dyDescent="0.15">
      <c r="C83"/>
      <c r="D83"/>
      <c r="E83"/>
      <c r="F83"/>
      <c r="G83"/>
      <c r="H83"/>
      <c r="I83"/>
      <c r="J83"/>
      <c r="K83"/>
      <c r="L83"/>
      <c r="M83"/>
      <c r="N83"/>
      <c r="O83"/>
      <c r="P83"/>
      <c r="Q83"/>
      <c r="R83"/>
      <c r="S83"/>
      <c r="T83"/>
      <c r="U83"/>
    </row>
    <row r="84" spans="3:21" ht="13.5" x14ac:dyDescent="0.15">
      <c r="C84"/>
      <c r="D84"/>
      <c r="E84"/>
      <c r="F84"/>
      <c r="G84"/>
      <c r="H84"/>
      <c r="I84"/>
      <c r="J84"/>
      <c r="K84"/>
      <c r="L84"/>
      <c r="M84"/>
      <c r="N84"/>
      <c r="O84"/>
      <c r="P84"/>
      <c r="Q84"/>
      <c r="R84"/>
      <c r="S84"/>
      <c r="T84"/>
      <c r="U84"/>
    </row>
    <row r="85" spans="3:21" ht="13.5" x14ac:dyDescent="0.15">
      <c r="C85"/>
      <c r="D85"/>
      <c r="E85"/>
      <c r="F85"/>
      <c r="G85"/>
      <c r="H85"/>
      <c r="I85"/>
      <c r="J85"/>
      <c r="K85"/>
      <c r="L85"/>
      <c r="M85"/>
      <c r="N85"/>
      <c r="O85"/>
      <c r="P85"/>
      <c r="Q85"/>
      <c r="R85"/>
      <c r="S85"/>
      <c r="T85"/>
      <c r="U85"/>
    </row>
    <row r="86" spans="3:21" ht="13.5" x14ac:dyDescent="0.15">
      <c r="C86"/>
      <c r="D86"/>
      <c r="E86"/>
      <c r="F86"/>
      <c r="G86"/>
      <c r="H86"/>
      <c r="I86"/>
      <c r="J86"/>
      <c r="K86"/>
      <c r="L86"/>
      <c r="M86"/>
      <c r="N86"/>
      <c r="O86"/>
      <c r="P86"/>
      <c r="Q86"/>
      <c r="R86"/>
      <c r="S86"/>
      <c r="T86"/>
      <c r="U86"/>
    </row>
    <row r="87" spans="3:21" ht="13.5" x14ac:dyDescent="0.15">
      <c r="C87"/>
      <c r="D87"/>
      <c r="E87"/>
      <c r="F87"/>
      <c r="G87"/>
      <c r="H87"/>
      <c r="I87"/>
      <c r="J87"/>
      <c r="K87"/>
      <c r="L87"/>
      <c r="M87"/>
      <c r="N87"/>
      <c r="O87"/>
      <c r="P87"/>
      <c r="Q87"/>
      <c r="R87"/>
      <c r="S87"/>
      <c r="T87"/>
      <c r="U87"/>
    </row>
    <row r="88" spans="3:21" ht="13.5" x14ac:dyDescent="0.15">
      <c r="C88"/>
      <c r="D88"/>
      <c r="E88"/>
      <c r="F88"/>
      <c r="G88"/>
      <c r="H88"/>
      <c r="I88"/>
      <c r="J88"/>
      <c r="K88"/>
      <c r="L88"/>
      <c r="M88"/>
      <c r="N88"/>
      <c r="O88"/>
      <c r="P88"/>
      <c r="Q88"/>
      <c r="R88"/>
      <c r="S88"/>
      <c r="T88"/>
      <c r="U88"/>
    </row>
    <row r="89" spans="3:21" ht="13.5" x14ac:dyDescent="0.15">
      <c r="C89"/>
      <c r="D89"/>
      <c r="E89"/>
      <c r="F89"/>
      <c r="G89"/>
      <c r="H89"/>
      <c r="I89"/>
      <c r="J89"/>
      <c r="K89"/>
      <c r="L89"/>
      <c r="M89"/>
      <c r="N89"/>
      <c r="O89"/>
      <c r="P89"/>
      <c r="Q89"/>
      <c r="R89"/>
      <c r="S89"/>
      <c r="T89"/>
      <c r="U89"/>
    </row>
    <row r="90" spans="3:21" ht="13.5" x14ac:dyDescent="0.15">
      <c r="C90"/>
      <c r="D90"/>
      <c r="E90"/>
      <c r="F90"/>
      <c r="G90"/>
      <c r="H90"/>
      <c r="I90"/>
      <c r="J90"/>
      <c r="K90"/>
      <c r="L90"/>
      <c r="M90"/>
      <c r="N90"/>
      <c r="O90"/>
      <c r="P90"/>
      <c r="Q90"/>
      <c r="R90"/>
      <c r="S90"/>
      <c r="T90"/>
      <c r="U90"/>
    </row>
    <row r="91" spans="3:21" ht="13.5" x14ac:dyDescent="0.15">
      <c r="C91"/>
      <c r="D91"/>
      <c r="E91"/>
      <c r="F91"/>
      <c r="G91"/>
      <c r="H91"/>
      <c r="I91"/>
      <c r="J91"/>
      <c r="K91"/>
      <c r="L91"/>
      <c r="M91"/>
      <c r="N91"/>
      <c r="O91"/>
      <c r="P91"/>
      <c r="Q91"/>
      <c r="R91"/>
      <c r="S91"/>
      <c r="T91"/>
      <c r="U91"/>
    </row>
    <row r="92" spans="3:21" ht="13.5" x14ac:dyDescent="0.15">
      <c r="C92"/>
      <c r="D92"/>
      <c r="E92"/>
      <c r="F92"/>
      <c r="G92"/>
      <c r="H92"/>
      <c r="I92"/>
      <c r="J92"/>
      <c r="K92"/>
      <c r="L92"/>
      <c r="M92"/>
      <c r="N92"/>
      <c r="O92"/>
      <c r="P92"/>
      <c r="Q92"/>
      <c r="R92"/>
      <c r="S92"/>
      <c r="T92"/>
      <c r="U92"/>
    </row>
    <row r="93" spans="3:21" ht="13.5" x14ac:dyDescent="0.15">
      <c r="C93"/>
      <c r="D93"/>
      <c r="E93"/>
      <c r="F93"/>
      <c r="G93"/>
      <c r="H93"/>
      <c r="I93"/>
      <c r="J93"/>
      <c r="K93"/>
      <c r="L93"/>
      <c r="M93"/>
      <c r="N93"/>
      <c r="O93"/>
      <c r="P93"/>
      <c r="Q93"/>
      <c r="R93"/>
      <c r="S93"/>
      <c r="T93"/>
      <c r="U93"/>
    </row>
    <row r="94" spans="3:21" ht="13.5" x14ac:dyDescent="0.15">
      <c r="C94"/>
      <c r="D94"/>
      <c r="E94"/>
      <c r="F94"/>
      <c r="G94"/>
      <c r="H94"/>
      <c r="I94"/>
      <c r="J94"/>
      <c r="K94"/>
      <c r="L94"/>
      <c r="M94"/>
      <c r="N94"/>
      <c r="O94"/>
      <c r="P94"/>
      <c r="Q94"/>
      <c r="R94"/>
      <c r="S94"/>
      <c r="T94"/>
      <c r="U94"/>
    </row>
    <row r="95" spans="3:21" ht="13.5" x14ac:dyDescent="0.15">
      <c r="C95"/>
      <c r="D95"/>
      <c r="E95"/>
      <c r="F95"/>
      <c r="G95"/>
      <c r="H95"/>
      <c r="I95"/>
      <c r="J95"/>
      <c r="K95"/>
      <c r="L95"/>
      <c r="M95"/>
      <c r="N95"/>
      <c r="O95"/>
      <c r="P95"/>
      <c r="Q95"/>
      <c r="R95"/>
      <c r="S95"/>
      <c r="T95"/>
      <c r="U95"/>
    </row>
    <row r="96" spans="3:21" ht="13.5" x14ac:dyDescent="0.15">
      <c r="C96"/>
      <c r="D96"/>
      <c r="E96"/>
      <c r="F96"/>
      <c r="G96"/>
      <c r="H96"/>
      <c r="I96"/>
      <c r="J96"/>
      <c r="K96"/>
      <c r="L96"/>
      <c r="M96"/>
      <c r="N96"/>
      <c r="O96"/>
      <c r="P96"/>
      <c r="Q96"/>
      <c r="R96"/>
      <c r="S96"/>
      <c r="T96"/>
      <c r="U96"/>
    </row>
    <row r="97" spans="3:21" ht="13.5" x14ac:dyDescent="0.15">
      <c r="C97"/>
      <c r="D97"/>
      <c r="E97"/>
      <c r="F97"/>
      <c r="G97"/>
      <c r="H97"/>
      <c r="I97"/>
      <c r="J97"/>
      <c r="K97"/>
      <c r="L97"/>
      <c r="M97"/>
      <c r="N97"/>
      <c r="O97"/>
      <c r="P97"/>
      <c r="Q97"/>
      <c r="R97"/>
      <c r="S97"/>
      <c r="T97"/>
      <c r="U97"/>
    </row>
    <row r="98" spans="3:21" ht="13.5" x14ac:dyDescent="0.15">
      <c r="C98"/>
      <c r="D98"/>
      <c r="E98"/>
      <c r="F98"/>
      <c r="G98"/>
      <c r="H98"/>
      <c r="I98"/>
      <c r="J98"/>
      <c r="K98"/>
      <c r="L98"/>
      <c r="M98"/>
      <c r="N98"/>
      <c r="O98"/>
      <c r="P98"/>
      <c r="Q98"/>
      <c r="R98"/>
      <c r="S98"/>
      <c r="T98"/>
      <c r="U98"/>
    </row>
    <row r="99" spans="3:21" ht="13.5" x14ac:dyDescent="0.15">
      <c r="C99"/>
      <c r="D99"/>
      <c r="E99"/>
      <c r="F99"/>
      <c r="G99"/>
      <c r="H99"/>
      <c r="I99"/>
      <c r="J99"/>
      <c r="K99"/>
      <c r="L99"/>
      <c r="M99"/>
      <c r="N99"/>
      <c r="O99"/>
      <c r="P99"/>
      <c r="Q99"/>
      <c r="R99"/>
      <c r="S99"/>
      <c r="T99"/>
      <c r="U99"/>
    </row>
    <row r="100" spans="3:21" ht="13.5" x14ac:dyDescent="0.15">
      <c r="C100"/>
      <c r="D100"/>
      <c r="E100"/>
      <c r="F100"/>
      <c r="G100"/>
      <c r="H100"/>
      <c r="I100"/>
      <c r="J100"/>
      <c r="K100"/>
      <c r="L100"/>
      <c r="M100"/>
      <c r="N100"/>
      <c r="O100"/>
      <c r="P100"/>
      <c r="Q100"/>
      <c r="R100"/>
      <c r="S100"/>
      <c r="T100"/>
      <c r="U100"/>
    </row>
    <row r="101" spans="3:21" ht="13.5" x14ac:dyDescent="0.15">
      <c r="C101"/>
      <c r="D101"/>
      <c r="E101"/>
      <c r="F101"/>
      <c r="G101"/>
      <c r="H101"/>
      <c r="I101"/>
      <c r="J101"/>
      <c r="K101"/>
      <c r="L101"/>
      <c r="M101"/>
      <c r="N101"/>
      <c r="O101"/>
      <c r="P101"/>
      <c r="Q101"/>
      <c r="R101"/>
      <c r="S101"/>
      <c r="T101"/>
      <c r="U101"/>
    </row>
    <row r="102" spans="3:21" ht="13.5" x14ac:dyDescent="0.15">
      <c r="C102"/>
      <c r="D102"/>
      <c r="E102"/>
      <c r="F102"/>
      <c r="G102"/>
      <c r="H102"/>
      <c r="I102"/>
      <c r="J102"/>
      <c r="K102"/>
      <c r="L102"/>
      <c r="M102"/>
      <c r="N102"/>
      <c r="O102"/>
      <c r="P102"/>
      <c r="Q102"/>
      <c r="R102"/>
      <c r="S102"/>
      <c r="T102"/>
      <c r="U102"/>
    </row>
    <row r="103" spans="3:21" ht="13.5" x14ac:dyDescent="0.15">
      <c r="C103"/>
      <c r="D103"/>
      <c r="E103"/>
      <c r="F103"/>
      <c r="G103"/>
      <c r="H103"/>
      <c r="I103"/>
      <c r="J103"/>
      <c r="K103"/>
      <c r="L103"/>
      <c r="M103"/>
      <c r="N103"/>
      <c r="O103"/>
      <c r="P103"/>
      <c r="Q103"/>
      <c r="R103"/>
      <c r="S103"/>
      <c r="T103"/>
      <c r="U103"/>
    </row>
    <row r="104" spans="3:21" ht="13.5" x14ac:dyDescent="0.15">
      <c r="C104"/>
      <c r="D104"/>
      <c r="E104"/>
      <c r="F104"/>
      <c r="G104"/>
      <c r="H104"/>
      <c r="I104"/>
      <c r="J104"/>
      <c r="K104"/>
      <c r="L104"/>
      <c r="M104"/>
      <c r="N104"/>
      <c r="O104"/>
      <c r="P104"/>
      <c r="Q104"/>
      <c r="R104"/>
      <c r="S104"/>
      <c r="T104"/>
      <c r="U104"/>
    </row>
    <row r="105" spans="3:21" ht="13.5" x14ac:dyDescent="0.15">
      <c r="C105"/>
      <c r="D105"/>
      <c r="E105"/>
      <c r="F105"/>
      <c r="G105"/>
      <c r="H105"/>
      <c r="I105"/>
      <c r="J105"/>
      <c r="K105"/>
      <c r="L105"/>
      <c r="M105"/>
      <c r="N105"/>
      <c r="O105"/>
      <c r="P105"/>
      <c r="Q105"/>
      <c r="R105"/>
      <c r="S105"/>
      <c r="T105"/>
      <c r="U105"/>
    </row>
    <row r="106" spans="3:21" ht="13.5" x14ac:dyDescent="0.15">
      <c r="C106"/>
      <c r="D106"/>
      <c r="E106"/>
      <c r="F106"/>
      <c r="G106"/>
      <c r="H106"/>
      <c r="I106"/>
      <c r="J106"/>
      <c r="K106"/>
      <c r="L106"/>
      <c r="M106"/>
      <c r="N106"/>
      <c r="O106"/>
      <c r="P106"/>
      <c r="Q106"/>
      <c r="R106"/>
      <c r="S106"/>
      <c r="T106"/>
      <c r="U106"/>
    </row>
    <row r="107" spans="3:21" ht="13.5" x14ac:dyDescent="0.15">
      <c r="C107"/>
      <c r="D107"/>
      <c r="E107"/>
      <c r="F107"/>
      <c r="G107"/>
      <c r="H107"/>
      <c r="I107"/>
      <c r="J107"/>
      <c r="K107"/>
      <c r="L107"/>
      <c r="M107"/>
      <c r="N107"/>
      <c r="O107"/>
      <c r="P107"/>
      <c r="Q107"/>
      <c r="R107"/>
      <c r="S107"/>
      <c r="T107"/>
      <c r="U107"/>
    </row>
    <row r="108" spans="3:21" ht="13.5" x14ac:dyDescent="0.15">
      <c r="C108"/>
      <c r="D108"/>
      <c r="E108"/>
      <c r="F108"/>
      <c r="G108"/>
      <c r="H108"/>
      <c r="I108"/>
      <c r="J108"/>
      <c r="K108"/>
      <c r="L108"/>
      <c r="M108"/>
      <c r="N108"/>
      <c r="O108"/>
      <c r="P108"/>
      <c r="Q108"/>
      <c r="R108"/>
      <c r="S108"/>
      <c r="T108"/>
      <c r="U108"/>
    </row>
    <row r="109" spans="3:21" ht="13.5" x14ac:dyDescent="0.15">
      <c r="C109"/>
      <c r="D109"/>
      <c r="E109"/>
      <c r="F109"/>
      <c r="G109"/>
      <c r="H109"/>
      <c r="I109"/>
      <c r="J109"/>
      <c r="K109"/>
      <c r="L109"/>
      <c r="M109"/>
      <c r="N109"/>
      <c r="O109"/>
      <c r="P109"/>
      <c r="Q109"/>
      <c r="R109"/>
      <c r="S109"/>
      <c r="T109"/>
      <c r="U109"/>
    </row>
    <row r="110" spans="3:21" ht="13.5" x14ac:dyDescent="0.15">
      <c r="C110"/>
      <c r="D110"/>
      <c r="E110"/>
      <c r="F110"/>
      <c r="G110"/>
      <c r="H110"/>
      <c r="I110"/>
      <c r="J110"/>
      <c r="K110"/>
      <c r="L110"/>
      <c r="M110"/>
      <c r="N110"/>
      <c r="O110"/>
      <c r="P110"/>
      <c r="Q110"/>
      <c r="R110"/>
      <c r="S110"/>
      <c r="T110"/>
      <c r="U110"/>
    </row>
    <row r="111" spans="3:21" ht="13.5" x14ac:dyDescent="0.15">
      <c r="C111"/>
      <c r="D111"/>
      <c r="E111"/>
      <c r="F111"/>
      <c r="G111"/>
      <c r="H111"/>
      <c r="I111"/>
      <c r="J111"/>
      <c r="K111"/>
      <c r="L111"/>
      <c r="M111"/>
      <c r="N111"/>
      <c r="O111"/>
      <c r="P111"/>
      <c r="Q111"/>
      <c r="R111"/>
      <c r="S111"/>
      <c r="T111"/>
      <c r="U111"/>
    </row>
    <row r="112" spans="3:21" ht="13.5" x14ac:dyDescent="0.15">
      <c r="C112"/>
      <c r="D112"/>
      <c r="E112"/>
      <c r="F112"/>
      <c r="G112"/>
      <c r="H112"/>
      <c r="I112"/>
      <c r="J112"/>
      <c r="K112"/>
      <c r="L112"/>
      <c r="M112"/>
      <c r="N112"/>
      <c r="O112"/>
      <c r="P112"/>
      <c r="Q112"/>
      <c r="R112"/>
      <c r="S112"/>
      <c r="T112"/>
      <c r="U112"/>
    </row>
    <row r="113" spans="3:21" ht="13.5" x14ac:dyDescent="0.15">
      <c r="C113"/>
      <c r="D113"/>
      <c r="E113"/>
      <c r="F113"/>
      <c r="G113"/>
      <c r="H113"/>
      <c r="I113"/>
      <c r="J113"/>
      <c r="K113"/>
      <c r="L113"/>
      <c r="M113"/>
      <c r="N113"/>
      <c r="O113"/>
      <c r="P113"/>
      <c r="Q113"/>
      <c r="R113"/>
      <c r="S113"/>
      <c r="T113"/>
      <c r="U113"/>
    </row>
    <row r="114" spans="3:21" ht="13.5" x14ac:dyDescent="0.15">
      <c r="C114"/>
      <c r="D114"/>
      <c r="E114"/>
      <c r="F114"/>
      <c r="G114"/>
      <c r="H114"/>
      <c r="I114"/>
      <c r="J114"/>
      <c r="K114"/>
      <c r="L114"/>
      <c r="M114"/>
      <c r="N114"/>
      <c r="O114"/>
      <c r="P114"/>
      <c r="Q114"/>
      <c r="R114"/>
      <c r="S114"/>
      <c r="T114"/>
      <c r="U114"/>
    </row>
    <row r="115" spans="3:21" ht="13.5" x14ac:dyDescent="0.15">
      <c r="C115"/>
      <c r="D115"/>
      <c r="E115"/>
      <c r="F115"/>
      <c r="G115"/>
      <c r="H115"/>
      <c r="I115"/>
      <c r="J115"/>
      <c r="K115"/>
      <c r="L115"/>
      <c r="M115"/>
      <c r="N115"/>
      <c r="O115"/>
      <c r="P115"/>
      <c r="Q115"/>
      <c r="R115"/>
      <c r="S115"/>
      <c r="T115"/>
      <c r="U115"/>
    </row>
    <row r="116" spans="3:21" ht="13.5" x14ac:dyDescent="0.15">
      <c r="C116"/>
      <c r="D116"/>
      <c r="E116"/>
      <c r="F116"/>
      <c r="G116"/>
      <c r="H116"/>
      <c r="I116"/>
      <c r="J116"/>
      <c r="K116"/>
      <c r="L116"/>
      <c r="M116"/>
      <c r="N116"/>
      <c r="O116"/>
      <c r="P116"/>
      <c r="Q116"/>
      <c r="R116"/>
      <c r="S116"/>
      <c r="T116"/>
      <c r="U116"/>
    </row>
    <row r="117" spans="3:21" ht="13.5" x14ac:dyDescent="0.15">
      <c r="C117"/>
      <c r="D117"/>
      <c r="E117"/>
      <c r="F117"/>
      <c r="G117"/>
      <c r="H117"/>
      <c r="I117"/>
      <c r="J117"/>
      <c r="K117"/>
      <c r="L117"/>
      <c r="M117"/>
      <c r="N117"/>
      <c r="O117"/>
      <c r="P117"/>
      <c r="Q117"/>
      <c r="R117"/>
      <c r="S117"/>
      <c r="T117"/>
      <c r="U117"/>
    </row>
    <row r="118" spans="3:21" ht="13.5" x14ac:dyDescent="0.15">
      <c r="C118"/>
      <c r="D118"/>
      <c r="E118"/>
      <c r="F118"/>
      <c r="G118"/>
      <c r="H118"/>
      <c r="I118"/>
      <c r="J118"/>
      <c r="K118"/>
      <c r="L118"/>
      <c r="M118"/>
      <c r="N118"/>
      <c r="O118"/>
      <c r="P118"/>
      <c r="Q118"/>
      <c r="R118"/>
      <c r="S118"/>
      <c r="T118"/>
      <c r="U118"/>
    </row>
    <row r="119" spans="3:21" ht="13.5" x14ac:dyDescent="0.15">
      <c r="C119"/>
      <c r="D119"/>
      <c r="E119"/>
      <c r="F119"/>
      <c r="G119"/>
      <c r="H119"/>
      <c r="I119"/>
      <c r="J119"/>
      <c r="K119"/>
      <c r="L119"/>
      <c r="M119"/>
      <c r="N119"/>
      <c r="O119"/>
      <c r="P119"/>
      <c r="Q119"/>
      <c r="R119"/>
      <c r="S119"/>
      <c r="T119"/>
      <c r="U119"/>
    </row>
    <row r="120" spans="3:21" ht="13.5" x14ac:dyDescent="0.15">
      <c r="C120"/>
      <c r="D120"/>
      <c r="E120"/>
      <c r="F120"/>
      <c r="G120"/>
      <c r="H120"/>
      <c r="I120"/>
      <c r="J120"/>
      <c r="K120"/>
      <c r="L120"/>
      <c r="M120"/>
      <c r="N120"/>
      <c r="O120"/>
      <c r="P120"/>
      <c r="Q120"/>
      <c r="R120"/>
      <c r="S120"/>
      <c r="T120"/>
      <c r="U120"/>
    </row>
    <row r="121" spans="3:21" ht="13.5" x14ac:dyDescent="0.15">
      <c r="C121"/>
      <c r="D121"/>
      <c r="E121"/>
      <c r="F121"/>
      <c r="G121"/>
      <c r="H121"/>
      <c r="I121"/>
      <c r="J121"/>
      <c r="K121"/>
      <c r="L121"/>
      <c r="M121"/>
      <c r="N121"/>
      <c r="O121"/>
      <c r="P121"/>
      <c r="Q121"/>
      <c r="R121"/>
      <c r="S121"/>
      <c r="T121"/>
      <c r="U121"/>
    </row>
    <row r="122" spans="3:21" ht="13.5" x14ac:dyDescent="0.15">
      <c r="C122"/>
      <c r="D122"/>
      <c r="E122"/>
      <c r="F122"/>
      <c r="G122"/>
      <c r="H122"/>
      <c r="I122"/>
      <c r="J122"/>
      <c r="K122"/>
      <c r="L122"/>
      <c r="M122"/>
      <c r="N122"/>
      <c r="O122"/>
      <c r="P122"/>
      <c r="Q122"/>
      <c r="R122"/>
      <c r="S122"/>
      <c r="T122"/>
      <c r="U122"/>
    </row>
    <row r="123" spans="3:21" ht="13.5" x14ac:dyDescent="0.15">
      <c r="C123"/>
      <c r="D123"/>
      <c r="E123"/>
      <c r="F123"/>
      <c r="G123"/>
      <c r="H123"/>
      <c r="I123"/>
      <c r="J123"/>
      <c r="K123"/>
      <c r="L123"/>
      <c r="M123"/>
      <c r="N123"/>
      <c r="O123"/>
      <c r="P123"/>
      <c r="Q123"/>
      <c r="R123"/>
      <c r="S123"/>
      <c r="T123"/>
      <c r="U123"/>
    </row>
    <row r="124" spans="3:21" ht="13.5" x14ac:dyDescent="0.15">
      <c r="C124"/>
      <c r="D124"/>
      <c r="E124"/>
      <c r="F124"/>
      <c r="G124"/>
      <c r="H124"/>
      <c r="I124"/>
      <c r="J124"/>
      <c r="K124"/>
      <c r="L124"/>
      <c r="M124"/>
      <c r="N124"/>
      <c r="O124"/>
      <c r="P124"/>
      <c r="Q124"/>
      <c r="R124"/>
      <c r="S124"/>
      <c r="T124"/>
      <c r="U124"/>
    </row>
    <row r="125" spans="3:21" ht="13.5" x14ac:dyDescent="0.15">
      <c r="C125"/>
      <c r="D125"/>
      <c r="E125"/>
      <c r="F125"/>
      <c r="G125"/>
      <c r="H125"/>
      <c r="I125"/>
      <c r="J125"/>
      <c r="K125"/>
      <c r="L125"/>
      <c r="M125"/>
      <c r="N125"/>
      <c r="O125"/>
      <c r="P125"/>
      <c r="Q125"/>
      <c r="R125"/>
      <c r="S125"/>
      <c r="T125"/>
      <c r="U125"/>
    </row>
    <row r="126" spans="3:21" ht="13.5" x14ac:dyDescent="0.15">
      <c r="C126"/>
      <c r="D126"/>
      <c r="E126"/>
      <c r="F126"/>
      <c r="G126"/>
      <c r="H126"/>
      <c r="I126"/>
      <c r="J126"/>
      <c r="K126"/>
      <c r="L126"/>
      <c r="M126"/>
      <c r="N126"/>
      <c r="O126"/>
      <c r="P126"/>
      <c r="Q126"/>
      <c r="R126"/>
      <c r="S126"/>
      <c r="T126"/>
      <c r="U126"/>
    </row>
    <row r="127" spans="3:21" ht="13.5" x14ac:dyDescent="0.15">
      <c r="C127"/>
      <c r="D127"/>
      <c r="E127"/>
      <c r="F127"/>
      <c r="G127"/>
      <c r="H127"/>
      <c r="I127"/>
      <c r="J127"/>
      <c r="K127"/>
      <c r="L127"/>
      <c r="M127"/>
      <c r="N127"/>
      <c r="O127"/>
      <c r="P127"/>
      <c r="Q127"/>
      <c r="R127"/>
      <c r="S127"/>
      <c r="T127"/>
      <c r="U127"/>
    </row>
    <row r="128" spans="3:21" ht="13.5" x14ac:dyDescent="0.15">
      <c r="C128"/>
      <c r="D128"/>
      <c r="E128"/>
      <c r="F128"/>
      <c r="G128"/>
      <c r="H128"/>
      <c r="I128"/>
      <c r="J128"/>
      <c r="K128"/>
      <c r="L128"/>
      <c r="M128"/>
      <c r="N128"/>
      <c r="O128"/>
      <c r="P128"/>
      <c r="Q128"/>
      <c r="R128"/>
      <c r="S128"/>
      <c r="T128"/>
      <c r="U128"/>
    </row>
    <row r="129" spans="3:21" ht="13.5" x14ac:dyDescent="0.15">
      <c r="C129"/>
      <c r="D129"/>
      <c r="E129"/>
      <c r="F129"/>
      <c r="G129"/>
      <c r="H129"/>
      <c r="I129"/>
      <c r="J129"/>
      <c r="K129"/>
      <c r="L129"/>
      <c r="M129"/>
      <c r="N129"/>
      <c r="O129"/>
      <c r="P129"/>
      <c r="Q129"/>
      <c r="R129"/>
      <c r="S129"/>
      <c r="T129"/>
      <c r="U129"/>
    </row>
    <row r="130" spans="3:21" ht="13.5" x14ac:dyDescent="0.15">
      <c r="C130"/>
      <c r="D130"/>
      <c r="E130"/>
      <c r="F130"/>
      <c r="G130"/>
      <c r="H130"/>
      <c r="I130"/>
      <c r="J130"/>
      <c r="K130"/>
      <c r="L130"/>
      <c r="M130"/>
      <c r="N130"/>
      <c r="O130"/>
      <c r="P130"/>
      <c r="Q130"/>
      <c r="R130"/>
      <c r="S130"/>
      <c r="T130"/>
      <c r="U130"/>
    </row>
    <row r="131" spans="3:21" ht="13.5" x14ac:dyDescent="0.15">
      <c r="C131"/>
      <c r="D131"/>
      <c r="E131"/>
      <c r="F131"/>
      <c r="G131"/>
      <c r="H131"/>
      <c r="I131"/>
      <c r="J131"/>
      <c r="K131"/>
      <c r="L131"/>
      <c r="M131"/>
      <c r="N131"/>
      <c r="O131"/>
      <c r="P131"/>
      <c r="Q131"/>
      <c r="R131"/>
      <c r="S131"/>
      <c r="T131"/>
      <c r="U131"/>
    </row>
    <row r="132" spans="3:21" ht="13.5" x14ac:dyDescent="0.15">
      <c r="C132"/>
      <c r="D132"/>
      <c r="E132"/>
      <c r="F132"/>
      <c r="G132"/>
      <c r="H132"/>
      <c r="I132"/>
      <c r="J132"/>
      <c r="K132"/>
      <c r="L132"/>
      <c r="M132"/>
      <c r="N132"/>
      <c r="O132"/>
      <c r="P132"/>
      <c r="Q132"/>
      <c r="R132"/>
      <c r="S132"/>
      <c r="T132"/>
      <c r="U132"/>
    </row>
    <row r="133" spans="3:21" ht="13.5" x14ac:dyDescent="0.15">
      <c r="C133"/>
      <c r="D133"/>
      <c r="E133"/>
      <c r="F133"/>
      <c r="G133"/>
      <c r="H133"/>
      <c r="I133"/>
      <c r="J133"/>
      <c r="K133"/>
      <c r="L133"/>
      <c r="M133"/>
      <c r="N133"/>
      <c r="O133"/>
      <c r="P133"/>
      <c r="Q133"/>
      <c r="R133"/>
      <c r="S133"/>
      <c r="T133"/>
      <c r="U133"/>
    </row>
    <row r="134" spans="3:21" ht="13.5" x14ac:dyDescent="0.15">
      <c r="C134"/>
      <c r="D134"/>
      <c r="E134"/>
      <c r="F134"/>
      <c r="G134"/>
      <c r="H134"/>
      <c r="I134"/>
      <c r="J134"/>
      <c r="K134"/>
      <c r="L134"/>
      <c r="M134"/>
      <c r="N134"/>
      <c r="O134"/>
      <c r="P134"/>
      <c r="Q134"/>
      <c r="R134"/>
      <c r="S134"/>
      <c r="T134"/>
      <c r="U134"/>
    </row>
    <row r="135" spans="3:21" ht="13.5" x14ac:dyDescent="0.15">
      <c r="C135"/>
      <c r="D135"/>
      <c r="E135"/>
      <c r="F135"/>
      <c r="G135"/>
      <c r="H135"/>
      <c r="I135"/>
      <c r="J135"/>
      <c r="K135"/>
      <c r="L135"/>
      <c r="M135"/>
      <c r="N135"/>
      <c r="O135"/>
      <c r="P135"/>
      <c r="Q135"/>
      <c r="R135"/>
      <c r="S135"/>
      <c r="T135"/>
      <c r="U135"/>
    </row>
    <row r="136" spans="3:21" ht="13.5" x14ac:dyDescent="0.15">
      <c r="C136"/>
      <c r="D136"/>
      <c r="E136"/>
      <c r="F136"/>
      <c r="G136"/>
      <c r="H136"/>
      <c r="I136"/>
      <c r="J136"/>
      <c r="K136"/>
      <c r="L136"/>
      <c r="M136"/>
      <c r="N136"/>
      <c r="O136"/>
      <c r="P136"/>
      <c r="Q136"/>
      <c r="R136"/>
      <c r="S136"/>
      <c r="T136"/>
      <c r="U136"/>
    </row>
    <row r="137" spans="3:21" ht="13.5" x14ac:dyDescent="0.15">
      <c r="C137"/>
      <c r="D137"/>
      <c r="E137"/>
      <c r="F137"/>
      <c r="G137"/>
      <c r="H137"/>
      <c r="I137"/>
      <c r="J137"/>
      <c r="K137"/>
      <c r="L137"/>
      <c r="M137"/>
      <c r="N137"/>
      <c r="O137"/>
      <c r="P137"/>
      <c r="Q137"/>
      <c r="R137"/>
      <c r="S137"/>
      <c r="T137"/>
      <c r="U137"/>
    </row>
    <row r="138" spans="3:21" ht="13.5" x14ac:dyDescent="0.15">
      <c r="C138"/>
      <c r="D138"/>
      <c r="E138"/>
      <c r="F138"/>
      <c r="G138"/>
      <c r="H138"/>
      <c r="I138"/>
      <c r="J138"/>
      <c r="K138"/>
      <c r="L138"/>
      <c r="M138"/>
      <c r="N138"/>
      <c r="O138"/>
      <c r="P138"/>
      <c r="Q138"/>
      <c r="R138"/>
      <c r="S138"/>
      <c r="T138"/>
      <c r="U138"/>
    </row>
    <row r="139" spans="3:21" ht="13.5" x14ac:dyDescent="0.15">
      <c r="C139"/>
      <c r="D139"/>
      <c r="E139"/>
      <c r="F139"/>
      <c r="G139"/>
      <c r="H139"/>
      <c r="I139"/>
      <c r="J139"/>
      <c r="K139"/>
      <c r="L139"/>
      <c r="M139"/>
      <c r="N139"/>
      <c r="O139"/>
      <c r="P139"/>
      <c r="Q139"/>
      <c r="R139"/>
      <c r="S139"/>
      <c r="T139"/>
      <c r="U139"/>
    </row>
    <row r="140" spans="3:21" ht="13.5" x14ac:dyDescent="0.15">
      <c r="C140"/>
      <c r="D140"/>
      <c r="E140"/>
      <c r="F140"/>
      <c r="G140"/>
      <c r="H140"/>
      <c r="I140"/>
      <c r="J140"/>
      <c r="K140"/>
      <c r="L140"/>
      <c r="M140"/>
      <c r="N140"/>
      <c r="O140"/>
      <c r="P140"/>
      <c r="Q140"/>
      <c r="R140"/>
      <c r="S140"/>
      <c r="T140"/>
      <c r="U140"/>
    </row>
    <row r="141" spans="3:21" ht="13.5" x14ac:dyDescent="0.15">
      <c r="C141"/>
      <c r="D141"/>
      <c r="E141"/>
      <c r="F141"/>
      <c r="G141"/>
      <c r="H141"/>
      <c r="I141"/>
      <c r="J141"/>
      <c r="K141"/>
      <c r="L141"/>
      <c r="M141"/>
      <c r="N141"/>
      <c r="O141"/>
      <c r="P141"/>
      <c r="Q141"/>
      <c r="R141"/>
      <c r="S141"/>
      <c r="T141"/>
      <c r="U141"/>
    </row>
    <row r="142" spans="3:21" ht="13.5" x14ac:dyDescent="0.15">
      <c r="C142"/>
      <c r="D142"/>
      <c r="E142"/>
      <c r="F142"/>
      <c r="G142"/>
      <c r="H142"/>
      <c r="I142"/>
      <c r="J142"/>
      <c r="K142"/>
      <c r="L142"/>
      <c r="M142"/>
      <c r="N142"/>
      <c r="O142"/>
      <c r="P142"/>
      <c r="Q142"/>
      <c r="R142"/>
      <c r="S142"/>
      <c r="T142"/>
      <c r="U142"/>
    </row>
    <row r="143" spans="3:21" ht="13.5" x14ac:dyDescent="0.15">
      <c r="C143"/>
      <c r="D143"/>
      <c r="E143"/>
      <c r="F143"/>
      <c r="G143"/>
      <c r="H143"/>
      <c r="I143"/>
      <c r="J143"/>
      <c r="K143"/>
      <c r="L143"/>
      <c r="M143"/>
      <c r="N143"/>
      <c r="O143"/>
      <c r="P143"/>
      <c r="Q143"/>
      <c r="R143"/>
      <c r="S143"/>
      <c r="T143"/>
      <c r="U143"/>
    </row>
    <row r="144" spans="3:21" ht="13.5" x14ac:dyDescent="0.15">
      <c r="C144"/>
      <c r="D144"/>
      <c r="E144"/>
      <c r="F144"/>
      <c r="G144"/>
      <c r="H144"/>
      <c r="I144"/>
      <c r="J144"/>
      <c r="K144"/>
      <c r="L144"/>
      <c r="M144"/>
      <c r="N144"/>
      <c r="O144"/>
      <c r="P144"/>
      <c r="Q144"/>
      <c r="R144"/>
      <c r="S144"/>
      <c r="T144"/>
      <c r="U144"/>
    </row>
  </sheetData>
  <autoFilter ref="A4:U117">
    <sortState ref="A5:U117">
      <sortCondition ref="O4:O117"/>
    </sortState>
  </autoFilter>
  <phoneticPr fontId="1" type="noConversion"/>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BK120"/>
  <sheetViews>
    <sheetView workbookViewId="0">
      <pane xSplit="2" ySplit="4" topLeftCell="AR5" activePane="bottomRight" state="frozen"/>
      <selection pane="topRight" activeCell="C1" sqref="C1"/>
      <selection pane="bottomLeft" activeCell="A6" sqref="A6"/>
      <selection pane="bottomRight" activeCell="B1" sqref="A1:B1048576"/>
    </sheetView>
  </sheetViews>
  <sheetFormatPr defaultRowHeight="12" x14ac:dyDescent="0.15"/>
  <cols>
    <col min="1" max="1" width="9" style="31"/>
    <col min="2" max="2" width="14.625" style="31" customWidth="1"/>
    <col min="3" max="3" width="9.25" style="31" customWidth="1"/>
    <col min="4" max="4" width="8.875" style="31" customWidth="1"/>
    <col min="5" max="5" width="9" style="31"/>
    <col min="6" max="6" width="9.625" style="31" customWidth="1"/>
    <col min="7" max="8" width="9" style="31"/>
    <col min="9" max="11" width="11.625" style="31" bestFit="1" customWidth="1"/>
    <col min="12" max="14" width="9" style="31"/>
    <col min="15" max="15" width="11.625" style="39" bestFit="1" customWidth="1"/>
    <col min="16" max="16" width="9" style="31"/>
    <col min="17" max="19" width="11.625" style="31" bestFit="1" customWidth="1"/>
    <col min="20" max="25" width="9" style="31"/>
    <col min="26" max="26" width="10.125" style="31" customWidth="1"/>
    <col min="27" max="27" width="10.25" style="31" customWidth="1"/>
    <col min="28" max="36" width="9" style="31"/>
    <col min="37" max="37" width="9.875" style="31" customWidth="1"/>
    <col min="38" max="16384" width="9" style="31"/>
  </cols>
  <sheetData>
    <row r="1" spans="1:63" s="29" customFormat="1" x14ac:dyDescent="0.15">
      <c r="A1" s="1" t="s">
        <v>95</v>
      </c>
      <c r="B1" s="35" t="str">
        <f xml:space="preserve"> [1]!cb_info_name(A1)</f>
        <v>国君转债</v>
      </c>
      <c r="C1" s="36" t="str">
        <f>[1]!cb_clause_interest(A1,5)</f>
        <v>否</v>
      </c>
      <c r="D1" s="36" t="str">
        <f>[1]!cb_clause_interest(A1,8)</f>
        <v>是</v>
      </c>
      <c r="E1" s="36">
        <f>[1]!cb_clause_interest(A1,3)</f>
        <v>1.6667000000000001</v>
      </c>
      <c r="F1" s="36" t="str">
        <f xml:space="preserve"> [1]!cb_clause_interest(A1,6)</f>
        <v>（1）到期赎回条款在本次可转债期满后五个交易日内，公司将以本次可转债票面面值的105%（含最后一期利息）的价格向投资者赎回全部未转股的可转债。</v>
      </c>
      <c r="G1" s="36" t="str">
        <f>[1]!cb_clause_interest(A1,4)</f>
        <v>第一年为0.2%、第二年为0.5%、第三年为1.0%、第四年为1.5%、第五年为1.8%、第六年为2.0%。</v>
      </c>
      <c r="H1" s="36" t="str">
        <f>[1]!cb_clause_interest(A1,7)</f>
        <v>本次发行的可转债采用每年付息一次的付息方式，计息起始日为可转债发行首日，即2017年7月7日。到期归还本金和最后一年利息。每年的付息日为本次发行的可转债发行首日起每满一年的当日，如该日为法定节假日或休息日，则顺延至下一个交易日，顺延期间不另付息。每相邻的两个付息日之间为一个计息年度。</v>
      </c>
      <c r="I1" s="36">
        <f>[1]!cb_clause_conversion_2_relativeswapsharemonth(A1)</f>
        <v>6</v>
      </c>
      <c r="J1" s="36" t="str">
        <f>[1]!cb_clause_conversion_2_swapsharestartdate(A1)</f>
        <v>2018-01-08</v>
      </c>
      <c r="K1" s="36" t="str">
        <f>[1]!cb_clause_conversion_2_swapshareenddate(A1)</f>
        <v>2023-07-06</v>
      </c>
      <c r="L1" s="36" t="str">
        <f>[1]!cb_clause_conversion_2_isforced(A1)</f>
        <v>否</v>
      </c>
      <c r="M1" s="36">
        <f xml:space="preserve"> [1]!cb_clause_conversion_2_forceconvertdate(A1)</f>
        <v>0</v>
      </c>
      <c r="N1" s="36">
        <f>[1]!cb_clause_conversion_2_forceconvertprice(A1)</f>
        <v>0</v>
      </c>
      <c r="O1" s="37">
        <f ca="1">[1]!cb_clause_conversion2_swapshareprice(A1,$O$3)</f>
        <v>20.2</v>
      </c>
      <c r="P1" s="36" t="str">
        <f>[1]!b_clause_conversion_code(A1)</f>
        <v>191013</v>
      </c>
      <c r="Q1" s="38">
        <f ca="1">[1]!cb_clause_conversion2_conversionproportion(A1,$Q$3)</f>
        <v>4.9504950495049505</v>
      </c>
      <c r="R1" s="36">
        <f ca="1">[1]!cb_clause_conversion2_bondlot(A1,$R$3)/10000</f>
        <v>700000</v>
      </c>
      <c r="S1" s="36">
        <f ca="1">[1]!cb_clause_conversion2_bondproportion(A1,$S$3)</f>
        <v>100</v>
      </c>
      <c r="T1" s="36" t="str">
        <f>[1]!cb_clause_conversion_2_conversionproportion(A1)</f>
        <v>是</v>
      </c>
      <c r="U1" s="36" t="str">
        <f>[1]!cb_clause_conversion2_tosharepriceadjustitem(A1)</f>
        <v>在本次发行之后，当公司因派送股票股利、转增股本、增发新股或配股、派送现金股利等情况（不包括因本次发行的可转债转股而增加的股本）使公司股份发生变化时，将按下述公式进行转股价格的调整：派送股票股利或转增股本：P1=P0/（1+n）；增发新股或配股：P1=（P0+A×k）/（1+k）；上述两项同时进行：P1=（P0+A×k）/（1+n+k）；派送现金股利：P1=P0-D；上述三项同时进行：P1＝（P0-D+A×k）/（1+n+k）。其中：P0为调整前转股价，n为派送股票股利或转增股本率，k为增发新股或配股率，A为增发新股价或配股价，D为每股派送现金股利，P1为调整后转股价。当公司出现上述股份和/或股东权益变化情况时，将依次进行转股价格调整，并在上海证券交易所网站（www.sse.com.cn）和中国证监会指定的上市公司信息披露媒体上刊登董事会决议公告，并于公告中载明转股价格调整日、调整办法及暂停转股时期（如需）；并根据香港证券市场的有关规则及《公司章程》要求在香港市场予以公布（如需）。当转股价格调整日为本次发行的可转债持有人转股申请日或之后，转换股份登记日之前，则该持有人的转股申请按公司调整后的转股价格执行。</v>
      </c>
      <c r="V1" s="36" t="str">
        <f>[1]!cb_clause_reset_item(A1)</f>
        <v>在本次发行的可转债存续期间，当公司A股股票在任意连续三十个交易日中有十五个交易日的收盘价低于当期转股价格的80%时，公司董事会有权提出转股价格向下修正方案并提交公司股东大会审议表决。上述方案须经出席会议的股东所持表决权的三分之二以上通过方可实施。股东大会进行表决时，持有本次发行的可转债的股东应当回避。修正后的转股价格应不低于前述的股东大会召开日前二十个交易日公司A股股票交易均价和前一个交易日公司A股股票交易均价。若在前述三十个交易日内发生过转股价格调整的情形，则在转股价格调整日前的交易日按调整前的转股价格和收盘价计算，在转股价格调整日及之后的交易日按调整后的转股价格和收盘价计算。</v>
      </c>
      <c r="W1" s="36" t="str">
        <f xml:space="preserve"> [1]!cb_clause_reset_isexitreset(A1)</f>
        <v>是</v>
      </c>
      <c r="X1" s="36" t="str">
        <f xml:space="preserve"> [1]!cb_clause_reset_resetstartdate(A1)</f>
        <v>2017-07-07</v>
      </c>
      <c r="Y1" s="36" t="str">
        <f xml:space="preserve"> [1]!cb_clause_reset_resetperiodenddate(A1)</f>
        <v>2023-07-07</v>
      </c>
      <c r="Z1" s="36">
        <f>[1]!cb_clause_reset_resetmaxtimespan(A1)</f>
        <v>30</v>
      </c>
      <c r="AA1" s="36">
        <f>[1]!cb_clause_reset_resettimespan(A1)</f>
        <v>15</v>
      </c>
      <c r="AB1" s="36">
        <f>[1]!cb_clause_reset_resettriggerratio(A1)</f>
        <v>80</v>
      </c>
      <c r="AC1" s="36" t="str">
        <f>[1]!cb_clause_reset_referencepriceisanverage(A1)</f>
        <v>否</v>
      </c>
      <c r="AD1" s="36">
        <f>[1]!cb_clause_reset_resetrange(A1)</f>
        <v>0</v>
      </c>
      <c r="AE1" s="36" t="str">
        <f>[1]!cb_clause_reset_stockpricelowestlimit(A1)</f>
        <v>不低于前述的股东大会召开日前二十个交易日公司A股股票交易均价和前一个交易日公司A股股票交易均价。</v>
      </c>
      <c r="AF1" s="36">
        <f>[1]!cb_clause_reset_resettimeslimit(A1)</f>
        <v>0</v>
      </c>
      <c r="AG1" s="36">
        <f xml:space="preserve">  [1]!cb_clause_reset_timepointclause(A1)</f>
        <v>0</v>
      </c>
      <c r="AH1" s="36">
        <f xml:space="preserve"> [1]!cb_clause_calloption_relativecalloptionperiod(A1)</f>
        <v>6</v>
      </c>
      <c r="AI1" s="36" t="str">
        <f xml:space="preserve"> [1]!cb_clause_calloption_redemptiontimesperyear(A1)</f>
        <v>不限次数</v>
      </c>
      <c r="AJ1" s="36" t="str">
        <f>[1]!cb_clause_calloption_conditionalredeemstartdate(A1)</f>
        <v>2018-01-08</v>
      </c>
      <c r="AK1" s="36">
        <f>[1]!cb_clause_calloption_redeemmaxspan(A1)</f>
        <v>30</v>
      </c>
      <c r="AL1" s="36">
        <f>[1]!cb_clause_calloption_redeemspan(A1)</f>
        <v>15</v>
      </c>
      <c r="AM1" s="36">
        <f>[1]!cb_clause_calloption_triggerproportion(A1)</f>
        <v>130</v>
      </c>
      <c r="AN1" s="36">
        <f xml:space="preserve"> [1]!cb_clause_calloption_redemptionprice(A1)</f>
        <v>0</v>
      </c>
      <c r="AO1" s="36" t="str">
        <f>[1]!cb_clause_calloption_redemptionmemo(A1)</f>
        <v>按照债券面值加当期应计利息的价格赎回全部或部分未转股的可转债。</v>
      </c>
      <c r="AP1" s="36" t="str">
        <f>[1]!cb_clause_calloption_redeemitem(A1)</f>
        <v>（1）到期赎回条款在本次发行的可转债期满后五个交易日内，公司将以本次可转债票面面值的105%（含最后一期利息）的价格向投资者赎回全部未转股的可转债。（2）有条件赎回条款在本次发行的可转债转股期内，如果公司A股股票连续三十个交易日中至少有十五个交易日的收盘价不低于当期转股价格的130%（含130%），或本次发行的可转债未转股余额不足人民币3,000万元时，公司有权按照债券面值加当期应计利息的价格赎回全部或部分未转股的可转债。当期应计利息的计算公式为：IA=B×i×t/365IA：指当期应计利息；B：指本次发行的可转债持有人持有的可转债票面总金额；i：指可转债当年票面利率；t：指计息天数，即从上一个付息日起至本计息年度赎回日止的实际日历天数（算头不算尾）。若在前述三十个交易日内发生过转股价格调整的情形，则在调整前的交易日按调整前的转股价格和收盘价计算，在调整后的交易日按调整后的转股价格和收盘价计算。</v>
      </c>
      <c r="AQ1" s="36" t="str">
        <f xml:space="preserve"> [1]!cb_clause_calloption_iswithtimeredemptionclause(A1)</f>
        <v>否</v>
      </c>
      <c r="AR1" s="36">
        <f>[1]!cb_clause_calloption_timeredemptiontimes(A1)</f>
        <v>0</v>
      </c>
      <c r="AS1" s="36">
        <f>[1]!cb_clause_calloption_redeemclause(A1)</f>
        <v>0</v>
      </c>
      <c r="AT1" s="36">
        <f xml:space="preserve"> [1]!cb_clause_putoption_putbackperiodobs(A1)</f>
        <v>0</v>
      </c>
      <c r="AU1" s="36">
        <f>[1]!cb_clause_putoption_conditionalputbackstartenddate(A1)</f>
        <v>0</v>
      </c>
      <c r="AV1" s="36">
        <f xml:space="preserve"> [1]!cb_clause_putoption_conditionalputbackenddate(A1)</f>
        <v>0</v>
      </c>
      <c r="AW1" s="36">
        <f xml:space="preserve"> [1]!cb_clause_putoption_putbacktriggermaxspan(A1)</f>
        <v>0</v>
      </c>
      <c r="AX1" s="36">
        <f>[1]!cb_clause_putoption_redeem_triggerproportion(A1)</f>
        <v>0</v>
      </c>
      <c r="AY1" s="36">
        <f>[1]!cb_clause_putoption_resellingprice(A1)</f>
        <v>0</v>
      </c>
      <c r="AZ1" s="36">
        <f xml:space="preserve"> [1]!cb_clause_putoption_resellingpriceexplaination(A1)</f>
        <v>0</v>
      </c>
      <c r="BA1" s="36">
        <f>[1]!cb_clause_putoption_interestdisposing(A1)</f>
        <v>0</v>
      </c>
      <c r="BB1" s="36" t="str">
        <f xml:space="preserve"> [1]!cb_clause_putoption_sellbackitem(A1)</f>
        <v>若本次发行可转债募集资金运用的实施情况与公司在募集说明书中的承诺相比出现变化，且该变化被中国证监会认定为改变募集资金用途的，可转债持有人享有一次以面值加上当期应计利息的价格向公司回售其持有的全部或部分可转债的权利。在上述情形下，可转债持有人可以在回售申报期内进行回售，在回售申报期内不实施回售的，自动丧失该回售权（当期应计利息的计算方式参见第11条“赎回条款”的相关内容）。</v>
      </c>
      <c r="BC1" s="36">
        <f>[1]!cb_clause_putoption_putbackperiod(A1)</f>
        <v>0</v>
      </c>
      <c r="BD1" s="36">
        <f>[1]!cb_clause_putoption_putbackstartdate(A1)</f>
        <v>0</v>
      </c>
      <c r="BE1" s="36">
        <f>[1]!cb_clause_putoption_putbackenddate(A1)</f>
        <v>0</v>
      </c>
      <c r="BF1" s="36">
        <f xml:space="preserve"> [1]!cb_clause_putoption_putbackprice(A1)</f>
        <v>0</v>
      </c>
      <c r="BG1" s="36">
        <f>[1]!cb_clause_putoption_putbackclause(A1)</f>
        <v>0</v>
      </c>
      <c r="BH1" s="36">
        <f>[1]!cb_clause_putoption_timeputbacktimes(A1)</f>
        <v>0</v>
      </c>
      <c r="BI1" s="36">
        <f>[1]!cb_clause_putoption_timeputbackclause(A1)</f>
        <v>0</v>
      </c>
      <c r="BJ1" s="36">
        <f>[1]!cb_clause_putoption_additionalpricememo(A1)</f>
        <v>0</v>
      </c>
      <c r="BK1" s="36">
        <f>[1]!cb_clause_putoption_putbackadditionalcondition(A1)</f>
        <v>0</v>
      </c>
    </row>
    <row r="2" spans="1:63" x14ac:dyDescent="0.15">
      <c r="A2" s="29" t="s">
        <v>294</v>
      </c>
      <c r="I2" s="31">
        <v>1</v>
      </c>
      <c r="O2" s="39">
        <v>1</v>
      </c>
      <c r="Q2" s="31">
        <v>1</v>
      </c>
      <c r="R2" s="31">
        <v>1</v>
      </c>
      <c r="S2" s="31">
        <v>1</v>
      </c>
    </row>
    <row r="3" spans="1:63" x14ac:dyDescent="0.15">
      <c r="A3" s="29" t="s">
        <v>295</v>
      </c>
      <c r="I3" s="40">
        <f ca="1">TODAY()</f>
        <v>43056</v>
      </c>
      <c r="O3" s="40">
        <f ca="1">TODAY()</f>
        <v>43056</v>
      </c>
      <c r="Q3" s="40">
        <f ca="1">TODAY()</f>
        <v>43056</v>
      </c>
      <c r="R3" s="40">
        <f ca="1">TODAY()</f>
        <v>43056</v>
      </c>
      <c r="S3" s="40">
        <f ca="1">TODAY()</f>
        <v>43056</v>
      </c>
    </row>
    <row r="4" spans="1:63" s="12" customFormat="1" ht="34.5" customHeight="1" x14ac:dyDescent="0.15">
      <c r="A4" s="33" t="s">
        <v>112</v>
      </c>
      <c r="B4" s="3" t="s">
        <v>113</v>
      </c>
      <c r="C4" s="33" t="s">
        <v>128</v>
      </c>
      <c r="D4" s="33" t="s">
        <v>129</v>
      </c>
      <c r="E4" s="16" t="s">
        <v>130</v>
      </c>
      <c r="F4" s="33" t="s">
        <v>131</v>
      </c>
      <c r="G4" s="33" t="s">
        <v>132</v>
      </c>
      <c r="H4" s="33" t="s">
        <v>133</v>
      </c>
      <c r="I4" s="17" t="s">
        <v>134</v>
      </c>
      <c r="J4" s="18" t="s">
        <v>135</v>
      </c>
      <c r="K4" s="18" t="s">
        <v>136</v>
      </c>
      <c r="L4" s="33" t="s">
        <v>137</v>
      </c>
      <c r="M4" s="18" t="s">
        <v>138</v>
      </c>
      <c r="N4" s="16" t="s">
        <v>139</v>
      </c>
      <c r="O4" s="19" t="s">
        <v>228</v>
      </c>
      <c r="P4" s="33" t="s">
        <v>140</v>
      </c>
      <c r="Q4" s="20" t="s">
        <v>229</v>
      </c>
      <c r="R4" s="20" t="s">
        <v>212</v>
      </c>
      <c r="S4" s="20" t="s">
        <v>230</v>
      </c>
      <c r="T4" s="33" t="s">
        <v>141</v>
      </c>
      <c r="U4" s="33" t="s">
        <v>142</v>
      </c>
      <c r="V4" s="33" t="s">
        <v>143</v>
      </c>
      <c r="W4" s="33" t="s">
        <v>144</v>
      </c>
      <c r="X4" s="18" t="s">
        <v>145</v>
      </c>
      <c r="Y4" s="18" t="s">
        <v>146</v>
      </c>
      <c r="Z4" s="17" t="s">
        <v>147</v>
      </c>
      <c r="AA4" s="17" t="s">
        <v>148</v>
      </c>
      <c r="AB4" s="16" t="s">
        <v>149</v>
      </c>
      <c r="AC4" s="33" t="s">
        <v>150</v>
      </c>
      <c r="AD4" s="16" t="s">
        <v>151</v>
      </c>
      <c r="AE4" s="33" t="s">
        <v>152</v>
      </c>
      <c r="AF4" s="33" t="s">
        <v>153</v>
      </c>
      <c r="AG4" s="33" t="s">
        <v>154</v>
      </c>
      <c r="AH4" s="17" t="s">
        <v>155</v>
      </c>
      <c r="AI4" s="33" t="s">
        <v>156</v>
      </c>
      <c r="AJ4" s="18" t="s">
        <v>157</v>
      </c>
      <c r="AK4" s="17" t="s">
        <v>158</v>
      </c>
      <c r="AL4" s="17" t="s">
        <v>159</v>
      </c>
      <c r="AM4" s="16" t="s">
        <v>160</v>
      </c>
      <c r="AN4" s="16" t="s">
        <v>161</v>
      </c>
      <c r="AO4" s="33" t="s">
        <v>162</v>
      </c>
      <c r="AP4" s="33" t="s">
        <v>163</v>
      </c>
      <c r="AQ4" s="33" t="s">
        <v>164</v>
      </c>
      <c r="AR4" s="16" t="s">
        <v>165</v>
      </c>
      <c r="AS4" s="33" t="s">
        <v>166</v>
      </c>
      <c r="AT4" s="17" t="s">
        <v>167</v>
      </c>
      <c r="AU4" s="18" t="s">
        <v>168</v>
      </c>
      <c r="AV4" s="18" t="s">
        <v>169</v>
      </c>
      <c r="AW4" s="17" t="s">
        <v>170</v>
      </c>
      <c r="AX4" s="16" t="s">
        <v>171</v>
      </c>
      <c r="AY4" s="16" t="s">
        <v>172</v>
      </c>
      <c r="AZ4" s="33" t="s">
        <v>173</v>
      </c>
      <c r="BA4" s="33" t="s">
        <v>174</v>
      </c>
      <c r="BB4" s="33" t="s">
        <v>175</v>
      </c>
      <c r="BC4" s="33" t="s">
        <v>176</v>
      </c>
      <c r="BD4" s="18" t="s">
        <v>177</v>
      </c>
      <c r="BE4" s="18" t="s">
        <v>178</v>
      </c>
      <c r="BF4" s="16" t="s">
        <v>179</v>
      </c>
      <c r="BG4" s="33" t="s">
        <v>180</v>
      </c>
      <c r="BH4" s="16" t="s">
        <v>181</v>
      </c>
      <c r="BI4" s="33" t="s">
        <v>182</v>
      </c>
      <c r="BJ4" s="33" t="s">
        <v>183</v>
      </c>
      <c r="BK4" s="33" t="s">
        <v>184</v>
      </c>
    </row>
    <row r="5" spans="1:63" x14ac:dyDescent="0.15">
      <c r="A5" s="34" t="s">
        <v>84</v>
      </c>
      <c r="B5" s="35" t="str">
        <f xml:space="preserve"> [1]!cb_info_name(A5)</f>
        <v>格力转债</v>
      </c>
      <c r="C5" s="36" t="str">
        <f>[1]!cb_clause_interest(A5,5)</f>
        <v>否</v>
      </c>
      <c r="D5" s="36" t="str">
        <f>[1]!cb_clause_interest(A5,8)</f>
        <v>是</v>
      </c>
      <c r="E5" s="36">
        <f>[1]!cb_clause_interest(A5,3)</f>
        <v>1.98</v>
      </c>
      <c r="F5" s="36" t="str">
        <f xml:space="preserve"> [1]!cb_clause_interest(A5,6)</f>
        <v>在本次发行的可转债期满后五个交易日内，本公司将以本次发行的可转债的票面面值的106%（含最后一期利息）的价格向投资者赎回全部未转股的可转债。</v>
      </c>
      <c r="G5" s="36" t="str">
        <f>[1]!cb_clause_interest(A5,4)</f>
        <v>本次发行的可转债票面利率：第一年为0.60%、第二年为0.80%、第三年为1.00%、第四年为1.50%、第五年为2.00%。</v>
      </c>
      <c r="H5" s="36" t="str">
        <f>[1]!cb_clause_interest(A5,7)</f>
        <v>①本次可转债采用每年付息一次的付息方式，计息起始日为可转债发行首日。可转债持有人所获利息收入的应付税项由可转债持有人负担。②付息日：每年的付息日为本次可转债发行首日起每满一年的当日。如该日为法定节假日或休息日，则顺延至下一个工作日，顺延期间不另付息。每相邻的两个付息日之间为一个计息年度。转股年度有关利息和股利的归属等事项，由公司董事会根据相关法律法规及上海证券交易所的规定确定。③付息债权登记日：每年的付息债权登记日为每年付息日的前一交易日。公司将在每年付息日之后的5个交易日内支付当年利息。在付息债权登记日前（包括付息债权登记日）转换成公司股票的可转债不享受当年度及以后计息年度利息。</v>
      </c>
      <c r="I5" s="36">
        <f>[1]!cb_clause_conversion_2_relativeswapsharemonth(A5)</f>
        <v>6</v>
      </c>
      <c r="J5" s="36" t="str">
        <f>[1]!cb_clause_conversion_2_swapsharestartdate(A5)</f>
        <v>2015-06-30</v>
      </c>
      <c r="K5" s="36" t="str">
        <f>[1]!cb_clause_conversion_2_swapshareenddate(A5)</f>
        <v>2019-12-24</v>
      </c>
      <c r="L5" s="36" t="str">
        <f>[1]!cb_clause_conversion_2_isforced(A5)</f>
        <v>否</v>
      </c>
      <c r="M5" s="36">
        <f xml:space="preserve"> [1]!cb_clause_conversion_2_forceconvertdate(A5)</f>
        <v>0</v>
      </c>
      <c r="N5" s="36">
        <f>[1]!cb_clause_conversion_2_forceconvertprice(A5)</f>
        <v>0</v>
      </c>
      <c r="O5" s="37">
        <f ca="1">[1]!cb_clause_conversion2_swapshareprice(A5,$O$3)</f>
        <v>7.24</v>
      </c>
      <c r="P5" s="36" t="str">
        <f>[1]!b_clause_conversion_code(A5)</f>
        <v>190030</v>
      </c>
      <c r="Q5" s="38">
        <f ca="1">[1]!cb_clause_conversion2_conversionproportion(A5,$Q$3)</f>
        <v>13.812154696132596</v>
      </c>
      <c r="R5" s="36">
        <f ca="1">[1]!cb_clause_conversion2_bondlot(A5,$R$3)/10000</f>
        <v>97751.2</v>
      </c>
      <c r="S5" s="36">
        <f ca="1">[1]!cb_clause_conversion2_bondproportion(A5,$S$3)</f>
        <v>99.75</v>
      </c>
      <c r="T5" s="36" t="str">
        <f>[1]!cb_clause_conversion_2_conversionproportion(A5)</f>
        <v>是</v>
      </c>
      <c r="U5" s="36" t="str">
        <f>[1]!cb_clause_conversion2_tosharepriceadjustitem(A5)</f>
        <v>在本次发行之后，当公司发生送红股、转增股本、增发新股（不包括因本次发行的可转债转股而增加的股本）、配股以及派发现金股利等情况时，公司将按上述条件出现的先后顺序，依次对转股价格进行累积调整，具体调整办法如下：送红股或转增股本：P1=P0/（1+n）；增发新股或配股：P1=（P0+A×k）/（1+k）；上述两项同时进行：P1=（P0+A×k）/（1+n+k）；派发现金股利：P1=P0-D；上述三项同时进行：P1＝（P0－D＋A×k）/（1+n+k）。其中：P0为调整前有效的转股价，n为该次送股率或转增股本率，k为该次增发新股率或配股率，A为该次增发新股价或配股价，D为该次每股派送现金股利，P1为调整后有效的转股价。20170705：修正前转股价格：7.26元/股，修正后转股价格：7.24元/股，“格力转债”本次转股价格调整实施日期：2017年7月11日</v>
      </c>
      <c r="V5" s="36" t="str">
        <f>[1]!cb_clause_reset_item(A5)</f>
        <v>在本次发行的可转债存续期间，当公司股票在任意20个连续交易日中至少10个交易日的收盘价格低于当期转股价格的90%时，公司董事会有权提出转股价格向下修正方案并提交公司股东大会表决，该方案须经出席会议的股东所持表决权的三分之二以上通过方可实施。股东大会进行表决时，持有本可转债的股东应当回避；修正后的转股价格应不低于该次股东大会召开日前20个交易日公司股票交易均价和前一交易日的公司股票交易均价，同时修正后的转股价格不低于最近一期经审计的每股净资产值和股票面值。若在前述20个交易日内发生过转股价格调整的情形，则在调整前的交易日按调整前的转股价格和收盘价格计算，调整后的交易日按调整后的转股价格和收盘价格计算。</v>
      </c>
      <c r="W5" s="36" t="str">
        <f xml:space="preserve"> [1]!cb_clause_reset_isexitreset(A5)</f>
        <v>是</v>
      </c>
      <c r="X5" s="36" t="str">
        <f xml:space="preserve"> [1]!cb_clause_reset_resetstartdate(A5)</f>
        <v>2014-12-25</v>
      </c>
      <c r="Y5" s="36" t="str">
        <f xml:space="preserve"> [1]!cb_clause_reset_resetperiodenddate(A5)</f>
        <v>2019-12-25</v>
      </c>
      <c r="Z5" s="36">
        <f>[1]!cb_clause_reset_resetmaxtimespan(A5)</f>
        <v>20</v>
      </c>
      <c r="AA5" s="36">
        <f>[1]!cb_clause_reset_resettimespan(A5)</f>
        <v>10</v>
      </c>
      <c r="AB5" s="36">
        <f>[1]!cb_clause_reset_resettriggerratio(A5)</f>
        <v>90</v>
      </c>
      <c r="AC5" s="36" t="str">
        <f>[1]!cb_clause_reset_referencepriceisanverage(A5)</f>
        <v>否</v>
      </c>
      <c r="AD5" s="36">
        <f>[1]!cb_clause_reset_resetrange(A5)</f>
        <v>0</v>
      </c>
      <c r="AE5" s="36" t="str">
        <f>[1]!cb_clause_reset_stockpricelowestlimit(A5)</f>
        <v>不低于股东大会前20个交易日股票交易均价和前1交易日的交易均价,不得低于最近1期每股净资产值和股票面值</v>
      </c>
      <c r="AF5" s="36">
        <f>[1]!cb_clause_reset_resettimeslimit(A5)</f>
        <v>0</v>
      </c>
      <c r="AG5" s="36">
        <f xml:space="preserve">  [1]!cb_clause_reset_timepointclause(A5)</f>
        <v>0</v>
      </c>
      <c r="AH5" s="36">
        <f xml:space="preserve"> [1]!cb_clause_calloption_relativecalloptionperiod(A5)</f>
        <v>6</v>
      </c>
      <c r="AI5" s="36" t="str">
        <f xml:space="preserve"> [1]!cb_clause_calloption_redemptiontimesperyear(A5)</f>
        <v>不限次数</v>
      </c>
      <c r="AJ5" s="36" t="str">
        <f>[1]!cb_clause_calloption_conditionalredeemstartdate(A5)</f>
        <v>2015-06-30</v>
      </c>
      <c r="AK5" s="36">
        <f>[1]!cb_clause_calloption_redeemmaxspan(A5)</f>
        <v>30</v>
      </c>
      <c r="AL5" s="36">
        <f>[1]!cb_clause_calloption_redeemspan(A5)</f>
        <v>15</v>
      </c>
      <c r="AM5" s="36">
        <f>[1]!cb_clause_calloption_triggerproportion(A5)</f>
        <v>130</v>
      </c>
      <c r="AN5" s="36">
        <f xml:space="preserve"> [1]!cb_clause_calloption_redemptionprice(A5)</f>
        <v>0</v>
      </c>
      <c r="AO5" s="36" t="str">
        <f>[1]!cb_clause_calloption_redemptionmemo(A5)</f>
        <v>按照以面值加当期应计利息的价格赎回全部或部分未转股的可转债</v>
      </c>
      <c r="AP5" s="36" t="str">
        <f>[1]!cb_clause_calloption_redeemitem(A5)</f>
        <v>（1）到期赎回条款在本次发行的可转债期满后五个交易日内，本公司将以本次发行的可转债的票面面值的106%（含最后一期利息）的价格向投资者赎回全部未转股的可转债。（2）有条件赎回条款在转股期内，当下述情形的任意一种出现时，公司有权决定按照以面值加当期应计利息的价格赎回全部或部分未转股的可转债：A.在转股期内，如果公司股票在任何连续30个交易日中至少15个交易日的收盘价格不低于当期转股价格的130%（含130%）；B.当本次发行的可转债未转股余额不足3,000万元时。当期应计利息的计算公式为：IA=B×i×t/365IA：指当期应计利息；B：指本次发行的可转债持有人持有的将赎回的可转债票面总金额；i：指可转债当年票面利率；t：指计息天数，即从上一个付息日起至本计息年度赎回日止的实际日历天数（算头不算尾）。若在前述30个交易日内发生过转股价格调整的情形，则在调整前的交易日按调整前的转股价格和收盘价格计算，调整后的交易日按调整后的转股价格和收盘价格计算。</v>
      </c>
      <c r="AQ5" s="36" t="str">
        <f xml:space="preserve"> [1]!cb_clause_calloption_iswithtimeredemptionclause(A5)</f>
        <v>否</v>
      </c>
      <c r="AR5" s="36">
        <f>[1]!cb_clause_calloption_timeredemptiontimes(A5)</f>
        <v>0</v>
      </c>
      <c r="AS5" s="36">
        <f>[1]!cb_clause_calloption_redeemclause(A5)</f>
        <v>0</v>
      </c>
      <c r="AT5" s="36">
        <f xml:space="preserve"> [1]!cb_clause_putoption_putbackperiodobs(A5)</f>
        <v>24</v>
      </c>
      <c r="AU5" s="36" t="str">
        <f>[1]!cb_clause_putoption_conditionalputbackstartenddate(A5)</f>
        <v>2016-12-25</v>
      </c>
      <c r="AV5" s="36">
        <f xml:space="preserve"> [1]!cb_clause_putoption_conditionalputbackenddate(A5)</f>
        <v>0</v>
      </c>
      <c r="AW5" s="36">
        <f xml:space="preserve"> [1]!cb_clause_putoption_putbacktriggermaxspan(A5)</f>
        <v>30</v>
      </c>
      <c r="AX5" s="36">
        <f>[1]!cb_clause_putoption_redeem_triggerproportion(A5)</f>
        <v>70</v>
      </c>
      <c r="AY5" s="36">
        <f>[1]!cb_clause_putoption_resellingprice(A5)</f>
        <v>103</v>
      </c>
      <c r="AZ5" s="36" t="str">
        <f xml:space="preserve"> [1]!cb_clause_putoption_resellingpriceexplaination(A5)</f>
        <v>按债券103元(含当期应计利息)的价格回售给公司</v>
      </c>
      <c r="BA5" s="36" t="str">
        <f>[1]!cb_clause_putoption_interestdisposing(A5)</f>
        <v>应计</v>
      </c>
      <c r="BB5" s="36" t="str">
        <f xml:space="preserve"> [1]!cb_clause_putoption_sellbackitem(A5)</f>
        <v>自本次可转债第三个计息年度起，如果公司股票在任何连续30个交易日的收盘价格低于当期转股价格的70%，可转债持有人有权将全部或部分其持有的可转债按照103元（含当期应计利息）的价格回售给公司。若在上述交易日内发生过转股价格因发生送红股、转增股本、增发新股（不包括因本次发行的可转债转股而增加的股本）、配股以及派发现金股利等情况而调整的情形，则在调整前的交易日按调整前的转股价格和收盘价格计算，在调整后的交易日按调整后的转股价格和收盘价格计算。如果出现转股价格向下修正的情况，则上述“连续30个交易日”须从转股价格调整之后的第一个交易日起重新计算。自本次可转债第三个计息年度起，可转债持有人在每年回售条件首次满足后可按上述约定条件行使回售权一次，若在首次满足回售条件而可转债持有人未在公司届时公告的回售申报期内申报并实施回售的，该计息年度不应再行使回售权。可转债持有人不能多次行使部分回售权。</v>
      </c>
      <c r="BC5" s="36">
        <f>[1]!cb_clause_putoption_putbackperiod(A5)</f>
        <v>0</v>
      </c>
      <c r="BD5" s="36">
        <f>[1]!cb_clause_putoption_putbackstartdate(A5)</f>
        <v>0</v>
      </c>
      <c r="BE5" s="36">
        <f>[1]!cb_clause_putoption_putbackenddate(A5)</f>
        <v>0</v>
      </c>
      <c r="BF5" s="36">
        <f xml:space="preserve"> [1]!cb_clause_putoption_putbackprice(A5)</f>
        <v>0</v>
      </c>
      <c r="BG5" s="36">
        <f>[1]!cb_clause_putoption_putbackclause(A5)</f>
        <v>0</v>
      </c>
      <c r="BH5" s="36">
        <f>[1]!cb_clause_putoption_timeputbacktimes(A5)</f>
        <v>0</v>
      </c>
      <c r="BI5" s="36">
        <f>[1]!cb_clause_putoption_timeputbackclause(A5)</f>
        <v>0</v>
      </c>
      <c r="BJ5" s="36" t="str">
        <f>[1]!cb_clause_putoption_additionalpricememo(A5)</f>
        <v>可转债持有人有权将其持有的可转债全部或部分按103元（含当期应计利息）的价格回售给公司</v>
      </c>
      <c r="BK5" s="36" t="str">
        <f>[1]!cb_clause_putoption_putbackadditionalcondition(A5)</f>
        <v>根据中国证监会的相关规定被视作改变募集资金用途或被中国证监会认定为改变募集资金用途的，公司本次发行的可转债持有人享有一次回售的权利。</v>
      </c>
    </row>
    <row r="6" spans="1:63" s="41" customFormat="1" x14ac:dyDescent="0.15">
      <c r="A6" s="34" t="s">
        <v>85</v>
      </c>
      <c r="B6" s="35" t="str">
        <f xml:space="preserve"> [1]!cb_info_name(A6)</f>
        <v>航信转债</v>
      </c>
      <c r="C6" s="36" t="str">
        <f>[1]!cb_clause_interest(A6,5)</f>
        <v>否</v>
      </c>
      <c r="D6" s="36" t="str">
        <f>[1]!cb_clause_interest(A6,8)</f>
        <v>是</v>
      </c>
      <c r="E6" s="36">
        <f>[1]!cb_clause_interest(A6,3)</f>
        <v>1.95</v>
      </c>
      <c r="F6" s="36" t="str">
        <f xml:space="preserve"> [1]!cb_clause_interest(A6,6)</f>
        <v>在本次发行的可转债期满后五个交易日内，公司将以本次发行的可转债的票面面值的107%（含最后一期利息）向投资者赎回全部未转股的可转债。</v>
      </c>
      <c r="G6" s="36" t="str">
        <f>[1]!cb_clause_interest(A6,4)</f>
        <v>票面利率：第一年0.20%，第二年0.50%，第三年1.00%，第四年1.50%，第五年1.50%，第六年1.60%。</v>
      </c>
      <c r="H6" s="36" t="str">
        <f>[1]!cb_clause_interest(A6,7)</f>
        <v>本次发行的可转债采用每年付息一次的付息方式，到期归还本金和最后一年利息。（1）年利息计算年利息的计算公式为：I=B×iI：指年利息额；B：指本次发行的可转债持有人在计息年度（以下简称“当年”或“每年”）付息登记日持有的可转债票面总金额；i：指可转债当年票面利率。（2）付息方式A、本次可转债采用每年付息一次的付息方式，计息起始日为可转债发行首日。可转债持有人所获得利息收入的应付税项由可转债持有人负担。B、付息日：每年的付息日为发行的可转债发行首日起每满一年的当日。如该日为法定节假日或休息日，则顺延至下一个工作日，顺延期间不另付息。每相邻的两个付息日之间为一个计息年度。转股年度有关利息和股利的归属等事项，由公司董事会及其授权人士根据相关法律法规及上海证券交易所的规定确定。C、付息债权登记日：每年付息日的前一交易日为付息债权登记日，公司将在每年付息日之后的5个交易日内支付当年利息。在付息债权登记日前（包括付息债权登记日）申请转换成公司股票的可转债，公司不再向其支付利息。</v>
      </c>
      <c r="I6" s="36">
        <f>[1]!cb_clause_conversion_2_relativeswapsharemonth(A6)</f>
        <v>6</v>
      </c>
      <c r="J6" s="36" t="str">
        <f>[1]!cb_clause_conversion_2_swapsharestartdate(A6)</f>
        <v>2015-12-14</v>
      </c>
      <c r="K6" s="36" t="str">
        <f>[1]!cb_clause_conversion_2_swapshareenddate(A6)</f>
        <v>2021-06-11</v>
      </c>
      <c r="L6" s="36" t="str">
        <f>[1]!cb_clause_conversion_2_isforced(A6)</f>
        <v>否</v>
      </c>
      <c r="M6" s="36">
        <f xml:space="preserve"> [1]!cb_clause_conversion_2_forceconvertdate(A6)</f>
        <v>0</v>
      </c>
      <c r="N6" s="36">
        <f>[1]!cb_clause_conversion_2_forceconvertprice(A6)</f>
        <v>0</v>
      </c>
      <c r="O6" s="37">
        <f ca="1">[1]!cb_clause_conversion2_swapshareprice(A6,$O$3)</f>
        <v>42.8</v>
      </c>
      <c r="P6" s="36" t="str">
        <f>[1]!b_clause_conversion_code(A6)</f>
        <v>190031</v>
      </c>
      <c r="Q6" s="38">
        <f ca="1">[1]!cb_clause_conversion2_conversionproportion(A6,$Q$3)</f>
        <v>2.3364485981308412</v>
      </c>
      <c r="R6" s="36">
        <f ca="1">[1]!cb_clause_conversion2_bondlot(A6,$R$3)/10000</f>
        <v>239948.4</v>
      </c>
      <c r="S6" s="36">
        <f ca="1">[1]!cb_clause_conversion2_bondproportion(A6,$S$3)</f>
        <v>99.98</v>
      </c>
      <c r="T6" s="36" t="str">
        <f>[1]!cb_clause_conversion_2_conversionproportion(A6)</f>
        <v>是</v>
      </c>
      <c r="U6" s="36" t="str">
        <f>[1]!cb_clause_conversion2_tosharepriceadjustitem(A6)</f>
        <v>在本次发行之后，当公司因送红股、转增股本、增发新股（不包括因可转债转股增加的股本）、配股或派发现金股利等情况使公司股份发生变化时，将按下述公式进行转股价格的调整（保留小数点后两位，最后一位四舍五入）：送股或转增股本：P1=P0/（1+n）；增发新股或配股：P1=（P0+A×k）/（1+k）；两项同时进行：P1=（P0+A×k）/（1+n+k）；派发现金股利：P1=P0-D；上述三项同时进行：P1＝（P0－D＋A×k）/（1+n+k）。当公司可能发生股份回购、合并、分立或任何其他情形使本公司股份类别、数量和/或股东权益发生变化从而可能影响本次发行的可转债持有人的债权利益或转股衍生权益时，本公司将视具体情况按照公平、公正、公允的原则以及充分保护本次发行的可转债持有人权益的原则调整转股价格。有关转股价格调整内容及操作办法将依据国家有关法律法规及证券监管部门的相关规定来制订。20170705:航信转债的转股价格于2016年5月31日起由原来的86.61元/股调整为43.05元/股。航信转债的转股价格于2017年5月26日起由43.05元/股调整为42.80元/股。</v>
      </c>
      <c r="V6" s="36" t="str">
        <f>[1]!cb_clause_reset_item(A6)</f>
        <v>在本可转债存续期间，当本公司股票在任意连续20个交易日中有10个交易日的收盘价低于当期转股价格的90%时，公司董事会有权提出转股价格向下修正方案并提交本公司股东大会表决。上述方案须经出席会议的股东所持表决权的三分之二以上通过方可实施。股东大会进行表决时，持有本可转债的股东应当回避。修正后的转股价格应不低于本次股东大会召开日前20个交易日本公司股票交易均价和前1个交易日均价之间的较高者，同时修正后的转股价格不低于最近一期经审计的每股净资产和股票面值。若在前述20个交易日内发生过转股价格调整的情形，则在转股价格调整日前的交易日按调整前的转股价格和收盘价计算，在转股价格调整日及之后的交易日按调整后的转股价格和收盘价计算。</v>
      </c>
      <c r="W6" s="36" t="str">
        <f xml:space="preserve"> [1]!cb_clause_reset_isexitreset(A6)</f>
        <v>是</v>
      </c>
      <c r="X6" s="36" t="str">
        <f xml:space="preserve"> [1]!cb_clause_reset_resetstartdate(A6)</f>
        <v>2015-06-12</v>
      </c>
      <c r="Y6" s="36" t="str">
        <f xml:space="preserve"> [1]!cb_clause_reset_resetperiodenddate(A6)</f>
        <v>2021-06-12</v>
      </c>
      <c r="Z6" s="36">
        <f>[1]!cb_clause_reset_resetmaxtimespan(A6)</f>
        <v>20</v>
      </c>
      <c r="AA6" s="36">
        <f>[1]!cb_clause_reset_resettimespan(A6)</f>
        <v>10</v>
      </c>
      <c r="AB6" s="36">
        <f>[1]!cb_clause_reset_resettriggerratio(A6)</f>
        <v>90</v>
      </c>
      <c r="AC6" s="36" t="str">
        <f>[1]!cb_clause_reset_referencepriceisanverage(A6)</f>
        <v>否</v>
      </c>
      <c r="AD6" s="36">
        <f>[1]!cb_clause_reset_resetrange(A6)</f>
        <v>0</v>
      </c>
      <c r="AE6" s="36" t="str">
        <f>[1]!cb_clause_reset_stockpricelowestlimit(A6)</f>
        <v>不低于股东大会前20个交易日股票交易均价和前1交易日的交易均价,不得低于最近1期每股净资产值和股票面值</v>
      </c>
      <c r="AF6" s="36">
        <f>[1]!cb_clause_reset_resettimeslimit(A6)</f>
        <v>0</v>
      </c>
      <c r="AG6" s="36">
        <f xml:space="preserve">  [1]!cb_clause_reset_timepointclause(A6)</f>
        <v>0</v>
      </c>
      <c r="AH6" s="36">
        <f xml:space="preserve"> [1]!cb_clause_calloption_relativecalloptionperiod(A6)</f>
        <v>6</v>
      </c>
      <c r="AI6" s="36" t="str">
        <f xml:space="preserve"> [1]!cb_clause_calloption_redemptiontimesperyear(A6)</f>
        <v>不限次数</v>
      </c>
      <c r="AJ6" s="36" t="str">
        <f>[1]!cb_clause_calloption_conditionalredeemstartdate(A6)</f>
        <v>2015-12-14</v>
      </c>
      <c r="AK6" s="36">
        <f>[1]!cb_clause_calloption_redeemmaxspan(A6)</f>
        <v>30</v>
      </c>
      <c r="AL6" s="36">
        <f>[1]!cb_clause_calloption_redeemspan(A6)</f>
        <v>20</v>
      </c>
      <c r="AM6" s="36">
        <f>[1]!cb_clause_calloption_triggerproportion(A6)</f>
        <v>130</v>
      </c>
      <c r="AN6" s="36">
        <f xml:space="preserve"> [1]!cb_clause_calloption_redemptionprice(A6)</f>
        <v>0</v>
      </c>
      <c r="AO6" s="36" t="str">
        <f>[1]!cb_clause_calloption_redemptionmemo(A6)</f>
        <v>公司有权决定按照债券面值加当期应计利息的价格赎回全部或部分未转股的可转债</v>
      </c>
      <c r="AP6" s="36" t="str">
        <f>[1]!cb_clause_calloption_redeemitem(A6)</f>
        <v>（1）到期赎回条款在本次发行的可转债期满后五个交易日内，公司将以本次发行的可转债的票面面值的107%（含最后一期利息）向投资者赎回全部未转股的可转债。（2）有条件赎回条款转股期内，当下述两种情形的任意一种出现时，公司有权决定按照债券面值加当期应计利息的价格赎回全部或部分未转股的可转债：A、在转股期内，如果公司股票在任何连续30个交易日中至少20个交易日的收盘价格不低于当期转股价格的130%（含130%）；B、当本次发行的可转债未转股余额不足3,000万元时。当期应计利息的计算公式为：IA=B×i×t/365IA：指当期应计利息；B：指本次发行的可转债持有人持有的将赎回的可转债票面总金额；i：指可转债当年票面利率；t：指计息天数，即从上一个付息日起至本计息年度赎回日止的实际日历天数（算头不算尾）。若在前述30个交易日内发生过转股价格调整的情形，则在调整前的交易日按调整前的转股价格和收盘价计算，调整后的交易日按调整后的转股价格和收盘价计算。</v>
      </c>
      <c r="AQ6" s="36" t="str">
        <f xml:space="preserve"> [1]!cb_clause_calloption_iswithtimeredemptionclause(A6)</f>
        <v>否</v>
      </c>
      <c r="AR6" s="36">
        <f>[1]!cb_clause_calloption_timeredemptiontimes(A6)</f>
        <v>0</v>
      </c>
      <c r="AS6" s="36">
        <f>[1]!cb_clause_calloption_redeemclause(A6)</f>
        <v>0</v>
      </c>
      <c r="AT6" s="36">
        <f xml:space="preserve"> [1]!cb_clause_putoption_putbackperiodobs(A6)</f>
        <v>48</v>
      </c>
      <c r="AU6" s="36" t="str">
        <f>[1]!cb_clause_putoption_conditionalputbackstartenddate(A6)</f>
        <v>2019-06-12</v>
      </c>
      <c r="AV6" s="36">
        <f xml:space="preserve"> [1]!cb_clause_putoption_conditionalputbackenddate(A6)</f>
        <v>0</v>
      </c>
      <c r="AW6" s="36">
        <f xml:space="preserve"> [1]!cb_clause_putoption_putbacktriggermaxspan(A6)</f>
        <v>30</v>
      </c>
      <c r="AX6" s="36">
        <f>[1]!cb_clause_putoption_redeem_triggerproportion(A6)</f>
        <v>70</v>
      </c>
      <c r="AY6" s="36">
        <f>[1]!cb_clause_putoption_resellingprice(A6)</f>
        <v>0</v>
      </c>
      <c r="AZ6" s="36" t="str">
        <f xml:space="preserve"> [1]!cb_clause_putoption_resellingpriceexplaination(A6)</f>
        <v>按债券面值加当期应计利息的价格回售给发行人</v>
      </c>
      <c r="BA6" s="36">
        <f>[1]!cb_clause_putoption_interestdisposing(A6)</f>
        <v>0</v>
      </c>
      <c r="BB6" s="36" t="str">
        <f xml:space="preserve"> [1]!cb_clause_putoption_sellbackitem(A6)</f>
        <v>公司股票在最后两个计息年度任何连续30个交易日的收盘价格低于当期转股价格的70%时，可转债持有人有权将其持有的可转债全部或部分按债券面值加当期应计利息的价格回售给发行人。若在上述交易日内发生过转股价格因发生送红股、转增股本、增发新股（不包括因本次发行的可转债转股而增加的股本）、配股以及派发现金股利等情况而调整的情形，则在调整前的交易日按调整前的转股价格和收盘价格计算，在调整后的交易日按调整后的转股价格和收盘价格计算。如果出现转股价格向下修正的情况，则上述―连续30个交易日‖须从转股价格调整之后的第一个交易日起重新计算。最后两个计息年度可转债持有人在每年回售条件首次满足后可按上述约定条件行使回售权一次，若在首次满足回售条件而可转债持有人未在公司届时公告的回售申报期内申报并实施回售的，该计息年度不应再行使回售权。可转债持有人不能多次行使部分回售权。</v>
      </c>
      <c r="BC6" s="36">
        <f>[1]!cb_clause_putoption_putbackperiod(A6)</f>
        <v>0</v>
      </c>
      <c r="BD6" s="36">
        <f>[1]!cb_clause_putoption_putbackstartdate(A6)</f>
        <v>0</v>
      </c>
      <c r="BE6" s="36">
        <f>[1]!cb_clause_putoption_putbackenddate(A6)</f>
        <v>0</v>
      </c>
      <c r="BF6" s="36">
        <f xml:space="preserve"> [1]!cb_clause_putoption_putbackprice(A6)</f>
        <v>0</v>
      </c>
      <c r="BG6" s="36">
        <f>[1]!cb_clause_putoption_putbackclause(A6)</f>
        <v>0</v>
      </c>
      <c r="BH6" s="36">
        <f>[1]!cb_clause_putoption_timeputbacktimes(A6)</f>
        <v>0</v>
      </c>
      <c r="BI6" s="36">
        <f>[1]!cb_clause_putoption_timeputbackclause(A6)</f>
        <v>0</v>
      </c>
      <c r="BJ6" s="36" t="str">
        <f>[1]!cb_clause_putoption_additionalpricememo(A6)</f>
        <v>若公司本次发行的可转债募集资金投资项目的实施情况与公司在募集说明书中的承诺情况相比出现重大变化，可转债持有人享有一次回售的权利。</v>
      </c>
      <c r="BK6" s="36" t="str">
        <f>[1]!cb_clause_putoption_putbackadditionalcondition(A6)</f>
        <v>根据中国证监会的相关规定被视作改变募集资金用途或被中国证监会认定为改变募集资金用途的，公司本次发行的可转债持有人享有一次回售的权利。</v>
      </c>
    </row>
    <row r="7" spans="1:63" x14ac:dyDescent="0.15">
      <c r="A7" s="34" t="s">
        <v>86</v>
      </c>
      <c r="B7" s="35" t="str">
        <f xml:space="preserve"> [1]!cb_info_name(A7)</f>
        <v>三一转债</v>
      </c>
      <c r="C7" s="36" t="str">
        <f>[1]!cb_clause_interest(A7,5)</f>
        <v>否</v>
      </c>
      <c r="D7" s="36" t="str">
        <f>[1]!cb_clause_interest(A7,8)</f>
        <v>是</v>
      </c>
      <c r="E7" s="36">
        <f>[1]!cb_clause_interest(A7,3)</f>
        <v>1.8</v>
      </c>
      <c r="F7" s="36" t="str">
        <f xml:space="preserve"> [1]!cb_clause_interest(A7,6)</f>
        <v>在本次发行的可转债期满后五个交易日内，本公司将以本次发行的可转债的票面面值的106%（含最后一期利息）的价格向投资者赎回全部未转股的可转债。</v>
      </c>
      <c r="G7" s="36" t="str">
        <f>[1]!cb_clause_interest(A7,4)</f>
        <v>票面利率：第一年为0.2%、第二年为0.5%、第三年为1.0%、第四年为1.5%、第五年为1.6%、第六年为2.0%。</v>
      </c>
      <c r="H7" s="36" t="str">
        <f>[1]!cb_clause_interest(A7,7)</f>
        <v>本次发行的可转债采用每年付息一次的付息方式，计息起始日为本可转债发行首日，即2016年1月4日。每年的付息日为本次发行的可转债发行首日起每满一年的当日。如该日为法定节假日或休息日，则顺延至下一工作日，顺延期间不另付息，每相邻的两个付息日之间为一个计息年度。每年的付息债权登记日为每年付息日的前一交易日，发行人将在每年付息日之后的五个交易日内支付当年利息。在付息债权登记日前（包括付息债权登记日）申请转换成发行人股票的可转债，发行人不再向其持有人支付本计息年度及以后计息年度的利息。可转债持有人所获得利息收入的应付税项由持有人承担。</v>
      </c>
      <c r="I7" s="36">
        <f>[1]!cb_clause_conversion_2_relativeswapsharemonth(A7)</f>
        <v>6</v>
      </c>
      <c r="J7" s="36" t="str">
        <f>[1]!cb_clause_conversion_2_swapsharestartdate(A7)</f>
        <v>2016-07-04</v>
      </c>
      <c r="K7" s="36" t="str">
        <f>[1]!cb_clause_conversion_2_swapshareenddate(A7)</f>
        <v>2022-01-03</v>
      </c>
      <c r="L7" s="36" t="str">
        <f>[1]!cb_clause_conversion_2_isforced(A7)</f>
        <v>否</v>
      </c>
      <c r="M7" s="36">
        <f xml:space="preserve"> [1]!cb_clause_conversion_2_forceconvertdate(A7)</f>
        <v>0</v>
      </c>
      <c r="N7" s="36">
        <f>[1]!cb_clause_conversion_2_forceconvertprice(A7)</f>
        <v>0</v>
      </c>
      <c r="O7" s="37">
        <f ca="1">[1]!cb_clause_conversion2_swapshareprice(A7,$O$3)</f>
        <v>7.43</v>
      </c>
      <c r="P7" s="36" t="str">
        <f>[1]!b_clause_conversion_code(A7)</f>
        <v>190032</v>
      </c>
      <c r="Q7" s="38">
        <f ca="1">[1]!cb_clause_conversion2_conversionproportion(A7,$Q$3)</f>
        <v>13.458950201884253</v>
      </c>
      <c r="R7" s="36">
        <f ca="1">[1]!cb_clause_conversion2_bondlot(A7,$R$3)/10000</f>
        <v>449946.3</v>
      </c>
      <c r="S7" s="36">
        <f ca="1">[1]!cb_clause_conversion2_bondproportion(A7,$S$3)</f>
        <v>99.98</v>
      </c>
      <c r="T7" s="36" t="str">
        <f>[1]!cb_clause_conversion_2_conversionproportion(A7)</f>
        <v>是</v>
      </c>
      <c r="U7" s="36" t="str">
        <f>[1]!cb_clause_conversion2_tosharepriceadjustitem(A7)</f>
        <v>本次发行可转债的初始转股价格为7.5元/股，不低于公布募集说明书之日前二十个交易日公司股票交易均价（若在该二十个交易日内发生过因除权、除息引起股价调整的情形，则对调整前交易日的收盘价按经过相应除权、除息调整后的价格计算）和前一个交易日公司股票交易均价。在本次发行之后，当公司发生送红股、转增股本、增发新股（不包括因本次发行的可转债转股而增加的股本）、配股以及派发现金股利等情况时，公司将按上述条件出现的先后顺序，依次对转股价格进行累积调整，具体调整办法如下：送红股或转增股本：P1=P0/（1+n）；增发新股或配股：P1=（P0+A×k）/（1+k）；上述两项同时进行：P1=（P0+A×k）/（1+n+k）；派发现金股利：P1=P0-D；上述三项同时进行：P1＝（P0－D＋A×k）/（1+n+k）。</v>
      </c>
      <c r="V7" s="36" t="str">
        <f>[1]!cb_clause_reset_item(A7)</f>
        <v>在本可转债存续期间，当公司股票在任意二十个连续交易日中至少十个交易日的收盘价格低于当期转股价格90%时，公司董事会有权提出转股价格向下修正方案并提交公司股东大会表决，该方案须经出席会议的股东所持表决权的三分之二以上通过方可实施。股东大会进行表决时，持有公司本次发行可转债的股东应当回避；修正后的转股价格应不低于该次股东大会召开日前二十个交易日公司股票交易均价和前一交易日的公司股票交易均价，同时，修正后的转股价格不得低于最近一期经审计的每股净资产值和股票面值。</v>
      </c>
      <c r="W7" s="36" t="str">
        <f xml:space="preserve"> [1]!cb_clause_reset_isexitreset(A7)</f>
        <v>是</v>
      </c>
      <c r="X7" s="36" t="str">
        <f xml:space="preserve"> [1]!cb_clause_reset_resetstartdate(A7)</f>
        <v>2016-01-04</v>
      </c>
      <c r="Y7" s="36" t="str">
        <f xml:space="preserve"> [1]!cb_clause_reset_resetperiodenddate(A7)</f>
        <v>2022-01-04</v>
      </c>
      <c r="Z7" s="36">
        <f>[1]!cb_clause_reset_resetmaxtimespan(A7)</f>
        <v>20</v>
      </c>
      <c r="AA7" s="36">
        <f>[1]!cb_clause_reset_resettimespan(A7)</f>
        <v>10</v>
      </c>
      <c r="AB7" s="36">
        <f>[1]!cb_clause_reset_resettriggerratio(A7)</f>
        <v>90</v>
      </c>
      <c r="AC7" s="36" t="str">
        <f>[1]!cb_clause_reset_referencepriceisanverage(A7)</f>
        <v>否</v>
      </c>
      <c r="AD7" s="36">
        <f>[1]!cb_clause_reset_resetrange(A7)</f>
        <v>0</v>
      </c>
      <c r="AE7" s="36" t="str">
        <f>[1]!cb_clause_reset_stockpricelowestlimit(A7)</f>
        <v>不低于股东大会前20个交易日股票交易均价和前1交易日的交易均价,不得低于最近1期每股净资产值和股票面值</v>
      </c>
      <c r="AF7" s="36">
        <f>[1]!cb_clause_reset_resettimeslimit(A7)</f>
        <v>0</v>
      </c>
      <c r="AG7" s="36">
        <f xml:space="preserve">  [1]!cb_clause_reset_timepointclause(A7)</f>
        <v>0</v>
      </c>
      <c r="AH7" s="36">
        <f xml:space="preserve"> [1]!cb_clause_calloption_relativecalloptionperiod(A7)</f>
        <v>6</v>
      </c>
      <c r="AI7" s="36" t="str">
        <f xml:space="preserve"> [1]!cb_clause_calloption_redemptiontimesperyear(A7)</f>
        <v>不限次数</v>
      </c>
      <c r="AJ7" s="36" t="str">
        <f>[1]!cb_clause_calloption_conditionalredeemstartdate(A7)</f>
        <v>2016-07-04</v>
      </c>
      <c r="AK7" s="36">
        <f>[1]!cb_clause_calloption_redeemmaxspan(A7)</f>
        <v>30</v>
      </c>
      <c r="AL7" s="36">
        <f>[1]!cb_clause_calloption_redeemspan(A7)</f>
        <v>15</v>
      </c>
      <c r="AM7" s="36">
        <f>[1]!cb_clause_calloption_triggerproportion(A7)</f>
        <v>130</v>
      </c>
      <c r="AN7" s="36">
        <f xml:space="preserve"> [1]!cb_clause_calloption_redemptionprice(A7)</f>
        <v>0</v>
      </c>
      <c r="AO7" s="36" t="str">
        <f>[1]!cb_clause_calloption_redemptionmemo(A7)</f>
        <v>按照债券面值加当期应计利息赎回部分或者全部转债</v>
      </c>
      <c r="AP7" s="36" t="str">
        <f>[1]!cb_clause_calloption_redeemitem(A7)</f>
        <v>（1）到期赎回条款本次发行的可转债到期后五个交易日内，发行人将以本次发行的可转债的票面面值的106%（含最后一期年度利息）的价格向投资者兑付全部未转股的可转债。（2）有条件赎回条款在转股期内，当下述情形的任意一种出现时，公司有权决定按照以面值加当期应计利息的价格赎回全部或部分未转股的可转债：A、在转股期内，如果公司股票在任何连续三十个交易日中至少十五个交易日的收盘价格不低于当期转股价格的130%（含130%）；B.当本次发行的可转债未转股余额不足3,000万元时。当期应计利息的计算公式为：IA=B×i×t/365IA：指当期应计利息；B：指本次发行的可转债持有人持有的将赎回的可转债票面总金额；i：指可转债当年票面利率；t：指计息天数，即从上一个付息日起至本计息年度赎回日止的实际日历天数（算头不算尾）。若在前述三十个交易日内发生过转股价格调整的情形，则在调整前的交易日按调整前的转股价格和收盘价格计算，调整后的交易日按调整后的转股价格和收盘价格计算。</v>
      </c>
      <c r="AQ7" s="36" t="str">
        <f xml:space="preserve"> [1]!cb_clause_calloption_iswithtimeredemptionclause(A7)</f>
        <v>否</v>
      </c>
      <c r="AR7" s="36">
        <f>[1]!cb_clause_calloption_timeredemptiontimes(A7)</f>
        <v>0</v>
      </c>
      <c r="AS7" s="36">
        <f>[1]!cb_clause_calloption_redeemclause(A7)</f>
        <v>0</v>
      </c>
      <c r="AT7" s="36">
        <f xml:space="preserve"> [1]!cb_clause_putoption_putbackperiodobs(A7)</f>
        <v>48</v>
      </c>
      <c r="AU7" s="36" t="str">
        <f>[1]!cb_clause_putoption_conditionalputbackstartenddate(A7)</f>
        <v>2020-01-04</v>
      </c>
      <c r="AV7" s="36">
        <f xml:space="preserve"> [1]!cb_clause_putoption_conditionalputbackenddate(A7)</f>
        <v>0</v>
      </c>
      <c r="AW7" s="36">
        <f xml:space="preserve"> [1]!cb_clause_putoption_putbacktriggermaxspan(A7)</f>
        <v>30</v>
      </c>
      <c r="AX7" s="36">
        <f>[1]!cb_clause_putoption_redeem_triggerproportion(A7)</f>
        <v>70</v>
      </c>
      <c r="AY7" s="36">
        <f>[1]!cb_clause_putoption_resellingprice(A7)</f>
        <v>103</v>
      </c>
      <c r="AZ7" s="36" t="str">
        <f xml:space="preserve"> [1]!cb_clause_putoption_resellingpriceexplaination(A7)</f>
        <v>按面值的103%(含当期计息年度利息)回售给公司</v>
      </c>
      <c r="BA7" s="36">
        <f>[1]!cb_clause_putoption_interestdisposing(A7)</f>
        <v>0</v>
      </c>
      <c r="BB7" s="36" t="str">
        <f xml:space="preserve"> [1]!cb_clause_putoption_sellbackitem(A7)</f>
        <v>自本次可转债第五个计息年度起，如果公司股票在任何连续三十个交易日的收盘价格低于当期转股价格的70%，可转债持有人有权将其持有的可转债全部或部分按面值的103%（含当期计息年度利息）回售给公司。若在上述交易日内发生过转股价格因发生送红股、转增股本、增发新股（不包括因本次发行的可转债转股而增加的股本）、配股以及派发现金股利等情况而调整的情形，则在调整前的交易日按调整前的转股价格和收盘价格计算，在调整后的交易日按调整后的转股价格和收盘价格计算。如果出现转股价格向下修正的情况，则上述连续三十个交易日须从转股价格调整之后的第一个交易日起重新计算。自本次可转债第五个计息年度起，可转债持有人在每年回售条件首次满足后可按上述约定条件行使回售权一次，若在首次满足回售条件而可转债持有人未在公司届时公告的回售申报期内申报并实施回售的，该计息年度不应再行使回售权，可转债持有人不能多次行使部分回售权。</v>
      </c>
      <c r="BC7" s="36">
        <f>[1]!cb_clause_putoption_putbackperiod(A7)</f>
        <v>0</v>
      </c>
      <c r="BD7" s="36">
        <f>[1]!cb_clause_putoption_putbackstartdate(A7)</f>
        <v>0</v>
      </c>
      <c r="BE7" s="36">
        <f>[1]!cb_clause_putoption_putbackenddate(A7)</f>
        <v>0</v>
      </c>
      <c r="BF7" s="36">
        <f xml:space="preserve"> [1]!cb_clause_putoption_putbackprice(A7)</f>
        <v>0</v>
      </c>
      <c r="BG7" s="36">
        <f>[1]!cb_clause_putoption_putbackclause(A7)</f>
        <v>0</v>
      </c>
      <c r="BH7" s="36">
        <f>[1]!cb_clause_putoption_timeputbacktimes(A7)</f>
        <v>0</v>
      </c>
      <c r="BI7" s="36">
        <f>[1]!cb_clause_putoption_timeputbackclause(A7)</f>
        <v>0</v>
      </c>
      <c r="BJ7" s="36" t="str">
        <f>[1]!cb_clause_putoption_additionalpricememo(A7)</f>
        <v>若公司本次发行的可转债募集资金投资项目的实施情况与公司在募集说明书中的承诺情况相比出现重大变化，可转债持有人享有一次回售的权利。</v>
      </c>
      <c r="BK7" s="36" t="str">
        <f>[1]!cb_clause_putoption_putbackadditionalcondition(A7)</f>
        <v>根据中国证监会的相关规定被视作改变募集资金用途或被中国证监会认定为改变募集资金用途的，公司本次发行的可转债持有人享有一次回售的权利。</v>
      </c>
    </row>
    <row r="8" spans="1:63" x14ac:dyDescent="0.15">
      <c r="A8" s="34" t="s">
        <v>87</v>
      </c>
      <c r="B8" s="35" t="str">
        <f xml:space="preserve"> [1]!cb_info_name(A8)</f>
        <v>国贸转债</v>
      </c>
      <c r="C8" s="36" t="str">
        <f>[1]!cb_clause_interest(A8,5)</f>
        <v>否</v>
      </c>
      <c r="D8" s="36" t="str">
        <f>[1]!cb_clause_interest(A8,8)</f>
        <v>是</v>
      </c>
      <c r="E8" s="36">
        <f>[1]!cb_clause_interest(A8,3)</f>
        <v>2.13</v>
      </c>
      <c r="F8" s="36" t="str">
        <f xml:space="preserve"> [1]!cb_clause_interest(A8,6)</f>
        <v>在本次发行的可转债期满后5个交易日内，公司将以本次发行的可转债的票面面值的108%（含最后一年利息）向可转债持有人赎回全部未转股的可转换公司债券。</v>
      </c>
      <c r="G8" s="36" t="str">
        <f>[1]!cb_clause_interest(A8,4)</f>
        <v>第一年为0.3%、第二年为0.5%、第三年为0.9%、第四年为1.4%、第五年为1.7%、第六年2%。</v>
      </c>
      <c r="H8" s="36" t="str">
        <f>[1]!cb_clause_interest(A8,7)</f>
        <v>①本次发行的可转债采用每年付息一次的付息方式，计息起始日为可转债发行首日。 ②付息日：每年的付息日为本次发行的可转债发行首日起每满一年的当日。如该日为法定节假日或休息日，则顺延至下一个工作日，顺延期间不另付息。每相邻的两个付息日之间为一个计息年度。 ③付息债权登记日：每年的付息债权登记日为每年付息日的前一交易日，公司将在每年付息日之后的5个交易日内支付当年利息。在付息债权登记日前（包括付息债权登记日）申请转换成公司股票的可转债，公司不再向其持有人支付本计息年度及以后计息年度的利息。</v>
      </c>
      <c r="I8" s="36">
        <f>[1]!cb_clause_conversion_2_relativeswapsharemonth(A8)</f>
        <v>6</v>
      </c>
      <c r="J8" s="36" t="str">
        <f>[1]!cb_clause_conversion_2_swapsharestartdate(A8)</f>
        <v>2016-07-05</v>
      </c>
      <c r="K8" s="36" t="str">
        <f>[1]!cb_clause_conversion_2_swapshareenddate(A8)</f>
        <v>2022-01-04</v>
      </c>
      <c r="L8" s="36" t="str">
        <f>[1]!cb_clause_conversion_2_isforced(A8)</f>
        <v>否</v>
      </c>
      <c r="M8" s="36">
        <f xml:space="preserve"> [1]!cb_clause_conversion_2_forceconvertdate(A8)</f>
        <v>0</v>
      </c>
      <c r="N8" s="36">
        <f>[1]!cb_clause_conversion_2_forceconvertprice(A8)</f>
        <v>0</v>
      </c>
      <c r="O8" s="37">
        <f ca="1">[1]!cb_clause_conversion2_swapshareprice(A8,$O$3)</f>
        <v>8.81</v>
      </c>
      <c r="P8" s="36" t="str">
        <f>[1]!b_clause_conversion_code(A8)</f>
        <v>190033</v>
      </c>
      <c r="Q8" s="38">
        <f ca="1">[1]!cb_clause_conversion2_conversionproportion(A8,$Q$3)</f>
        <v>11.350737797956867</v>
      </c>
      <c r="R8" s="36">
        <f ca="1">[1]!cb_clause_conversion2_bondlot(A8,$R$3)/10000</f>
        <v>181312.3</v>
      </c>
      <c r="S8" s="36">
        <f ca="1">[1]!cb_clause_conversion2_bondproportion(A8,$S$3)</f>
        <v>64.740000000000009</v>
      </c>
      <c r="T8" s="36" t="str">
        <f>[1]!cb_clause_conversion_2_conversionproportion(A8)</f>
        <v>是</v>
      </c>
      <c r="U8" s="36" t="str">
        <f>[1]!cb_clause_conversion2_tosharepriceadjustitem(A8)</f>
        <v>在本次发行之后，若公司发生派送红股、转增股本、增发新股（不包括因本次发行的可转债转股而增加的股本）、配股以及派发现金股利等情况，将按下述公式进行转股价格的调整（保留小数点后两位，最后一位四舍五入）：派送红股或转增股本：P1＝P0/（1+n）；增发新股或配股：P1＝（P0+A×k）/（1+k）；上述两项同时进行：P1＝（P0+A×k）/（1+n+k）；派送现金股利：P1＝P0-D；上述三项同时进行：P1＝（P0-D+A×k）/（1+n+k）。20160614:经2015年度分红调整为8.93元/股,本次转股价格调整实施日期：2016年6月21日,20170629:修正后转股价格：8.81元/股;国贸转债本次转股价格调整实施日期：2017年7月6日.</v>
      </c>
      <c r="V8" s="36" t="str">
        <f>[1]!cb_clause_reset_item(A8)</f>
        <v>在本次发行的可转债存续期间，当公司A股股票在任意连续30个交易日中至少有15个交易日的收盘价低于当期转股价格的90%时，公司董事会有权提出转股价格向下修正方案并提交公司股东大会审议表决。上述方案须经出席会议的股东所持表决权的三分之二以上通过方可实施。股东大会进行表决时，持有公司本次发行的可转债的股东应当回避。修正后的转股价格应不低于该次股东大会召开日前20个交易日公司A股股票交易均价和前一交易日公司A股股票的交易均价，同时，修正后的转股价格不得低于最近一期经审计的每股净资产值和股票面值。若在前述30个交易日内发生过转股价格调整的情形，则在调整前的交易日按调整前的转股价格和收盘价格计算，调整后的交易日按调整后的转股价格和收盘价格计算。</v>
      </c>
      <c r="W8" s="36" t="str">
        <f xml:space="preserve"> [1]!cb_clause_reset_isexitreset(A8)</f>
        <v>是</v>
      </c>
      <c r="X8" s="36" t="str">
        <f xml:space="preserve"> [1]!cb_clause_reset_resetstartdate(A8)</f>
        <v>2016-01-05</v>
      </c>
      <c r="Y8" s="36" t="str">
        <f xml:space="preserve"> [1]!cb_clause_reset_resetperiodenddate(A8)</f>
        <v>2022-01-05</v>
      </c>
      <c r="Z8" s="36">
        <f>[1]!cb_clause_reset_resetmaxtimespan(A8)</f>
        <v>30</v>
      </c>
      <c r="AA8" s="36">
        <f>[1]!cb_clause_reset_resettimespan(A8)</f>
        <v>15</v>
      </c>
      <c r="AB8" s="36">
        <f>[1]!cb_clause_reset_resettriggerratio(A8)</f>
        <v>90</v>
      </c>
      <c r="AC8" s="36" t="str">
        <f>[1]!cb_clause_reset_referencepriceisanverage(A8)</f>
        <v>否</v>
      </c>
      <c r="AD8" s="36">
        <f>[1]!cb_clause_reset_resetrange(A8)</f>
        <v>0</v>
      </c>
      <c r="AE8" s="36" t="str">
        <f>[1]!cb_clause_reset_stockpricelowestlimit(A8)</f>
        <v>不低于股东大会前20个交易日股票交易均价和前1交易日的交易均价,不得低于最近1期每股净资产值和股票面值</v>
      </c>
      <c r="AF8" s="36">
        <f>[1]!cb_clause_reset_resettimeslimit(A8)</f>
        <v>0</v>
      </c>
      <c r="AG8" s="36">
        <f xml:space="preserve">  [1]!cb_clause_reset_timepointclause(A8)</f>
        <v>0</v>
      </c>
      <c r="AH8" s="36">
        <f xml:space="preserve"> [1]!cb_clause_calloption_relativecalloptionperiod(A8)</f>
        <v>6</v>
      </c>
      <c r="AI8" s="36" t="str">
        <f xml:space="preserve"> [1]!cb_clause_calloption_redemptiontimesperyear(A8)</f>
        <v>不限次数</v>
      </c>
      <c r="AJ8" s="36" t="str">
        <f>[1]!cb_clause_calloption_conditionalredeemstartdate(A8)</f>
        <v>2016-07-05</v>
      </c>
      <c r="AK8" s="36">
        <f>[1]!cb_clause_calloption_redeemmaxspan(A8)</f>
        <v>30</v>
      </c>
      <c r="AL8" s="36">
        <f>[1]!cb_clause_calloption_redeemspan(A8)</f>
        <v>15</v>
      </c>
      <c r="AM8" s="36">
        <f>[1]!cb_clause_calloption_triggerproportion(A8)</f>
        <v>130</v>
      </c>
      <c r="AN8" s="36">
        <f xml:space="preserve"> [1]!cb_clause_calloption_redemptionprice(A8)</f>
        <v>0</v>
      </c>
      <c r="AO8" s="36" t="str">
        <f>[1]!cb_clause_calloption_redemptionmemo(A8)</f>
        <v>公司董事会有权决定按照债券面值加当期应计利息的价格赎回全部或部分未转股的可转债</v>
      </c>
      <c r="AP8" s="36" t="str">
        <f>[1]!cb_clause_calloption_redeemitem(A8)</f>
        <v>在本次发行的可转债转股期内，当下述两种情形的任意一种出现时，公司董事会有权决定按照债券面值加当期应计利息的价格赎回全部或部分未转股的可转债：①在本次发行的可转债转股期内，如果公司A股股票连续30个交易日中至少有15个交易日的收盘价格不低于当期转股价格的130%（含130%）。②当本次发行的可转债未转股余额不足3,000万元时。当期应计利息的计算公式为：IA=B×i×t/365IA：指当期应计利息；B：指本次发行的可转债持有人持有的可转债票面总金额；i：指可转债当年票面利率；t：指计息天数，即从上一个付息日起至本计息年度赎回日止的实际日历天数（算头不算尾）。若在前述30个交易日内发生过转股价格调整的情形，则在调整前的交易日按调整前的转股价格和收盘价格计算，调整后的交易日按调整后的转股价格和收盘价格计算。</v>
      </c>
      <c r="AQ8" s="36" t="str">
        <f xml:space="preserve"> [1]!cb_clause_calloption_iswithtimeredemptionclause(A8)</f>
        <v>否</v>
      </c>
      <c r="AR8" s="36">
        <f>[1]!cb_clause_calloption_timeredemptiontimes(A8)</f>
        <v>0</v>
      </c>
      <c r="AS8" s="36">
        <f>[1]!cb_clause_calloption_redeemclause(A8)</f>
        <v>0</v>
      </c>
      <c r="AT8" s="36">
        <f xml:space="preserve"> [1]!cb_clause_putoption_putbackperiodobs(A8)</f>
        <v>48</v>
      </c>
      <c r="AU8" s="36" t="str">
        <f>[1]!cb_clause_putoption_conditionalputbackstartenddate(A8)</f>
        <v>2020-01-05</v>
      </c>
      <c r="AV8" s="36">
        <f xml:space="preserve"> [1]!cb_clause_putoption_conditionalputbackenddate(A8)</f>
        <v>0</v>
      </c>
      <c r="AW8" s="36">
        <f xml:space="preserve"> [1]!cb_clause_putoption_putbacktriggermaxspan(A8)</f>
        <v>30</v>
      </c>
      <c r="AX8" s="36">
        <f>[1]!cb_clause_putoption_redeem_triggerproportion(A8)</f>
        <v>70</v>
      </c>
      <c r="AY8" s="36">
        <f>[1]!cb_clause_putoption_resellingprice(A8)</f>
        <v>0</v>
      </c>
      <c r="AZ8" s="36" t="str">
        <f xml:space="preserve"> [1]!cb_clause_putoption_resellingpriceexplaination(A8)</f>
        <v>可转债持有人有权将其持有的可转债全部或部分按债券面值加上当期应计利息的价格回售给公司.</v>
      </c>
      <c r="BA8" s="36">
        <f>[1]!cb_clause_putoption_interestdisposing(A8)</f>
        <v>0</v>
      </c>
      <c r="BB8" s="36" t="str">
        <f xml:space="preserve"> [1]!cb_clause_putoption_sellbackitem(A8)</f>
        <v>本次发行的可转债最后两个计息年度，如果公司A股股票在任何连续30个交易日的收盘价格低于当期转股价格的70%时，可转债持有人有权将其持有的可转债全部或部分按债券面值加上当期应计利息的价格回售给公司。若在上述交易日内发生过转股价格因发生派送红股、转增股本、增发新股（不包括因本次发行的可转债转股而增加的股本）、配股以及派发现金股利等情况而调整的情形，则在调整前的交易日按调整前的转股价格和收盘价格计算，在调整后的交易日按调整后的转股价格和收盘价格计算。如果出现转股价格向下修正的情况，则上述30个交易日须从转股价格调整之后的第一个交易日起重新计算。本次发行的可转债最后两个计息年度，可转债持有人在每年回售条件首次满足后可按上述约定条件行使回售权一次，若在首次满足回售条件而可转债持有人未在公司届时公告的回售申报期内申报并实施回售的，该计息年度不应再行使回售权，可转债持有人不能多次行使部分回售权。</v>
      </c>
      <c r="BC8" s="36">
        <f>[1]!cb_clause_putoption_putbackperiod(A8)</f>
        <v>0</v>
      </c>
      <c r="BD8" s="36">
        <f>[1]!cb_clause_putoption_putbackstartdate(A8)</f>
        <v>0</v>
      </c>
      <c r="BE8" s="36">
        <f>[1]!cb_clause_putoption_putbackenddate(A8)</f>
        <v>0</v>
      </c>
      <c r="BF8" s="36">
        <f xml:space="preserve"> [1]!cb_clause_putoption_putbackprice(A8)</f>
        <v>0</v>
      </c>
      <c r="BG8" s="36">
        <f>[1]!cb_clause_putoption_putbackclause(A8)</f>
        <v>0</v>
      </c>
      <c r="BH8" s="36">
        <f>[1]!cb_clause_putoption_timeputbacktimes(A8)</f>
        <v>0</v>
      </c>
      <c r="BI8" s="36">
        <f>[1]!cb_clause_putoption_timeputbackclause(A8)</f>
        <v>0</v>
      </c>
      <c r="BJ8" s="36" t="str">
        <f>[1]!cb_clause_putoption_additionalpricememo(A8)</f>
        <v>可转债持有人有权将其持有的可转债全部或部分按债券面值加当期应计利息的价格回售给公司。</v>
      </c>
      <c r="BK8" s="36" t="str">
        <f>[1]!cb_clause_putoption_putbackadditionalcondition(A8)</f>
        <v>根据中国证监会的相关规定被视作改变募集资金用途或被中国证监会认定为改变募集资金用途的，公司本次发行的可转债持有人享有一次回售的权利。</v>
      </c>
    </row>
    <row r="9" spans="1:63" x14ac:dyDescent="0.15">
      <c r="A9" s="34" t="s">
        <v>88</v>
      </c>
      <c r="B9" s="35" t="str">
        <f xml:space="preserve"> [1]!cb_info_name(A9)</f>
        <v>九州转债</v>
      </c>
      <c r="C9" s="36" t="str">
        <f>[1]!cb_clause_interest(A9,5)</f>
        <v>否</v>
      </c>
      <c r="D9" s="36" t="str">
        <f>[1]!cb_clause_interest(A9,8)</f>
        <v>是</v>
      </c>
      <c r="E9" s="36">
        <f>[1]!cb_clause_interest(A9,3)</f>
        <v>1.9333</v>
      </c>
      <c r="F9" s="36" t="str">
        <f xml:space="preserve"> [1]!cb_clause_interest(A9,6)</f>
        <v>本次发行的可转债到期后五个交易日内，公司将按债券面值的108%（含最后一期利息）的价格赎回未转股的可转债。</v>
      </c>
      <c r="G9" s="36" t="str">
        <f>[1]!cb_clause_interest(A9,4)</f>
        <v>票面利率：第一年0.20%、第二年0.40%、第三年0.60%、第四年0.80%、第五年1.60%、第六年2.00%</v>
      </c>
      <c r="H9" s="36" t="str">
        <f>[1]!cb_clause_interest(A9,7)</f>
        <v>本可转债采用每年付息一次的付息方式，计息起始日为本可转债发行首日。年利息计算公式为：I=B×i，其中：I：年利息额B：本次发行的可转债持有人在计息年度（以下简称“当年”或“每年”）付息债权登记日持有的可转债票面总额；i：可转债的当年票面利率。本次可转债采用每年付息一次的付息方式，计息起始日为可转债发行首日。付息日：每年的付息日为本可转债发行首日起每满一年的当日，如该日为法定节假日或休息日，则顺延至下一个工作日，顺延期间不另付息。每相邻的两个付息日之间为一个计息年度。</v>
      </c>
      <c r="I9" s="36">
        <f>[1]!cb_clause_conversion_2_relativeswapsharemonth(A9)</f>
        <v>6</v>
      </c>
      <c r="J9" s="36" t="str">
        <f>[1]!cb_clause_conversion_2_swapsharestartdate(A9)</f>
        <v>2016-07-21</v>
      </c>
      <c r="K9" s="36" t="str">
        <f>[1]!cb_clause_conversion_2_swapshareenddate(A9)</f>
        <v>2022-01-14</v>
      </c>
      <c r="L9" s="36" t="str">
        <f>[1]!cb_clause_conversion_2_isforced(A9)</f>
        <v>否</v>
      </c>
      <c r="M9" s="36">
        <f xml:space="preserve"> [1]!cb_clause_conversion_2_forceconvertdate(A9)</f>
        <v>0</v>
      </c>
      <c r="N9" s="36">
        <f>[1]!cb_clause_conversion_2_forceconvertprice(A9)</f>
        <v>0</v>
      </c>
      <c r="O9" s="37">
        <f ca="1">[1]!cb_clause_conversion2_swapshareprice(A9,$O$3)</f>
        <v>18.649999999999999</v>
      </c>
      <c r="P9" s="36" t="str">
        <f>[1]!b_clause_conversion_code(A9)</f>
        <v>190034</v>
      </c>
      <c r="Q9" s="38">
        <f ca="1">[1]!cb_clause_conversion2_conversionproportion(A9,$Q$3)</f>
        <v>5.3619302949061662</v>
      </c>
      <c r="R9" s="36">
        <f ca="1">[1]!cb_clause_conversion2_bondlot(A9,$R$3)/10000</f>
        <v>149958.29999999999</v>
      </c>
      <c r="S9" s="36">
        <f ca="1">[1]!cb_clause_conversion2_bondproportion(A9,$S$3)</f>
        <v>99.96</v>
      </c>
      <c r="T9" s="36" t="str">
        <f>[1]!cb_clause_conversion_2_conversionproportion(A9)</f>
        <v>是</v>
      </c>
      <c r="U9" s="36" t="str">
        <f>[1]!cb_clause_conversion2_tosharepriceadjustitem(A9)</f>
        <v>在本次发行之后，当本公司因送红股、转增股本、增发新股或配股、派息等情况（不包括因可转债转股增加的股本）使公司股份发生变化时，将按下述公式进行转股价格的调整：送股或转增股本：P1=P/(1+n)；增发新股或配股：P1=(P+A×k)/(1+k)；上述两项同时进行：P1=(P+A×k)/(1+n+k)；派息：P1=P－D；上述三项同时进行：P1＝(P－D＋A×k)/(1+n+k)。其中：P为初始转股价，n为送股率，k为增发新股或配股率，A为增发新股价或配股价，D为每股派息，P1为调整后的转股价格。当本公司出现上述股份和/或股东权益变化情况时，将依次进行转股价格调整，并在中国证监会指定的上市公司信息披露媒体上刊登董事会决议公告，并于公告中载明转股价格调整日、调整办法及暂停转股时期（如需）。当转股价格调整日为本可转债持有人转股申请日或之后，转换股票登记日之前，则该持有人的转股申请按本公司调整后的转股价格执行。20170706：自2016年6月27日起，九州转债转股价格由18.78元/股调整为18.65元/股</v>
      </c>
      <c r="V9" s="36" t="str">
        <f>[1]!cb_clause_reset_item(A9)</f>
        <v>在本可转债存续期间，当本公司股票在任意连续20个交易日中有10个交易日的收盘价不高于当期转股价格的85%时，公司董事会有权提出转股价格向下修正方案并提交本公司股东大会表决。上述方案须经出席会议的股东所持表决权的三分之二以上通过方可实施。股东大会进行表决时，持有本可转债的股东应当回避。修正后的转股价格应不低于本次股东大会召开日前二十个交易日本公司股票交易均价和前一交易日均价之间的较高者，同时修正后的转股价格不低于最近一期经审计的每股净资产和股票面值。若在前述二十个交易日内发生过转股价格调整的情形，则在转股价格调整日前的交易日按调整前的转股价格和收盘价计算，在转股价格调整日及之后的交易日按调整后的转股价格和收盘价计算。</v>
      </c>
      <c r="W9" s="36" t="str">
        <f xml:space="preserve"> [1]!cb_clause_reset_isexitreset(A9)</f>
        <v>是</v>
      </c>
      <c r="X9" s="36" t="str">
        <f xml:space="preserve"> [1]!cb_clause_reset_resetstartdate(A9)</f>
        <v>2016-01-15</v>
      </c>
      <c r="Y9" s="36" t="str">
        <f xml:space="preserve"> [1]!cb_clause_reset_resetperiodenddate(A9)</f>
        <v>2022-01-15</v>
      </c>
      <c r="Z9" s="36">
        <f>[1]!cb_clause_reset_resetmaxtimespan(A9)</f>
        <v>20</v>
      </c>
      <c r="AA9" s="36">
        <f>[1]!cb_clause_reset_resettimespan(A9)</f>
        <v>10</v>
      </c>
      <c r="AB9" s="36">
        <f>[1]!cb_clause_reset_resettriggerratio(A9)</f>
        <v>85</v>
      </c>
      <c r="AC9" s="36" t="str">
        <f>[1]!cb_clause_reset_referencepriceisanverage(A9)</f>
        <v>否</v>
      </c>
      <c r="AD9" s="36">
        <f>[1]!cb_clause_reset_resetrange(A9)</f>
        <v>0</v>
      </c>
      <c r="AE9" s="36" t="str">
        <f>[1]!cb_clause_reset_stockpricelowestlimit(A9)</f>
        <v>不低于股东大会前20个交易日股票交易均价和前1交易日的交易均价,不得低于最近1期每股净资产值和股票面值</v>
      </c>
      <c r="AF9" s="36">
        <f>[1]!cb_clause_reset_resettimeslimit(A9)</f>
        <v>0</v>
      </c>
      <c r="AG9" s="36">
        <f xml:space="preserve">  [1]!cb_clause_reset_timepointclause(A9)</f>
        <v>0</v>
      </c>
      <c r="AH9" s="36">
        <f xml:space="preserve"> [1]!cb_clause_calloption_relativecalloptionperiod(A9)</f>
        <v>6</v>
      </c>
      <c r="AI9" s="36" t="str">
        <f xml:space="preserve"> [1]!cb_clause_calloption_redemptiontimesperyear(A9)</f>
        <v>不限次数</v>
      </c>
      <c r="AJ9" s="36" t="str">
        <f>[1]!cb_clause_calloption_conditionalredeemstartdate(A9)</f>
        <v>2016-07-21</v>
      </c>
      <c r="AK9" s="36">
        <f>[1]!cb_clause_calloption_redeemmaxspan(A9)</f>
        <v>30</v>
      </c>
      <c r="AL9" s="36">
        <f>[1]!cb_clause_calloption_redeemspan(A9)</f>
        <v>20</v>
      </c>
      <c r="AM9" s="36">
        <f>[1]!cb_clause_calloption_triggerproportion(A9)</f>
        <v>130</v>
      </c>
      <c r="AN9" s="36">
        <f xml:space="preserve"> [1]!cb_clause_calloption_redemptionprice(A9)</f>
        <v>0</v>
      </c>
      <c r="AO9" s="36" t="str">
        <f>[1]!cb_clause_calloption_redemptionmemo(A9)</f>
        <v>公司有权决定按照债券面值加当期应计利息的价格赎回全部或部分未转股的可转债</v>
      </c>
      <c r="AP9" s="36" t="str">
        <f>[1]!cb_clause_calloption_redeemitem(A9)</f>
        <v>（1）到期赎回本次发行的可转债到期后五个交易日内，公司将按债券面值的108%（含最后一期利息）的价格赎回未转股的可转债。（2）有条件赎回转股期内，当下述两种情形的任意一种出现时，公司有权决定按照债券面值加当期应计利息的价格赎回全部或部分未转股的可转债：①在转股期内，如果公司A股股票在任意连续30个交易日中至少有20个交易日的收盘价不低于当期转股价格的130%（含130%）；②当本次发行的可转债未转股余额不足3,000万元时。当期应计利息的计算公式为：IA=B×i×t/365其中，IA：指当期应计利息；B：指本次发行的可转债持有人持有的可转债票面总金额；i：指可转债当年票面利率；t：指计息天数，即从上一个付息日起至本计息年度赎回日止的实际日历天数（不包括赎回日当日）。若在前述30个交易日内发生过转股价格调整的情形，则在调整前的交易日按调整前的转股价格和收盘价计算，调整后的交易日按调整后的转股价格和收盘价计算。</v>
      </c>
      <c r="AQ9" s="36" t="str">
        <f xml:space="preserve"> [1]!cb_clause_calloption_iswithtimeredemptionclause(A9)</f>
        <v>否</v>
      </c>
      <c r="AR9" s="36">
        <f>[1]!cb_clause_calloption_timeredemptiontimes(A9)</f>
        <v>0</v>
      </c>
      <c r="AS9" s="36">
        <f>[1]!cb_clause_calloption_redeemclause(A9)</f>
        <v>0</v>
      </c>
      <c r="AT9" s="36">
        <f xml:space="preserve"> [1]!cb_clause_putoption_putbackperiodobs(A9)</f>
        <v>48</v>
      </c>
      <c r="AU9" s="36" t="str">
        <f>[1]!cb_clause_putoption_conditionalputbackstartenddate(A9)</f>
        <v>2020-01-15</v>
      </c>
      <c r="AV9" s="36">
        <f xml:space="preserve"> [1]!cb_clause_putoption_conditionalputbackenddate(A9)</f>
        <v>0</v>
      </c>
      <c r="AW9" s="36">
        <f xml:space="preserve"> [1]!cb_clause_putoption_putbacktriggermaxspan(A9)</f>
        <v>30</v>
      </c>
      <c r="AX9" s="36">
        <f>[1]!cb_clause_putoption_redeem_triggerproportion(A9)</f>
        <v>70</v>
      </c>
      <c r="AY9" s="36">
        <f>[1]!cb_clause_putoption_resellingprice(A9)</f>
        <v>103</v>
      </c>
      <c r="AZ9" s="36" t="str">
        <f xml:space="preserve"> [1]!cb_clause_putoption_resellingpriceexplaination(A9)</f>
        <v>可转债持有人有权将其持有的可转债全部或部分按债券面值的103%(含当期应计利息)回售给本公司</v>
      </c>
      <c r="BA9" s="36">
        <f>[1]!cb_clause_putoption_interestdisposing(A9)</f>
        <v>0</v>
      </c>
      <c r="BB9" s="36" t="str">
        <f xml:space="preserve"> [1]!cb_clause_putoption_sellbackitem(A9)</f>
        <v>在本可转债最后两个计息年度，如果公司股票收盘价任意连续30个交易日低于当期转股价格的70%时，可转债持有人有权将其持有的可转债全部或部分按债券面值的103%（含当期应计利息）回售给本公司。若在上述交易日内发生过转股价格调整的情形，则在调整前的交易日按调整前的转股价格和收盘价格计算，在调整后的交易日按调整后的转股价格和收盘价格计算。在本可转债最后两个计息年度，可转债持有人在每年回售条件首次满足后可按上述约定条件行使回售权一次，若在首次满足回售条件而可转债持有人未在公司届时公告的回售申报期内申报并实施回售的，该计息年度不应再行使回售权</v>
      </c>
      <c r="BC9" s="36">
        <f>[1]!cb_clause_putoption_putbackperiod(A9)</f>
        <v>0</v>
      </c>
      <c r="BD9" s="36">
        <f>[1]!cb_clause_putoption_putbackstartdate(A9)</f>
        <v>0</v>
      </c>
      <c r="BE9" s="36">
        <f>[1]!cb_clause_putoption_putbackenddate(A9)</f>
        <v>0</v>
      </c>
      <c r="BF9" s="36">
        <f xml:space="preserve"> [1]!cb_clause_putoption_putbackprice(A9)</f>
        <v>0</v>
      </c>
      <c r="BG9" s="36">
        <f>[1]!cb_clause_putoption_putbackclause(A9)</f>
        <v>0</v>
      </c>
      <c r="BH9" s="36">
        <f>[1]!cb_clause_putoption_timeputbacktimes(A9)</f>
        <v>0</v>
      </c>
      <c r="BI9" s="36">
        <f>[1]!cb_clause_putoption_timeputbackclause(A9)</f>
        <v>0</v>
      </c>
      <c r="BJ9" s="36" t="str">
        <f>[1]!cb_clause_putoption_additionalpricememo(A9)</f>
        <v>可转债持有人有权将其持有的可转债全部或部分按债券面值加当期应计利息的价格回售给公司。</v>
      </c>
      <c r="BK9" s="36" t="str">
        <f>[1]!cb_clause_putoption_putbackadditionalcondition(A9)</f>
        <v>根据中国证监会的相关规定被视作改变募集资金用途或被中国证监会认定为改变募集资金用途的，公司本次发行的可转债持有人享有一次回售的权利。</v>
      </c>
    </row>
    <row r="10" spans="1:63" x14ac:dyDescent="0.15">
      <c r="A10" s="34" t="s">
        <v>89</v>
      </c>
      <c r="B10" s="35" t="str">
        <f xml:space="preserve"> [1]!cb_info_name(A10)</f>
        <v>济川转债</v>
      </c>
      <c r="C10" s="36" t="str">
        <f>[1]!cb_clause_interest(A10,5)</f>
        <v>否</v>
      </c>
      <c r="D10" s="36" t="str">
        <f>[1]!cb_clause_interest(A10,8)</f>
        <v>是</v>
      </c>
      <c r="E10" s="36">
        <f>[1]!cb_clause_interest(A10,3)</f>
        <v>0</v>
      </c>
      <c r="F10" s="36" t="str">
        <f xml:space="preserve"> [1]!cb_clause_interest(A10,6)</f>
        <v>在本次发行的可转债期满后五个交易日内，公司将以本次发行的可转债的票面面值加上最后一期年度利息的价格向投资者兑付全部未转股的可转债。</v>
      </c>
      <c r="G10" s="36" t="str">
        <f>[1]!cb_clause_interest(A10,4)</f>
        <v>第一年0.2%、第二年0.5%、第三年0.8%、第四年1.5%、第五年6%。</v>
      </c>
      <c r="H10" s="36" t="str">
        <f>[1]!cb_clause_interest(A10,7)</f>
        <v>A.本次发行的可转债采用每年付息一次的付息方式，计息起始日为可转债发行首日。B.付息日：每年的付息日为本次发行的可转债发行首日起每满一年的当日。如该日为法定节假日或休息日，则顺延至下一个工作日，顺延期间不另付息。每相邻的两个付息日之间为一个计息年度。C.付息债权登记日：每年的付息债权登记日为每年付息日的前一交易日，公司将在每年付息日之后的5个交易日内支付当年利息。在付息债权登记日前（包括付息债权登记日）申请转换成公司股票的可转债，公司不再向其持有人支付本计息年度及以后计息年度的利息。D.可转债持有人所获得利息收入的应付税项由持有人承担。</v>
      </c>
      <c r="I10" s="36">
        <f>[1]!cb_clause_conversion_2_relativeswapsharemonth(A10)</f>
        <v>6</v>
      </c>
      <c r="J10" s="36" t="str">
        <f>[1]!cb_clause_conversion_2_swapsharestartdate(A10)</f>
        <v>2018-05-13</v>
      </c>
      <c r="K10" s="36" t="str">
        <f>[1]!cb_clause_conversion_2_swapshareenddate(A10)</f>
        <v>2022-11-13</v>
      </c>
      <c r="L10" s="36" t="str">
        <f>[1]!cb_clause_conversion_2_isforced(A10)</f>
        <v>否</v>
      </c>
      <c r="M10" s="36">
        <f xml:space="preserve"> [1]!cb_clause_conversion_2_forceconvertdate(A10)</f>
        <v>0</v>
      </c>
      <c r="N10" s="36">
        <f>[1]!cb_clause_conversion_2_forceconvertprice(A10)</f>
        <v>0</v>
      </c>
      <c r="O10" s="37">
        <f ca="1">[1]!cb_clause_conversion2_swapshareprice(A10,$O$3)</f>
        <v>41.04</v>
      </c>
      <c r="P10" s="36" t="str">
        <f>[1]!b_clause_conversion_code(A10)</f>
        <v>190038</v>
      </c>
      <c r="Q10" s="38">
        <f ca="1">[1]!cb_clause_conversion2_conversionproportion(A10,$Q$3)</f>
        <v>2.4366471734892787</v>
      </c>
      <c r="R10" s="36">
        <f ca="1">[1]!cb_clause_conversion2_bondlot(A10,$R$3)/10000</f>
        <v>84316</v>
      </c>
      <c r="S10" s="36">
        <f ca="1">[1]!cb_clause_conversion2_bondproportion(A10,$S$3)</f>
        <v>100</v>
      </c>
      <c r="T10" s="36" t="str">
        <f>[1]!cb_clause_conversion_2_conversionproportion(A10)</f>
        <v>是</v>
      </c>
      <c r="U10" s="36" t="str">
        <f>[1]!cb_clause_conversion2_tosharepriceadjustitem(A10)</f>
        <v>在本次发行之后，若公司发生派送红股、转增股本、增发新股（不包括因本次发行的可转债转股而增加的股本）、配股以及派发现金股利等情况，将按下述公式进行转股价格的调整（保留小数点后两位，最后一位四舍五入）：派送红股或转增股本：P1＝P0/（1+n）；增发新股或配股：P1＝（P0+A×k）/（1+k）；上述两项同时进行：P1＝（P0+A×k）/（1+n+k）；派送现金股利：P1＝P0-D；上述三项同时进行：P1＝（P0-D+A×k）/（1+n+k）。其中：P1为调整后转股价，P0为调整前转股价，n为送股或转增股本率，A为增发新股价或配股价，k为增发新股或配股率，D为每股派送现金股利。</v>
      </c>
      <c r="V10" s="36" t="str">
        <f>[1]!cb_clause_reset_item(A10)</f>
        <v>在本次发行的可转债存续期间，当公司股票在任意连续三十个交易日中至少有十个交易日的收盘价低于当期转股价格的80%时，公司董事会有权提出转股价格向下修正方案并提交公司股东大会表决。上述方案须经出席会议的股东所持表决权的三分之二以上通过方可实施。股东大会进行表决时，持有本次发行的可转债的股东应当回避。修正后的转股价格应不低于本次股东大会召开日前二十个交易日公司股票交易均价和前一交易日均价之间的较高者。若在前述三十个交易日内发生过转股价格调整的情形，则在转股价格调整日前的交易日按调整前的转股价格和收盘价计算，在转股价格调整日及之后的交易日按调整后的转股价格和收盘价计算。</v>
      </c>
      <c r="W10" s="36" t="str">
        <f xml:space="preserve"> [1]!cb_clause_reset_isexitreset(A10)</f>
        <v>是</v>
      </c>
      <c r="X10" s="36" t="str">
        <f xml:space="preserve"> [1]!cb_clause_reset_resetstartdate(A10)</f>
        <v>2017-11-13</v>
      </c>
      <c r="Y10" s="36" t="str">
        <f xml:space="preserve"> [1]!cb_clause_reset_resetperiodenddate(A10)</f>
        <v>2022-11-13</v>
      </c>
      <c r="Z10" s="36">
        <f>[1]!cb_clause_reset_resetmaxtimespan(A10)</f>
        <v>30</v>
      </c>
      <c r="AA10" s="36">
        <f>[1]!cb_clause_reset_resettimespan(A10)</f>
        <v>10</v>
      </c>
      <c r="AB10" s="36">
        <f>[1]!cb_clause_reset_resettriggerratio(A10)</f>
        <v>80</v>
      </c>
      <c r="AC10" s="36" t="str">
        <f>[1]!cb_clause_reset_referencepriceisanverage(A10)</f>
        <v>否</v>
      </c>
      <c r="AD10" s="36">
        <f>[1]!cb_clause_reset_resetrange(A10)</f>
        <v>0</v>
      </c>
      <c r="AE10" s="36" t="str">
        <f>[1]!cb_clause_reset_stockpricelowestlimit(A10)</f>
        <v>不低于本次股东大会召开日前二十个交易日公司股票交易均价和前一交易日均价之间的较高者</v>
      </c>
      <c r="AF10" s="36">
        <f>[1]!cb_clause_reset_resettimeslimit(A10)</f>
        <v>0</v>
      </c>
      <c r="AG10" s="36">
        <f xml:space="preserve">  [1]!cb_clause_reset_timepointclause(A10)</f>
        <v>0</v>
      </c>
      <c r="AH10" s="36">
        <f xml:space="preserve"> [1]!cb_clause_calloption_relativecalloptionperiod(A10)</f>
        <v>6</v>
      </c>
      <c r="AI10" s="36" t="str">
        <f xml:space="preserve"> [1]!cb_clause_calloption_redemptiontimesperyear(A10)</f>
        <v>不限次数</v>
      </c>
      <c r="AJ10" s="36" t="str">
        <f>[1]!cb_clause_calloption_conditionalredeemstartdate(A10)</f>
        <v>2018-05-13</v>
      </c>
      <c r="AK10" s="36">
        <f>[1]!cb_clause_calloption_redeemmaxspan(A10)</f>
        <v>30</v>
      </c>
      <c r="AL10" s="36">
        <f>[1]!cb_clause_calloption_redeemspan(A10)</f>
        <v>15</v>
      </c>
      <c r="AM10" s="36">
        <f>[1]!cb_clause_calloption_triggerproportion(A10)</f>
        <v>125</v>
      </c>
      <c r="AN10" s="36">
        <f xml:space="preserve"> [1]!cb_clause_calloption_redemptionprice(A10)</f>
        <v>0</v>
      </c>
      <c r="AO10" s="36" t="str">
        <f>[1]!cb_clause_calloption_redemptionmemo(A10)</f>
        <v>按照债券面值加当期应计利息的价格赎回全部或部分未转股的可转债</v>
      </c>
      <c r="AP10" s="36" t="str">
        <f>[1]!cb_clause_calloption_redeemitem(A10)</f>
        <v>①到期赎回条款在本次发行的可转债期满后五个交易日内，公司将以本次发行的可转债的票面面值加上最后一期年度利息的价格向投资者兑付全部未转股的可转债。②有条件赎回条款在本次发行的可转债转股期内，当下述两种情形的任意一种出现时，公司董事会有权决定按照债券面值加当期应计利息的价格赎回全部或部分未转股的可转债：A.在本次发行的可转债转股期内，如果公司A股股票连续30个交易日中至少有15个交易日的收盘价格不低于当期转股价格的125%（含125%）。B.当本次发行的可转债未转股余额不足3,000万元时。</v>
      </c>
      <c r="AQ10" s="36" t="str">
        <f xml:space="preserve"> [1]!cb_clause_calloption_iswithtimeredemptionclause(A10)</f>
        <v>否</v>
      </c>
      <c r="AR10" s="36">
        <f>[1]!cb_clause_calloption_timeredemptiontimes(A10)</f>
        <v>0</v>
      </c>
      <c r="AS10" s="36">
        <f>[1]!cb_clause_calloption_redeemclause(A10)</f>
        <v>0</v>
      </c>
      <c r="AT10" s="36">
        <f xml:space="preserve"> [1]!cb_clause_putoption_putbackperiodobs(A10)</f>
        <v>36</v>
      </c>
      <c r="AU10" s="36" t="str">
        <f>[1]!cb_clause_putoption_conditionalputbackstartenddate(A10)</f>
        <v>2020-11-13</v>
      </c>
      <c r="AV10" s="36">
        <f xml:space="preserve"> [1]!cb_clause_putoption_conditionalputbackenddate(A10)</f>
        <v>0</v>
      </c>
      <c r="AW10" s="36">
        <f xml:space="preserve"> [1]!cb_clause_putoption_putbacktriggermaxspan(A10)</f>
        <v>30</v>
      </c>
      <c r="AX10" s="36">
        <f>[1]!cb_clause_putoption_redeem_triggerproportion(A10)</f>
        <v>50</v>
      </c>
      <c r="AY10" s="36">
        <f>[1]!cb_clause_putoption_resellingprice(A10)</f>
        <v>0</v>
      </c>
      <c r="AZ10" s="36" t="str">
        <f xml:space="preserve"> [1]!cb_clause_putoption_resellingpriceexplaination(A10)</f>
        <v>将其持有的可转债全部或部分按面值加上当期应计利息的价格回售给公司</v>
      </c>
      <c r="BA10" s="36">
        <f>[1]!cb_clause_putoption_interestdisposing(A10)</f>
        <v>0</v>
      </c>
      <c r="BB10" s="36" t="str">
        <f xml:space="preserve"> [1]!cb_clause_putoption_sellbackitem(A10)</f>
        <v>①有条件回售条款在本次发行的可转债最后两个计息年度，如果公司股票在任何连续三十个交易日的收盘价格低于当期转股价的50%时，可转债持有人有权将其持有的可转债全部或部分按面值加上当期应计利息的价格回售给公司。若在上述交易日内发生过转股价格因发生送红股、转增股本、增发新股（不包括因本次发行的可转债转股而增加的股本）、配股以及派发现金股利等情况而调整的情形，则在调整前的交易日按调整前的转股价格和收盘价格计算，在调整后的交易日按调整后的转股价格和收盘价格计算。如果出现转股价格向下修正的情况，则上述“连续三十个交易日”须从转股价格调整之后的第一个交易日起重新计算（当期应计利息的计算方式参见赎回条款的相关内容）。最后两个计息年度可转债持有人在每年回售条件首次满足后可按上述约定条件行使回售权一次，若在首次满足回售条件而可转债持有人未在公司届时公告的回售申报期内申报并实施回售的，该计息年度不能再行使回售权，可转债持有人不能多次行使部分回售权。</v>
      </c>
      <c r="BC10" s="36">
        <f>[1]!cb_clause_putoption_putbackperiod(A10)</f>
        <v>0</v>
      </c>
      <c r="BD10" s="36">
        <f>[1]!cb_clause_putoption_putbackstartdate(A10)</f>
        <v>0</v>
      </c>
      <c r="BE10" s="36">
        <f>[1]!cb_clause_putoption_putbackenddate(A10)</f>
        <v>0</v>
      </c>
      <c r="BF10" s="36">
        <f xml:space="preserve"> [1]!cb_clause_putoption_putbackprice(A10)</f>
        <v>0</v>
      </c>
      <c r="BG10" s="36">
        <f>[1]!cb_clause_putoption_putbackclause(A10)</f>
        <v>0</v>
      </c>
      <c r="BH10" s="36">
        <f>[1]!cb_clause_putoption_timeputbacktimes(A10)</f>
        <v>0</v>
      </c>
      <c r="BI10" s="36">
        <f>[1]!cb_clause_putoption_timeputbackclause(A10)</f>
        <v>0</v>
      </c>
      <c r="BJ10" s="36" t="str">
        <f>[1]!cb_clause_putoption_additionalpricememo(A10)</f>
        <v>将其持有的可转债全部或部分按债券面值加上当期应计利息价格回售给公司</v>
      </c>
      <c r="BK10" s="36" t="str">
        <f>[1]!cb_clause_putoption_putbackadditionalcondition(A10)</f>
        <v>若公司本次发行的可转债募集资金投资项目的实施情况与公司在募集说明书中的承诺情况相比出现重大变化，根据中国证监会的相关规定被视作改变募集资金用途或被中国证监会认定为改变募集资金用途的</v>
      </c>
    </row>
    <row r="11" spans="1:63" x14ac:dyDescent="0.15">
      <c r="A11" s="34" t="s">
        <v>266</v>
      </c>
      <c r="B11" s="35" t="str">
        <f xml:space="preserve"> [1]!cb_info_name(A11)</f>
        <v>宝信转债</v>
      </c>
      <c r="C11" s="36" t="str">
        <f>[1]!cb_clause_interest(A11,5)</f>
        <v>否</v>
      </c>
      <c r="D11" s="36" t="str">
        <f>[1]!cb_clause_interest(A11,8)</f>
        <v>是</v>
      </c>
      <c r="E11" s="36">
        <f>[1]!cb_clause_interest(A11,3)</f>
        <v>1.7666999999999999</v>
      </c>
      <c r="F11" s="36" t="str">
        <f xml:space="preserve"> [1]!cb_clause_interest(A11,6)</f>
        <v>本次发行可转债到期后五个交易日内，公司将按债券面值的106%（含最后一期利息）的价格赎回未转股的可转债。</v>
      </c>
      <c r="G11" s="36" t="str">
        <f>[1]!cb_clause_interest(A11,4)</f>
        <v>第一年为0.3%、第二年为0.5%、第三年为1.0%、第四年为1.3%、第五年为1.5%、第六年为1.8%</v>
      </c>
      <c r="H11" s="36" t="str">
        <f>[1]!cb_clause_interest(A11,7)</f>
        <v>本次发行可转债每年付息一次，到期归还本金和最后一年利息。①本次发行可转债每年付息一次，计息起始日为可转债发行首日。②付息日： 每年付息日为本次可转债发行首日起每满一年的当日。如该日为法定节假日或休息日，则顺延至下一个交易日，顺延期间不另付息。每相邻的两个付息日之间为一个计息年度。转股年度有关利息和股利的归属等事项，由董事会根据相关法律法规及上海证券交易所的规定确定。③付息债权登记日：每年付息债权登记日为每年付息日前一个交易日，公司将在每年付息日之后五个交易日内支付当年利息。在付息债权登记日前（包括付息债权登记日）转换成股票的可转债不享受当年度及以后计息年度利息。④可转债持有人所获利息收入的应付税项由持有人承担。</v>
      </c>
      <c r="I11" s="36">
        <f>[1]!cb_clause_conversion_2_relativeswapsharemonth(A11)</f>
        <v>6</v>
      </c>
      <c r="J11" s="36" t="str">
        <f>[1]!cb_clause_conversion_2_swapsharestartdate(A11)</f>
        <v>2018-05-17</v>
      </c>
      <c r="K11" s="36" t="str">
        <f>[1]!cb_clause_conversion_2_swapshareenddate(A11)</f>
        <v>2023-11-17</v>
      </c>
      <c r="L11" s="36" t="str">
        <f>[1]!cb_clause_conversion_2_isforced(A11)</f>
        <v>否</v>
      </c>
      <c r="M11" s="36">
        <f xml:space="preserve"> [1]!cb_clause_conversion_2_forceconvertdate(A11)</f>
        <v>0</v>
      </c>
      <c r="N11" s="36">
        <f>[1]!cb_clause_conversion_2_forceconvertprice(A11)</f>
        <v>0</v>
      </c>
      <c r="O11" s="37">
        <f ca="1">[1]!cb_clause_conversion2_swapshareprice(A11,$O$3)</f>
        <v>18.46</v>
      </c>
      <c r="P11" s="36" t="str">
        <f>[1]!b_clause_conversion_code(A11)</f>
        <v>190039</v>
      </c>
      <c r="Q11" s="38">
        <f ca="1">[1]!cb_clause_conversion2_conversionproportion(A11,$Q$3)</f>
        <v>5.4171180931744312</v>
      </c>
      <c r="R11" s="36">
        <f ca="1">[1]!cb_clause_conversion2_bondlot(A11,$R$3)/10000</f>
        <v>160000</v>
      </c>
      <c r="S11" s="36">
        <f ca="1">[1]!cb_clause_conversion2_bondproportion(A11,$S$3)</f>
        <v>100</v>
      </c>
      <c r="T11" s="36" t="str">
        <f>[1]!cb_clause_conversion_2_conversionproportion(A11)</f>
        <v>是</v>
      </c>
      <c r="U11" s="36" t="str">
        <f>[1]!cb_clause_conversion2_tosharepriceadjustitem(A11)</f>
        <v>在本次发行之后，当公司发生派送股票股利、转增股本、增发新股（不包括因本次发行的可转债转股而增加的股本）、配股以及派发现金股利等情况时，公司将按上述条件出现的先后顺序，依次对转股价格进行累积调整，具体调整办法如下：派送股票股利或转增股本：P1=P0/（1+n）；增发新股或配股：P1=（P0+A×k）/（1+k）；上述两项同时进行：P1=（P0+A×k）/（1+n+k）；派发现金股利：P1=P0-D；上述三项同时进行：P1＝（P0－D＋A×k）/（1+n+k）。其中：P0为调整前有效的转股价，n为该次送股率或转增股本率，k为该次增发新股率或配股率，A为该次增发新股价或配股价，D为该次每股派送现金股利，P1为调整后有效的转股价。公司出现上述股份和/或股东权益变化时，将依次进行转股价格调整，并公告转股价格调整日、调整办法及暂停转股期间（如需）。当转股价格调整日为本次发行可转债持有人转股申请日或之后，转换股份登记日之前，则该持有人的转股申请按调整后的转股价格执行。</v>
      </c>
      <c r="V11" s="36" t="str">
        <f>[1]!cb_clause_reset_item(A11)</f>
        <v>在可转债存续期间，当公司A股股票在任意30个连续交易日中至少15个交易日的收盘价格低于当期转股价格的85%时，董事会有权提出转股价格向下修正方案并提交股东大会表决，该方案须经出席会议股东所持表决权的2/3以上通过方可实施。股东大会表决时，持有公司本次发行可转债的股东应当回避。修正后的转股价格应不低于该次股东大会召开日前20个交易日公司A股股票交易均价和前1个交易日的公司A股股票交易均价，同时修正后的转股价格不得低于最近一期经审计的每股净资产值和股票面值。若在前述30个交易日内发生过转股价格调整的情形，则调整前的交易日按调整前的转股价格和收盘价格计算，调整后的交易日按调整后的转股价格和收盘价格计算。</v>
      </c>
      <c r="W11" s="36" t="str">
        <f xml:space="preserve"> [1]!cb_clause_reset_isexitreset(A11)</f>
        <v>是</v>
      </c>
      <c r="X11" s="36" t="str">
        <f xml:space="preserve"> [1]!cb_clause_reset_resetstartdate(A11)</f>
        <v>2017-11-17</v>
      </c>
      <c r="Y11" s="36" t="str">
        <f xml:space="preserve"> [1]!cb_clause_reset_resetperiodenddate(A11)</f>
        <v>2023-11-17</v>
      </c>
      <c r="Z11" s="36">
        <f>[1]!cb_clause_reset_resetmaxtimespan(A11)</f>
        <v>30</v>
      </c>
      <c r="AA11" s="36">
        <f>[1]!cb_clause_reset_resettimespan(A11)</f>
        <v>15</v>
      </c>
      <c r="AB11" s="36">
        <f>[1]!cb_clause_reset_resettriggerratio(A11)</f>
        <v>85</v>
      </c>
      <c r="AC11" s="36" t="str">
        <f>[1]!cb_clause_reset_referencepriceisanverage(A11)</f>
        <v>否</v>
      </c>
      <c r="AD11" s="36">
        <f>[1]!cb_clause_reset_resetrange(A11)</f>
        <v>0</v>
      </c>
      <c r="AE11" s="36" t="str">
        <f>[1]!cb_clause_reset_stockpricelowestlimit(A11)</f>
        <v>不低于该次股东大会召开日前20，1个交易日公司A股股票交易均价，每股净资产值和股票面值</v>
      </c>
      <c r="AF11" s="36">
        <f>[1]!cb_clause_reset_resettimeslimit(A11)</f>
        <v>0</v>
      </c>
      <c r="AG11" s="36">
        <f xml:space="preserve">  [1]!cb_clause_reset_timepointclause(A11)</f>
        <v>0</v>
      </c>
      <c r="AH11" s="36">
        <f xml:space="preserve"> [1]!cb_clause_calloption_relativecalloptionperiod(A11)</f>
        <v>6</v>
      </c>
      <c r="AI11" s="36" t="str">
        <f xml:space="preserve"> [1]!cb_clause_calloption_redemptiontimesperyear(A11)</f>
        <v>不限次数</v>
      </c>
      <c r="AJ11" s="36" t="str">
        <f>[1]!cb_clause_calloption_conditionalredeemstartdate(A11)</f>
        <v>2018-05-17</v>
      </c>
      <c r="AK11" s="36">
        <f>[1]!cb_clause_calloption_redeemmaxspan(A11)</f>
        <v>30</v>
      </c>
      <c r="AL11" s="36">
        <f>[1]!cb_clause_calloption_redeemspan(A11)</f>
        <v>15</v>
      </c>
      <c r="AM11" s="36">
        <f>[1]!cb_clause_calloption_triggerproportion(A11)</f>
        <v>130</v>
      </c>
      <c r="AN11" s="36">
        <f xml:space="preserve"> [1]!cb_clause_calloption_redemptionprice(A11)</f>
        <v>0</v>
      </c>
      <c r="AO11" s="36" t="str">
        <f>[1]!cb_clause_calloption_redemptionmemo(A11)</f>
        <v>按照以债券面值加当期应计利息的价格赎回全部或部分未转股的可转债</v>
      </c>
      <c r="AP11" s="36" t="str">
        <f>[1]!cb_clause_calloption_redeemitem(A11)</f>
        <v>（1）到期赎回本次发行可转债到期后五个交易日内，公司将按债券面值的106%（含最后一期利息）的价格赎回未转股的可转债。（2）有条件赎回在转股期内，当下述任意一种情形出现时，公司有权决定按照以债券面值加当期应计利息的价格赎回全部或部分未转股的可转债：1）公司A股股票在任何连续30个交易日中至少15个交易日收盘价格不低于当期转股价格的130%；2）当本次发行可转债未转股余额不足3,000万元时。</v>
      </c>
      <c r="AQ11" s="36" t="str">
        <f xml:space="preserve"> [1]!cb_clause_calloption_iswithtimeredemptionclause(A11)</f>
        <v>否</v>
      </c>
      <c r="AR11" s="36">
        <f>[1]!cb_clause_calloption_timeredemptiontimes(A11)</f>
        <v>0</v>
      </c>
      <c r="AS11" s="36">
        <f>[1]!cb_clause_calloption_redeemclause(A11)</f>
        <v>0</v>
      </c>
      <c r="AT11" s="36">
        <f xml:space="preserve"> [1]!cb_clause_putoption_putbackperiodobs(A11)</f>
        <v>48</v>
      </c>
      <c r="AU11" s="36" t="str">
        <f>[1]!cb_clause_putoption_conditionalputbackstartenddate(A11)</f>
        <v>2021-11-17</v>
      </c>
      <c r="AV11" s="36">
        <f xml:space="preserve"> [1]!cb_clause_putoption_conditionalputbackenddate(A11)</f>
        <v>0</v>
      </c>
      <c r="AW11" s="36">
        <f xml:space="preserve"> [1]!cb_clause_putoption_putbacktriggermaxspan(A11)</f>
        <v>30</v>
      </c>
      <c r="AX11" s="36">
        <f>[1]!cb_clause_putoption_redeem_triggerproportion(A11)</f>
        <v>70</v>
      </c>
      <c r="AY11" s="36">
        <f>[1]!cb_clause_putoption_resellingprice(A11)</f>
        <v>0</v>
      </c>
      <c r="AZ11" s="36" t="str">
        <f xml:space="preserve"> [1]!cb_clause_putoption_resellingpriceexplaination(A11)</f>
        <v>将其持有的全部或部分可转债按面值加上当期应计利息的价格回售给公司</v>
      </c>
      <c r="BA11" s="36">
        <f>[1]!cb_clause_putoption_interestdisposing(A11)</f>
        <v>0</v>
      </c>
      <c r="BB11" s="36" t="str">
        <f xml:space="preserve"> [1]!cb_clause_putoption_sellbackitem(A11)</f>
        <v>（1）有条件回售在可转债最后两个计息年度内，如果公司A股股票任何连续30个交易日收盘价格低于当期转股价格的70%，可转债持有人有权将其持有的全部或部分可转债按面值加上当期应计利息的价格回售给公司。若在上述30个交易日内发生过转股价格调整的情形，则调整前的交易日按调整前的转股价格和收盘价格计算，调整后的交易日按调整后的转股价格和收盘价格计算。如果出现转股价格向下修正的情况，则上述连续30个交易日须从转股价格向下修正之后的第一个交易日起重新计算。在可转债最后两个计息年度内，可转债持有人在每年回售条件首次满足后可按上述约定条件行使回售权一次；若首次满足回售条件而可转债持有人未在公司届时公告的回售申报期内申报并实施回售的，该计息年度不应再行使回售权，可转债持有人不能多次行使部分回售权。</v>
      </c>
      <c r="BC11" s="36">
        <f>[1]!cb_clause_putoption_putbackperiod(A11)</f>
        <v>0</v>
      </c>
      <c r="BD11" s="36">
        <f>[1]!cb_clause_putoption_putbackstartdate(A11)</f>
        <v>0</v>
      </c>
      <c r="BE11" s="36">
        <f>[1]!cb_clause_putoption_putbackenddate(A11)</f>
        <v>0</v>
      </c>
      <c r="BF11" s="36">
        <f xml:space="preserve"> [1]!cb_clause_putoption_putbackprice(A11)</f>
        <v>0</v>
      </c>
      <c r="BG11" s="36">
        <f>[1]!cb_clause_putoption_putbackclause(A11)</f>
        <v>0</v>
      </c>
      <c r="BH11" s="36">
        <f>[1]!cb_clause_putoption_timeputbacktimes(A11)</f>
        <v>0</v>
      </c>
      <c r="BI11" s="36">
        <f>[1]!cb_clause_putoption_timeputbackclause(A11)</f>
        <v>0</v>
      </c>
      <c r="BJ11" s="36" t="str">
        <f>[1]!cb_clause_putoption_additionalpricememo(A11)</f>
        <v>可转债持有人有权将其持有的全部或部分可转债按债券面值加上当期应计利息的价格回售给公司</v>
      </c>
      <c r="BK11" s="36" t="str">
        <f>[1]!cb_clause_putoption_putbackadditionalcondition(A11)</f>
        <v>若公司本次发行可转债募集资金投资项目实施情况与公司在募集说明书中的承诺情况相比出现重大变化，根据中国证监会的相关规定被视作改变募集资金用途或被中国证监会认定为改变募集资金用途的，</v>
      </c>
    </row>
    <row r="12" spans="1:63" x14ac:dyDescent="0.15">
      <c r="A12" s="34" t="s">
        <v>90</v>
      </c>
      <c r="B12" s="35" t="str">
        <f xml:space="preserve"> [1]!cb_info_name(A12)</f>
        <v>电气转债</v>
      </c>
      <c r="C12" s="36" t="str">
        <f>[1]!cb_clause_interest(A12,5)</f>
        <v>否</v>
      </c>
      <c r="D12" s="36" t="str">
        <f>[1]!cb_clause_interest(A12,8)</f>
        <v>是</v>
      </c>
      <c r="E12" s="36">
        <f>[1]!cb_clause_interest(A12,3)</f>
        <v>1.8833</v>
      </c>
      <c r="F12" s="36" t="str">
        <f xml:space="preserve"> [1]!cb_clause_interest(A12,6)</f>
        <v>在本次发行的可转债期满后五个交易日内，本公司将以本次发行的可转债的票面面值上浮6.6%的价格（含最后一期年度利息）向投资者赎回全部未转股的可转债。</v>
      </c>
      <c r="G12" s="36" t="str">
        <f>[1]!cb_clause_interest(A12,4)</f>
        <v>票面利率：第一年为0.2%、第二年为0.5%、第三年为1.0%、第四年为1.5%、第五年为1.5%、第六年为1.6%。</v>
      </c>
      <c r="H12" s="36" t="str">
        <f>[1]!cb_clause_interest(A12,7)</f>
        <v>本次发行的可转债采用每年付息一次的付息方式，计息起始日为可转债发行首日，即2015年2月2日。每年的付息日为本次发行的可转债发行首日起每满一年的当日，如该日为法定节假日或休息日，则顺延至下一工作日，顺延期间不另付息，每相邻的两个付息日之间为一个计息年度。每年的付息债权登记日为每年付息日的前一交易日，发行人将在每年付息日之后的五个交易日内支付当年利息。在付息债权登记日前（包括付息债权登记日）申请转换成发行人A股股票的可转债，发行人不再向其持有人支付本计息年度及以后计息年度的利息。可转债持有人所获得利息收入的应付税项由持有人承担。一期年度利息）向投资者赎回全部未转股的可转债。</v>
      </c>
      <c r="I12" s="36">
        <f>[1]!cb_clause_conversion_2_relativeswapsharemonth(A12)</f>
        <v>6</v>
      </c>
      <c r="J12" s="36" t="str">
        <f>[1]!cb_clause_conversion_2_swapsharestartdate(A12)</f>
        <v>2015-08-03</v>
      </c>
      <c r="K12" s="36" t="str">
        <f>[1]!cb_clause_conversion_2_swapshareenddate(A12)</f>
        <v>2021-02-01</v>
      </c>
      <c r="L12" s="36" t="str">
        <f>[1]!cb_clause_conversion_2_isforced(A12)</f>
        <v>否</v>
      </c>
      <c r="M12" s="36">
        <f xml:space="preserve"> [1]!cb_clause_conversion_2_forceconvertdate(A12)</f>
        <v>0</v>
      </c>
      <c r="N12" s="36">
        <f>[1]!cb_clause_conversion_2_forceconvertprice(A12)</f>
        <v>0</v>
      </c>
      <c r="O12" s="37">
        <f ca="1">[1]!cb_clause_conversion2_swapshareprice(A12,$O$3)</f>
        <v>10.37</v>
      </c>
      <c r="P12" s="36" t="str">
        <f>[1]!b_clause_conversion_code(A12)</f>
        <v>191008</v>
      </c>
      <c r="Q12" s="38">
        <f ca="1">[1]!cb_clause_conversion2_conversionproportion(A12,$Q$3)</f>
        <v>9.643201542912248</v>
      </c>
      <c r="R12" s="36">
        <f ca="1">[1]!cb_clause_conversion2_bondlot(A12,$R$3)/10000</f>
        <v>599261.80000000005</v>
      </c>
      <c r="S12" s="36">
        <f ca="1">[1]!cb_clause_conversion2_bondproportion(A12,$S$3)</f>
        <v>99.88</v>
      </c>
      <c r="T12" s="36" t="str">
        <f>[1]!cb_clause_conversion_2_conversionproportion(A12)</f>
        <v>是</v>
      </c>
      <c r="U12" s="36" t="str">
        <f>[1]!cb_clause_conversion2_tosharepriceadjustitem(A12)</f>
        <v>在本次发行之后，当公司发生送红股、增发新股或配股、派息等情况时，将按下述公式进行转股价格的调整：送股或转增股本:P1=P0/（1+n）；增发新股或配股：P1=（P0+A×k）/（1+k）；两项同时进行：P1=（P0+A×k）/（1+n+k）；派息：P1=P0-D；上述三项同时进行：P1＝（P0－D＋A×k）/（1+n+k）。其中：P0为初始转股价，n为送股或转增股本率，k为增发新股或配股率，A为增发新股价或配股价，D为每股派息，P1为调整后转股价。当公司出现上述股份和/或股东权益变化情况时，将依次进行转股价格调整，并在中国证监会指定的上市公司信息披露媒体上刊登董事会决议公告，并于公告中载明转股价格调整日、调整办法及暂停转股时期（如需）。当转股价格调整日为本次发行的可转债持有人转股申请日或之后，转换股票登记日之前，则该持有人的转股申请按本公司调整后的转股价格执行。20170705:最新转股价格为10.65元/股。20171023：电气转债的转股价由目前的10.65元/股调整为10.46元/股，调整后的转股价格自2017年10月24日起生效。20171108:电气转债的转股价由目前的10.46元/股调整为10.37元/股</v>
      </c>
      <c r="V12" s="36" t="str">
        <f>[1]!cb_clause_reset_item(A12)</f>
        <v>1、修正幅度及修正权限在本可转债存续期间，当本公司A股股票出现在任意连续20个交易日中至少10个交易日的收盘价低于当期转股价格85%的情况，公司董事会有权提出转股价格向下修正方案并提交本公司股东大会、内资股类别股东会议和外资股类别股东会议表决。上述方案须按照公司章程以特别决议通过方可实施。股东大会进行表决时，持有本可转债的股东应当回避。修正后的转股价格应不低于前项规定的股东大会召开日前20个交易日本公司A股股票交易均价和前一交易日本公司A股股票交易均价之较高者，同时修正后的转股价格不低于最近一年经审计的每股净资产值和股票面值。2、修正程序如公司决定向下修正转股价格，公司将在中国证监会指定的信息披露报刊及互联网网站上刊登股东大会决议公告，公告修正幅度和股权登记日及暂停转股期间；并根据香港联交所上市规则（不时经修订）及本公司公司章程要求在香港市场予以公布（如需）。从股权登记日后的第一个交易日（即转股价格修正日）开始恢复转股申请并执行修正后的转股价格。若转股价格修正日为转股申请日或之后，转换股份登记日之前，该类转股申请应按修正后的转股价格执行。</v>
      </c>
      <c r="W12" s="36" t="str">
        <f xml:space="preserve"> [1]!cb_clause_reset_isexitreset(A12)</f>
        <v>是</v>
      </c>
      <c r="X12" s="36" t="str">
        <f xml:space="preserve"> [1]!cb_clause_reset_resetstartdate(A12)</f>
        <v>2015-02-02</v>
      </c>
      <c r="Y12" s="36" t="str">
        <f xml:space="preserve"> [1]!cb_clause_reset_resetperiodenddate(A12)</f>
        <v>2021-02-02</v>
      </c>
      <c r="Z12" s="36">
        <f>[1]!cb_clause_reset_resetmaxtimespan(A12)</f>
        <v>20</v>
      </c>
      <c r="AA12" s="36">
        <f>[1]!cb_clause_reset_resettimespan(A12)</f>
        <v>10</v>
      </c>
      <c r="AB12" s="36">
        <f>[1]!cb_clause_reset_resettriggerratio(A12)</f>
        <v>85</v>
      </c>
      <c r="AC12" s="36" t="str">
        <f>[1]!cb_clause_reset_referencepriceisanverage(A12)</f>
        <v>否</v>
      </c>
      <c r="AD12" s="36">
        <f>[1]!cb_clause_reset_resetrange(A12)</f>
        <v>0</v>
      </c>
      <c r="AE12" s="36" t="str">
        <f>[1]!cb_clause_reset_stockpricelowestlimit(A12)</f>
        <v>不低于股东大会前20个交易日股票交易均价和前1交易日的交易均价,不得低于最近1期每股净资产值和股票面值</v>
      </c>
      <c r="AF12" s="36">
        <f>[1]!cb_clause_reset_resettimeslimit(A12)</f>
        <v>0</v>
      </c>
      <c r="AG12" s="36">
        <f xml:space="preserve">  [1]!cb_clause_reset_timepointclause(A12)</f>
        <v>0</v>
      </c>
      <c r="AH12" s="36">
        <f xml:space="preserve"> [1]!cb_clause_calloption_relativecalloptionperiod(A12)</f>
        <v>6</v>
      </c>
      <c r="AI12" s="36" t="str">
        <f xml:space="preserve"> [1]!cb_clause_calloption_redemptiontimesperyear(A12)</f>
        <v>不限次数</v>
      </c>
      <c r="AJ12" s="36" t="str">
        <f>[1]!cb_clause_calloption_conditionalredeemstartdate(A12)</f>
        <v>2015-08-03</v>
      </c>
      <c r="AK12" s="36">
        <f>[1]!cb_clause_calloption_redeemmaxspan(A12)</f>
        <v>30</v>
      </c>
      <c r="AL12" s="36">
        <f>[1]!cb_clause_calloption_redeemspan(A12)</f>
        <v>15</v>
      </c>
      <c r="AM12" s="36">
        <f>[1]!cb_clause_calloption_triggerproportion(A12)</f>
        <v>130</v>
      </c>
      <c r="AN12" s="36">
        <f xml:space="preserve"> [1]!cb_clause_calloption_redemptionprice(A12)</f>
        <v>0</v>
      </c>
      <c r="AO12" s="36" t="str">
        <f>[1]!cb_clause_calloption_redemptionmemo(A12)</f>
        <v>按照债券面值加当期应计利息赎回部分或者全部可转债</v>
      </c>
      <c r="AP12" s="36" t="str">
        <f>[1]!cb_clause_calloption_redeemitem(A12)</f>
        <v>（1）到期赎回条款：在本次发行的可转债期满后五个交易日内，本公司将以本次发行的可转债的票面面值上浮6.6%（含最后一期年度利息）的价格向投资者赎回全部未转股的可转债。（2）有条件赎回条款：在本可转债转股期内，如果公司股票任意连续30个交易日中至少有15个交易日的收盘价不低于当期转股价格的130%（含130%）或未转股余额不足3,000万元，公司有权按照债券面值加当期应计利息赎回部分或者全部可转债。若在上述交易日内发生过转股价格调整的情形，则在调整前的交易日按调整前的转股价格和收盘价格计算，在调整后的交易日按调整后的转股价格和收盘价格计算。当期应计利息的计算公式为：IA=B×i×t/365IA：指当期应计利息；B：指本次发行的可转债持有人持有的可转债票面总金额；i：指可转债当年票面利率；t：指计息天数，即从上一个付息日起至本计息年度赎回日止的实际日历天数（算头不算尾）。</v>
      </c>
      <c r="AQ12" s="36" t="str">
        <f xml:space="preserve"> [1]!cb_clause_calloption_iswithtimeredemptionclause(A12)</f>
        <v>否</v>
      </c>
      <c r="AR12" s="36">
        <f>[1]!cb_clause_calloption_timeredemptiontimes(A12)</f>
        <v>0</v>
      </c>
      <c r="AS12" s="36">
        <f>[1]!cb_clause_calloption_redeemclause(A12)</f>
        <v>0</v>
      </c>
      <c r="AT12" s="36">
        <f xml:space="preserve"> [1]!cb_clause_putoption_putbackperiodobs(A12)</f>
        <v>48</v>
      </c>
      <c r="AU12" s="36" t="str">
        <f>[1]!cb_clause_putoption_conditionalputbackstartenddate(A12)</f>
        <v>2019-02-02</v>
      </c>
      <c r="AV12" s="36">
        <f xml:space="preserve"> [1]!cb_clause_putoption_conditionalputbackenddate(A12)</f>
        <v>0</v>
      </c>
      <c r="AW12" s="36">
        <f xml:space="preserve"> [1]!cb_clause_putoption_putbacktriggermaxspan(A12)</f>
        <v>30</v>
      </c>
      <c r="AX12" s="36">
        <f>[1]!cb_clause_putoption_redeem_triggerproportion(A12)</f>
        <v>70</v>
      </c>
      <c r="AY12" s="36">
        <f>[1]!cb_clause_putoption_resellingprice(A12)</f>
        <v>103</v>
      </c>
      <c r="AZ12" s="36" t="str">
        <f xml:space="preserve"> [1]!cb_clause_putoption_resellingpriceexplaination(A12)</f>
        <v>按债券面值的103%(含当期利息)的价格回售给公司</v>
      </c>
      <c r="BA12" s="36">
        <f>[1]!cb_clause_putoption_interestdisposing(A12)</f>
        <v>0</v>
      </c>
      <c r="BB12" s="36" t="str">
        <f xml:space="preserve"> [1]!cb_clause_putoption_sellbackitem(A12)</f>
        <v>有条件回售：自本可转债最后两个计息年度起，如果公司股票收盘价连续30个交易日低于当期转股价格的70%时，可转债持有人有权将其持有的可转债全部或部分按面值的103%（含当期计息年度利息）回售给公司。若在上述交易日内发生过转股价格调整的情形，则在调整前的交易日按调整前的转股价格和收盘价格计算，在调整后的交易日按调整后的转股价格和收盘价格计算。</v>
      </c>
      <c r="BC12" s="36">
        <f>[1]!cb_clause_putoption_putbackperiod(A12)</f>
        <v>0</v>
      </c>
      <c r="BD12" s="36">
        <f>[1]!cb_clause_putoption_putbackstartdate(A12)</f>
        <v>0</v>
      </c>
      <c r="BE12" s="36">
        <f>[1]!cb_clause_putoption_putbackenddate(A12)</f>
        <v>0</v>
      </c>
      <c r="BF12" s="36">
        <f xml:space="preserve"> [1]!cb_clause_putoption_putbackprice(A12)</f>
        <v>0</v>
      </c>
      <c r="BG12" s="36">
        <f>[1]!cb_clause_putoption_putbackclause(A12)</f>
        <v>0</v>
      </c>
      <c r="BH12" s="36">
        <f>[1]!cb_clause_putoption_timeputbacktimes(A12)</f>
        <v>0</v>
      </c>
      <c r="BI12" s="36">
        <f>[1]!cb_clause_putoption_timeputbackclause(A12)</f>
        <v>0</v>
      </c>
      <c r="BJ12" s="36" t="str">
        <f>[1]!cb_clause_putoption_additionalpricememo(A12)</f>
        <v>若公司本次发行的可转债募集资金投资项目的实施情况与公司在募集说明书中的承诺情况相比出现重大变化，可转债持有人享有一次回售的权利。</v>
      </c>
      <c r="BK12" s="36" t="str">
        <f>[1]!cb_clause_putoption_putbackadditionalcondition(A12)</f>
        <v>根据中国证监会的相关规定被视作改变募集资金用途或被中国证监会认定为改变募集资金用途的，公司本次发行的可转债持有人享有一次回售的权利。</v>
      </c>
    </row>
    <row r="13" spans="1:63" x14ac:dyDescent="0.15">
      <c r="A13" s="34" t="s">
        <v>91</v>
      </c>
      <c r="B13" s="35" t="str">
        <f xml:space="preserve"> [1]!cb_info_name(A13)</f>
        <v>广汽转债</v>
      </c>
      <c r="C13" s="36" t="str">
        <f>[1]!cb_clause_interest(A13,5)</f>
        <v>否</v>
      </c>
      <c r="D13" s="36" t="str">
        <f>[1]!cb_clause_interest(A13,8)</f>
        <v>是</v>
      </c>
      <c r="E13" s="36">
        <f>[1]!cb_clause_interest(A13,3)</f>
        <v>1.7833000000000001</v>
      </c>
      <c r="F13" s="36" t="str">
        <f xml:space="preserve"> [1]!cb_clause_interest(A13,6)</f>
        <v>在本次发行的可转债期满后五个交易日内，发行人将以本次发行的可转债的票面面值的106%（含最后一期年度利息）的价格向投资者兑付全部未转股的可转债。</v>
      </c>
      <c r="G13" s="36" t="str">
        <f>[1]!cb_clause_interest(A13,4)</f>
        <v>第一年为0.2%、第二年为0.5%、第三年为1.0%、第四年为1.5%、第五年为1.5%、第六年为1.6%</v>
      </c>
      <c r="H13" s="36" t="str">
        <f>[1]!cb_clause_interest(A13,7)</f>
        <v>1）本次可转债采用每年付息一次的付息方式，计息起始日为可转债发行首日，即2016年1月22日。2）付息日：每年的付息日为本次可转债发行首日起每满一年的当日。如该日为法定节假日或休息日，则顺延至下一个工作日，顺延期间不另付息。每相邻的两个付息日之间为一个计息年度。</v>
      </c>
      <c r="I13" s="36">
        <f>[1]!cb_clause_conversion_2_relativeswapsharemonth(A13)</f>
        <v>6</v>
      </c>
      <c r="J13" s="36" t="str">
        <f>[1]!cb_clause_conversion_2_swapsharestartdate(A13)</f>
        <v>2016-07-22</v>
      </c>
      <c r="K13" s="36" t="str">
        <f>[1]!cb_clause_conversion_2_swapshareenddate(A13)</f>
        <v>2022-01-21</v>
      </c>
      <c r="L13" s="36" t="str">
        <f>[1]!cb_clause_conversion_2_isforced(A13)</f>
        <v>否</v>
      </c>
      <c r="M13" s="36">
        <f xml:space="preserve"> [1]!cb_clause_conversion_2_forceconvertdate(A13)</f>
        <v>0</v>
      </c>
      <c r="N13" s="36">
        <f>[1]!cb_clause_conversion_2_forceconvertprice(A13)</f>
        <v>0</v>
      </c>
      <c r="O13" s="37">
        <f ca="1">[1]!cb_clause_conversion2_swapshareprice(A13,$O$3)</f>
        <v>21.43</v>
      </c>
      <c r="P13" s="36" t="str">
        <f>[1]!b_clause_conversion_code(A13)</f>
        <v>191009</v>
      </c>
      <c r="Q13" s="38">
        <f ca="1">[1]!cb_clause_conversion2_conversionproportion(A13,$Q$3)</f>
        <v>4.6663555762949134</v>
      </c>
      <c r="R13" s="36">
        <f ca="1">[1]!cb_clause_conversion2_bondlot(A13,$R$3)/10000</f>
        <v>296259.7</v>
      </c>
      <c r="S13" s="36">
        <f ca="1">[1]!cb_clause_conversion2_bondproportion(A13,$S$3)</f>
        <v>67.58</v>
      </c>
      <c r="T13" s="36" t="str">
        <f>[1]!cb_clause_conversion_2_conversionproportion(A13)</f>
        <v>是</v>
      </c>
      <c r="U13" s="36" t="str">
        <f>[1]!cb_clause_conversion2_tosharepriceadjustitem(A13)</f>
        <v>（1）初始转股价格的确定依据本次发行可转债的初始转股价格为21.99元/股，不低于公布募集说明书之日前二十个交易日公司A股股票交易均价（若在该二十个交易日内发生过因除权、除息引起股价调整的情形，则对调整前交易日的收盘价按经过相应除权、除息调整后的价格计算）和前一个交易日公司A股股票交易均价。（2）转股价格的调整方式及计算公式在本次发行之后，当公司发生送红股、转增股本、增发新股（不包括因本次可转债转股而增加的股本）、配股以及派发现金股利等情况时，公司将按上述条件出现的先后顺序，依次对转股价格进行累积调整，具体调整办法如下：设调整前转股价为Po，送红股或转增股本率为N，每股增发新股或配股率为K，增发新股价或配股价为A，每股派发现金股利为D，调整后转股价为P（调整值保留小数点后两位，最后一位实行四舍五入），则：派发现金股利：P＝Po-D；送股或转增股本：P＝Po/（1+N）；增发新股或配股：P＝（Po+A×K）/（1+K）；三项同时进行时：P＝（Po-D+A×K）/（1+N+K）。20170705:目前转股价格调整为21.53元/股。20170907：广汽转债的转股价格将于2017年9月14日起由原来的21.53元/股调整为21.43元/股。调整后的转股价格自2017年9月14日起生效。</v>
      </c>
      <c r="V13" s="36" t="str">
        <f>[1]!cb_clause_reset_item(A13)</f>
        <v>在A股可转债存续期内，当公司股票在任意连续三十个交易日中至少有十五个交易日的收盘价低于当期转股价格的90%时，公司董事会有权提出转股价格向下修正方案并提交公司股东大会审议表决，该方案须经出席会议的股东所持表决权的三分之二以上通过方可实施。股东大会进行表决时，持有公司本次发行A股可转债的股东应当回避。修正后的转股价格应不低于该次股东大会召开日前二十个交易日公司A股股票交易均价和前一交易日的公司A股股票交易均价，同时，修正后的转股价格不得低于最近一期经审计的每股净资产值和股票面值。若在前述三十个交易日内发生过转股价格调整的情形，则在调整前的交易日按调整前的转股价格和收盘价计算，调整后的交易日按调整后的转股价格和收盘价计算。</v>
      </c>
      <c r="W13" s="36" t="str">
        <f xml:space="preserve"> [1]!cb_clause_reset_isexitreset(A13)</f>
        <v>是</v>
      </c>
      <c r="X13" s="36" t="str">
        <f xml:space="preserve"> [1]!cb_clause_reset_resetstartdate(A13)</f>
        <v>2016-01-22</v>
      </c>
      <c r="Y13" s="36" t="str">
        <f xml:space="preserve"> [1]!cb_clause_reset_resetperiodenddate(A13)</f>
        <v>2022-01-22</v>
      </c>
      <c r="Z13" s="36">
        <f>[1]!cb_clause_reset_resetmaxtimespan(A13)</f>
        <v>30</v>
      </c>
      <c r="AA13" s="36">
        <f>[1]!cb_clause_reset_resettimespan(A13)</f>
        <v>15</v>
      </c>
      <c r="AB13" s="36">
        <f>[1]!cb_clause_reset_resettriggerratio(A13)</f>
        <v>90</v>
      </c>
      <c r="AC13" s="36" t="str">
        <f>[1]!cb_clause_reset_referencepriceisanverage(A13)</f>
        <v>否</v>
      </c>
      <c r="AD13" s="36">
        <f>[1]!cb_clause_reset_resetrange(A13)</f>
        <v>0</v>
      </c>
      <c r="AE13" s="36" t="str">
        <f>[1]!cb_clause_reset_stockpricelowestlimit(A13)</f>
        <v>不低于股东大会前20个交易日股票交易均价和前1交易日的交易均价,不得低于最近1期每股净资产值和股票面值</v>
      </c>
      <c r="AF13" s="36">
        <f>[1]!cb_clause_reset_resettimeslimit(A13)</f>
        <v>0</v>
      </c>
      <c r="AG13" s="36">
        <f xml:space="preserve">  [1]!cb_clause_reset_timepointclause(A13)</f>
        <v>0</v>
      </c>
      <c r="AH13" s="36">
        <f xml:space="preserve"> [1]!cb_clause_calloption_relativecalloptionperiod(A13)</f>
        <v>6</v>
      </c>
      <c r="AI13" s="36" t="str">
        <f xml:space="preserve"> [1]!cb_clause_calloption_redemptiontimesperyear(A13)</f>
        <v>不限次数</v>
      </c>
      <c r="AJ13" s="36" t="str">
        <f>[1]!cb_clause_calloption_conditionalredeemstartdate(A13)</f>
        <v>2016-07-22</v>
      </c>
      <c r="AK13" s="36">
        <f>[1]!cb_clause_calloption_redeemmaxspan(A13)</f>
        <v>30</v>
      </c>
      <c r="AL13" s="36">
        <f>[1]!cb_clause_calloption_redeemspan(A13)</f>
        <v>15</v>
      </c>
      <c r="AM13" s="36">
        <f>[1]!cb_clause_calloption_triggerproportion(A13)</f>
        <v>130</v>
      </c>
      <c r="AN13" s="36">
        <f xml:space="preserve"> [1]!cb_clause_calloption_redemptionprice(A13)</f>
        <v>0</v>
      </c>
      <c r="AO13" s="36" t="str">
        <f>[1]!cb_clause_calloption_redemptionmemo(A13)</f>
        <v>按照债券面值加当期应计利息的价格赎回全部或部分未转股的A股可转债</v>
      </c>
      <c r="AP13" s="36" t="str">
        <f>[1]!cb_clause_calloption_redeemitem(A13)</f>
        <v>（1）到期赎回条款在本次发行的可转债期满后五个交易日内，公司将以本次发行的A股可转债的票面面值的106%（含最后一期年度利息）的价格向投资者赎回全部未转股的可转债。（2）有条件赎回条款转股期内，当下述两种情形的任意一种出现时，公司有权按照债券面值加当期应计利息的价格赎回全部或部分未转股的A股可转债：1）在转股期内，如果公司A股股票在任何连续三十个交易日中至少十五个交易日的收盘价格不低于当期转股价格的130%（含130%）。2）当本次发行的A股可转债未转股余额不足3,000万元时。当期应计利息的计算公式为：IA=B×i×t/365IA：指当期应计利息；B：指本次发行的A股可转债持有人持有的可转债票面总金额；i：指A股可转债当年票面利率；t：指计息天数，即从上一个付息日起至本计息年度赎回日止的实际日历天数（算头不算尾）。若在前述三十个交易日内发生过转股价格调整的情形，则在调整前的交易日按调整前的转股价格和收盘价计算，调整后的交易日按调整后的转股价格和收盘价格计算。</v>
      </c>
      <c r="AQ13" s="36" t="str">
        <f xml:space="preserve"> [1]!cb_clause_calloption_iswithtimeredemptionclause(A13)</f>
        <v>否</v>
      </c>
      <c r="AR13" s="36">
        <f>[1]!cb_clause_calloption_timeredemptiontimes(A13)</f>
        <v>0</v>
      </c>
      <c r="AS13" s="36">
        <f>[1]!cb_clause_calloption_redeemclause(A13)</f>
        <v>0</v>
      </c>
      <c r="AT13" s="36">
        <f xml:space="preserve"> [1]!cb_clause_putoption_putbackperiodobs(A13)</f>
        <v>48</v>
      </c>
      <c r="AU13" s="36" t="str">
        <f>[1]!cb_clause_putoption_conditionalputbackstartenddate(A13)</f>
        <v>2020-01-22</v>
      </c>
      <c r="AV13" s="36">
        <f xml:space="preserve"> [1]!cb_clause_putoption_conditionalputbackenddate(A13)</f>
        <v>0</v>
      </c>
      <c r="AW13" s="36">
        <f xml:space="preserve"> [1]!cb_clause_putoption_putbacktriggermaxspan(A13)</f>
        <v>30</v>
      </c>
      <c r="AX13" s="36">
        <f>[1]!cb_clause_putoption_redeem_triggerproportion(A13)</f>
        <v>70</v>
      </c>
      <c r="AY13" s="36">
        <f>[1]!cb_clause_putoption_resellingprice(A13)</f>
        <v>0</v>
      </c>
      <c r="AZ13" s="36" t="str">
        <f xml:space="preserve"> [1]!cb_clause_putoption_resellingpriceexplaination(A13)</f>
        <v>可转债全部或部分按债券面值加上当期应计利息的价格回售给公司</v>
      </c>
      <c r="BA13" s="36">
        <f>[1]!cb_clause_putoption_interestdisposing(A13)</f>
        <v>0</v>
      </c>
      <c r="BB13" s="36" t="str">
        <f xml:space="preserve"> [1]!cb_clause_putoption_sellbackitem(A13)</f>
        <v>在本次A股可转债最后两个计息年度，如公司股票在任何连续三十个交易日的收盘价格低于当期转股价的70%时，A股可转债持有人有权将其持有的A股可转债全部或部分按债券面值加上当期应计利息的价格回售给公司。若在上述交易日内发生过转股价格因发生送红股、转增股本、增发新股（不包括因本次发行的A股可转债转股而增加的股本）、配股以及派发现金股利等情况而调整的情形，则在调整前的交易日按调整前的转股价格和收盘价格计算，在调整后的交易日按调整后的转股价格和收盘价格计算。如果出现转股价格向下修正的情况，则上述“连续三十个交易日”须从转股价格调整之后的第一个交易日起重新计算。最后两个计息年度A股可转债持有人在每年回售条件首次满足后可按上述约定条件行使回售权一次，若在首次满足回售条件而A股可转债持有人未在公司届时公告的回售申报期内申报并实施回售的，该计息年度不应再行使回售权。A股可转债持有人不能多次行使部分回售权。</v>
      </c>
      <c r="BC13" s="36">
        <f>[1]!cb_clause_putoption_putbackperiod(A13)</f>
        <v>0</v>
      </c>
      <c r="BD13" s="36">
        <f>[1]!cb_clause_putoption_putbackstartdate(A13)</f>
        <v>0</v>
      </c>
      <c r="BE13" s="36">
        <f>[1]!cb_clause_putoption_putbackenddate(A13)</f>
        <v>0</v>
      </c>
      <c r="BF13" s="36">
        <f xml:space="preserve"> [1]!cb_clause_putoption_putbackprice(A13)</f>
        <v>0</v>
      </c>
      <c r="BG13" s="36">
        <f>[1]!cb_clause_putoption_putbackclause(A13)</f>
        <v>0</v>
      </c>
      <c r="BH13" s="36">
        <f>[1]!cb_clause_putoption_timeputbacktimes(A13)</f>
        <v>0</v>
      </c>
      <c r="BI13" s="36">
        <f>[1]!cb_clause_putoption_timeputbackclause(A13)</f>
        <v>0</v>
      </c>
      <c r="BJ13" s="36" t="str">
        <f>[1]!cb_clause_putoption_additionalpricememo(A13)</f>
        <v>可转债持有人有权将其持有的可转债全部或部分按债券面值加当期应计利息的价格回售给公司。</v>
      </c>
      <c r="BK13" s="36" t="str">
        <f>[1]!cb_clause_putoption_putbackadditionalcondition(A13)</f>
        <v>根据中国证监会的相关规定被视作改变募集资金用途或被中国证监会认定为改变募集资金用途的，公司本次发行的可转债持有人享有一次回售的权利。</v>
      </c>
    </row>
    <row r="14" spans="1:63" x14ac:dyDescent="0.15">
      <c r="A14" s="34" t="s">
        <v>92</v>
      </c>
      <c r="B14" s="35" t="str">
        <f xml:space="preserve"> [1]!cb_info_name(A14)</f>
        <v>江南转债</v>
      </c>
      <c r="C14" s="36" t="str">
        <f>[1]!cb_clause_interest(A14,5)</f>
        <v>否</v>
      </c>
      <c r="D14" s="36" t="str">
        <f>[1]!cb_clause_interest(A14,8)</f>
        <v>是</v>
      </c>
      <c r="E14" s="36">
        <f>[1]!cb_clause_interest(A14,3)</f>
        <v>2.1833</v>
      </c>
      <c r="F14" s="36" t="str">
        <f xml:space="preserve"> [1]!cb_clause_interest(A14,6)</f>
        <v>在本次发行的可转债期满后5个交易日内，公司将以本次发行的可转债的票面面值的108%（含最后一年利息）向可转债持有人赎回全部未转股的可转换公司债券。</v>
      </c>
      <c r="G14" s="36" t="str">
        <f>[1]!cb_clause_interest(A14,4)</f>
        <v>票面利率：第一年0.3%、第二年0.5%、第三年1.0%、第四年1.5%、第五年1.8%、第六年2.0%。</v>
      </c>
      <c r="H14" s="36" t="str">
        <f>[1]!cb_clause_interest(A14,7)</f>
        <v>本可转债采用每年付息一次的付息方式，计息起始日为本可转债发行首日。年利息计算公式为：I=B×i，其中：I：年利息额B：本次发行的可转债持有人在计息年度（以下简称“当年”或“每年”）付息债权登记日持有的可转债票面总额；i：可转债的当年票面利率。本次可转债采用每年付息一次的付息方式，计息起始日为可转债发行首日。可转债持有人所获得利息收入的应付税项由持有人承担。付息日：每年的付息日为本次发行的可转债发行首日起每满一年的当日。如该日为法定节假日或休息日，则顺延至下一个工作日，顺延期间不另付息。每相邻的两个付息日之间为一个计息年度。转股年度有关利息和股利的归属等事项，由公司董事会根据相关法律法规及上交所的规定确定。付息债权登记日：每年付息日的前一交易日为付息债权登记日，公司将在每年付息日之后的5个交易日内支付当年利息。在付息债权登记日前（包括付息债权登记日）申请转换成公司股票的可转债，公司不再向其持有人支付本计息年度及以后计息年度的利息。</v>
      </c>
      <c r="I14" s="36">
        <f>[1]!cb_clause_conversion_2_relativeswapsharemonth(A14)</f>
        <v>6</v>
      </c>
      <c r="J14" s="36" t="str">
        <f>[1]!cb_clause_conversion_2_swapsharestartdate(A14)</f>
        <v>2016-09-26</v>
      </c>
      <c r="K14" s="36" t="str">
        <f>[1]!cb_clause_conversion_2_swapshareenddate(A14)</f>
        <v>2022-03-17</v>
      </c>
      <c r="L14" s="36" t="str">
        <f>[1]!cb_clause_conversion_2_isforced(A14)</f>
        <v>否</v>
      </c>
      <c r="M14" s="36">
        <f xml:space="preserve"> [1]!cb_clause_conversion_2_forceconvertdate(A14)</f>
        <v>0</v>
      </c>
      <c r="N14" s="36">
        <f>[1]!cb_clause_conversion_2_forceconvertprice(A14)</f>
        <v>0</v>
      </c>
      <c r="O14" s="37">
        <f ca="1">[1]!cb_clause_conversion2_swapshareprice(A14,$O$3)</f>
        <v>9.3000000000000007</v>
      </c>
      <c r="P14" s="36" t="str">
        <f>[1]!b_clause_conversion_code(A14)</f>
        <v>191010</v>
      </c>
      <c r="Q14" s="38">
        <f ca="1">[1]!cb_clause_conversion2_conversionproportion(A14,$Q$3)</f>
        <v>10.75268817204301</v>
      </c>
      <c r="R14" s="36">
        <f ca="1">[1]!cb_clause_conversion2_bondlot(A14,$R$3)/10000</f>
        <v>75993.899999999994</v>
      </c>
      <c r="S14" s="36">
        <f ca="1">[1]!cb_clause_conversion2_bondproportion(A14,$S$3)</f>
        <v>99.99</v>
      </c>
      <c r="T14" s="36" t="str">
        <f>[1]!cb_clause_conversion_2_conversionproportion(A14)</f>
        <v>是</v>
      </c>
      <c r="U14" s="36" t="str">
        <f>[1]!cb_clause_conversion2_tosharepriceadjustitem(A14)</f>
        <v>在本次发行之后，当公司发生送红股、转增股本、增发新股（不包括因本次发行的可转债转股而增加的股本）、配股以及派发现金股利等情况时，公司将按上述条件出现的先后顺序，依次对转股价格进行累积调整，具体调整办法如下：派送红股或转增股本：P1=Po/（1+n）；增发新股或配股：P1=（Po+A×k）/（1+k）；上述两项同时进行：P1=（Po+A×k）/（1+n+k）；派送现金股利：P1=Po-D；上述三项同时进行：P1＝（Po－D＋A×k）/（1+n+k）。其中：P1为调整后转股价，Po为调整前转股价，n为送股或转增股本率，A为增发新股价或配股价，k为增发新股或配股率，D为每股派送现金股利。当公司出现上述股份和/或股东权益变化情况时，将依次进行转股价格调整，并在中国证监会指定的上市公司信息披露媒体上刊登董事会决议公告，并于公告中载明转股价格调整日、调整办法及暂停转股时期（如需）。当转股价格调整日为本次发行的可转债持有人转股申请日或之后，转换股份登记日之前，则该持有人的转股申请按公司调整后的转股价格执行。20160607：经2015年度分红调整为9.41元/股。20170622：经2016年度分红调整为9.30元/股。</v>
      </c>
      <c r="V14" s="36" t="str">
        <f>[1]!cb_clause_reset_item(A14)</f>
        <v>（1）修正权限与修正幅度在本可转债存续期间，当公司股票在任意二十个连续交易日中至少十个交易日的收盘价格低于当期转股价格85%时，公司董事会有权提出转股价格向下修正方案并提交公司股东大会表决。上述方案须经出席会议的股东所持表决权的三分之二以上通过方可实施。股东大会进行表决时，持有公司本次发行可转债的股东应当回避；修正后的转股价格应不低于该次股东大会召开日前二十个交易日公司股票交易均价和前一交易日的公司股票交易均价，同时，修正后的转股价格不得低于最近一期经审计的每股净资产值和股票面值。若在前述二十个交易日内发生过转股价格调整的情形，则在调整前的交易日按调整前的转股价格和收盘价格计算，调整后的交易日按调整后的转股价格和收盘价格计。</v>
      </c>
      <c r="W14" s="36" t="str">
        <f xml:space="preserve"> [1]!cb_clause_reset_isexitreset(A14)</f>
        <v>是</v>
      </c>
      <c r="X14" s="36" t="str">
        <f xml:space="preserve"> [1]!cb_clause_reset_resetstartdate(A14)</f>
        <v>2016-03-18</v>
      </c>
      <c r="Y14" s="36" t="str">
        <f xml:space="preserve"> [1]!cb_clause_reset_resetperiodenddate(A14)</f>
        <v>2022-03-18</v>
      </c>
      <c r="Z14" s="36">
        <f>[1]!cb_clause_reset_resetmaxtimespan(A14)</f>
        <v>20</v>
      </c>
      <c r="AA14" s="36">
        <f>[1]!cb_clause_reset_resettimespan(A14)</f>
        <v>10</v>
      </c>
      <c r="AB14" s="36">
        <f>[1]!cb_clause_reset_resettriggerratio(A14)</f>
        <v>85</v>
      </c>
      <c r="AC14" s="36" t="str">
        <f>[1]!cb_clause_reset_referencepriceisanverage(A14)</f>
        <v>否</v>
      </c>
      <c r="AD14" s="36">
        <f>[1]!cb_clause_reset_resetrange(A14)</f>
        <v>0</v>
      </c>
      <c r="AE14" s="36" t="str">
        <f>[1]!cb_clause_reset_stockpricelowestlimit(A14)</f>
        <v>不低于股东大会前20个交易日股票交易均价和前1交易日的交易均价,不得低于最近1期每股净资产值和股票面值</v>
      </c>
      <c r="AF14" s="36">
        <f>[1]!cb_clause_reset_resettimeslimit(A14)</f>
        <v>0</v>
      </c>
      <c r="AG14" s="36">
        <f xml:space="preserve">  [1]!cb_clause_reset_timepointclause(A14)</f>
        <v>0</v>
      </c>
      <c r="AH14" s="36">
        <f xml:space="preserve"> [1]!cb_clause_calloption_relativecalloptionperiod(A14)</f>
        <v>6</v>
      </c>
      <c r="AI14" s="36" t="str">
        <f xml:space="preserve"> [1]!cb_clause_calloption_redemptiontimesperyear(A14)</f>
        <v>不限次数</v>
      </c>
      <c r="AJ14" s="36" t="str">
        <f>[1]!cb_clause_calloption_conditionalredeemstartdate(A14)</f>
        <v>2016-09-26</v>
      </c>
      <c r="AK14" s="36">
        <f>[1]!cb_clause_calloption_redeemmaxspan(A14)</f>
        <v>30</v>
      </c>
      <c r="AL14" s="36">
        <f>[1]!cb_clause_calloption_redeemspan(A14)</f>
        <v>15</v>
      </c>
      <c r="AM14" s="36">
        <f>[1]!cb_clause_calloption_triggerproportion(A14)</f>
        <v>130</v>
      </c>
      <c r="AN14" s="36">
        <f xml:space="preserve"> [1]!cb_clause_calloption_redemptionprice(A14)</f>
        <v>0</v>
      </c>
      <c r="AO14" s="36" t="str">
        <f>[1]!cb_clause_calloption_redemptionmemo(A14)</f>
        <v>公司有权决定按照债券面值加当期应计利息的价格赎回全部或部分未转股的可转债</v>
      </c>
      <c r="AP14" s="36" t="str">
        <f>[1]!cb_clause_calloption_redeemitem(A14)</f>
        <v>（1）到期赎回在本次发行的可转债期满后5个交易日内，公司将以本次发行的可转债的票面面值的108%（含最后一年利息）向可转债持有人赎回全部未转股的可转换公司债券。（2）有条件赎回在本次发行的可转债转股期内，当下述两种情形的任意一种出现时，公司有权决定按照债券面值加当期应计利息的价格赎回全部或部分未转股的可转债：A．在本次发行的可转债转股期内，如果公司A股股票连续30个交易日中至少有15个交易日的收盘价格不低于当期转股价格的130%（含130%）；B．当本次发行的可转债未转股余额不足3,000万元时。当期应计利息的计算公式为：IA＝B×i×t/365IA：指当期应计利息；B：指本次发行的可转债持有人持有的可转债票面总金额；i：指可转债当年票面利率；t：指计息天数，即从上一个付息日起至本计息年度赎回日止的实际日历天数（算头不算尾）。若在前述30个交易日内发生过转股价格调整的情形，则在调整前的交易日按调整前的转股价格和收盘价格计算，调整后的交易日按调整后的转股价格和收盘价格计算。</v>
      </c>
      <c r="AQ14" s="36" t="str">
        <f xml:space="preserve"> [1]!cb_clause_calloption_iswithtimeredemptionclause(A14)</f>
        <v>否</v>
      </c>
      <c r="AR14" s="36">
        <f>[1]!cb_clause_calloption_timeredemptiontimes(A14)</f>
        <v>0</v>
      </c>
      <c r="AS14" s="36">
        <f>[1]!cb_clause_calloption_redeemclause(A14)</f>
        <v>0</v>
      </c>
      <c r="AT14" s="36">
        <f xml:space="preserve"> [1]!cb_clause_putoption_putbackperiodobs(A14)</f>
        <v>24</v>
      </c>
      <c r="AU14" s="36" t="str">
        <f>[1]!cb_clause_putoption_conditionalputbackstartenddate(A14)</f>
        <v>2018-03-18</v>
      </c>
      <c r="AV14" s="36">
        <f xml:space="preserve"> [1]!cb_clause_putoption_conditionalputbackenddate(A14)</f>
        <v>0</v>
      </c>
      <c r="AW14" s="36">
        <f xml:space="preserve"> [1]!cb_clause_putoption_putbacktriggermaxspan(A14)</f>
        <v>30</v>
      </c>
      <c r="AX14" s="36">
        <f>[1]!cb_clause_putoption_redeem_triggerproportion(A14)</f>
        <v>80</v>
      </c>
      <c r="AY14" s="36">
        <f>[1]!cb_clause_putoption_resellingprice(A14)</f>
        <v>103</v>
      </c>
      <c r="AZ14" s="36" t="str">
        <f xml:space="preserve"> [1]!cb_clause_putoption_resellingpriceexplaination(A14)</f>
        <v>可转债持有人有权将全部或部分其持有的可转债按照103元(含当期应计利息)回售给公司</v>
      </c>
      <c r="BA14" s="36">
        <f>[1]!cb_clause_putoption_interestdisposing(A14)</f>
        <v>0</v>
      </c>
      <c r="BB14" s="36" t="str">
        <f xml:space="preserve"> [1]!cb_clause_putoption_sellbackitem(A14)</f>
        <v>本次发行的可转债第三个计息年度起，如果公司A股股票在任何连续30个交易日的收盘价格低于当期转股价格的80%时，可转债持有人有权将全部或部分其持有的可转债按照103元（含当期应计利息）回售给公司。若在上述交易日内发生过转股价格因发生送红股、转增股本、增发新股（不包括因本次发行的可转债转股而增加的股本）、配股以及派发现金股利等情况而调整的情形，则在调整前的交易日按调整前的转股价格和收盘价格计算，在调整后的交易日按调整后的转股价格和收盘价格计算。如果出现转股价格向下修正的情况，则上述连续三十个交易日须从转股价格调整之后的第一个交易日起重新计算。</v>
      </c>
      <c r="BC14" s="36">
        <f>[1]!cb_clause_putoption_putbackperiod(A14)</f>
        <v>0</v>
      </c>
      <c r="BD14" s="36">
        <f>[1]!cb_clause_putoption_putbackstartdate(A14)</f>
        <v>0</v>
      </c>
      <c r="BE14" s="36">
        <f>[1]!cb_clause_putoption_putbackenddate(A14)</f>
        <v>0</v>
      </c>
      <c r="BF14" s="36">
        <f xml:space="preserve"> [1]!cb_clause_putoption_putbackprice(A14)</f>
        <v>0</v>
      </c>
      <c r="BG14" s="36">
        <f>[1]!cb_clause_putoption_putbackclause(A14)</f>
        <v>0</v>
      </c>
      <c r="BH14" s="36">
        <f>[1]!cb_clause_putoption_timeputbacktimes(A14)</f>
        <v>0</v>
      </c>
      <c r="BI14" s="36">
        <f>[1]!cb_clause_putoption_timeputbackclause(A14)</f>
        <v>0</v>
      </c>
      <c r="BJ14" s="36" t="str">
        <f>[1]!cb_clause_putoption_additionalpricememo(A14)</f>
        <v>被视作改变募集资金用途或被中国证监会认定为改变募集资金用途的，可转债持有人享有一次回售的权利。</v>
      </c>
      <c r="BK14" s="36" t="str">
        <f>[1]!cb_clause_putoption_putbackadditionalcondition(A14)</f>
        <v>根据中国证监会的相关规定被视作改变募集资金用途或被中国证监会认定为改变募集资金用途的，可转债持有人享有一次回售的权利。</v>
      </c>
    </row>
    <row r="15" spans="1:63" x14ac:dyDescent="0.15">
      <c r="A15" s="34" t="s">
        <v>93</v>
      </c>
      <c r="B15" s="35" t="str">
        <f xml:space="preserve"> [1]!cb_info_name(A15)</f>
        <v>光大转债</v>
      </c>
      <c r="C15" s="36" t="str">
        <f>[1]!cb_clause_interest(A15,5)</f>
        <v>否</v>
      </c>
      <c r="D15" s="36" t="str">
        <f>[1]!cb_clause_interest(A15,8)</f>
        <v>是</v>
      </c>
      <c r="E15" s="36">
        <f>[1]!cb_clause_interest(A15,3)</f>
        <v>1.6667000000000001</v>
      </c>
      <c r="F15" s="36" t="str">
        <f xml:space="preserve"> [1]!cb_clause_interest(A15,6)</f>
        <v>在本次发行的可转债期满后五个交易日内，公司将以本次发行的可转债的票面面值的105%（含最后一期利息）的价格向投资者赎回全部未转股的可转债。</v>
      </c>
      <c r="G15" s="36" t="str">
        <f>[1]!cb_clause_interest(A15,4)</f>
        <v>票面利率：第一年0.2%、第二年0.5%、第三年1.0%、第四年1.5%、第五年1.8%、第六年2.0%。</v>
      </c>
      <c r="H15" s="36" t="str">
        <f>[1]!cb_clause_interest(A15,7)</f>
        <v>本次发行的可转债采用每年付息一次的付息方式，计息起始日为本可转债发行首日，即2017年3月17日。每年的付息日为本次发行的可转债发行首日起每满一年的当日。如该日为法定节假日或休息日，则顺延至下一工作日，顺延期间不另付息，每相邻的两个付息日之间为一个计息年度。每年的付息债权登记日为每年付息日的前一交易日，发行人将在每年付息日之后的五个交易日内支付当年利息。</v>
      </c>
      <c r="I15" s="36">
        <f>[1]!cb_clause_conversion_2_relativeswapsharemonth(A15)</f>
        <v>6</v>
      </c>
      <c r="J15" s="36" t="str">
        <f>[1]!cb_clause_conversion_2_swapsharestartdate(A15)</f>
        <v>2017-09-18</v>
      </c>
      <c r="K15" s="36" t="str">
        <f>[1]!cb_clause_conversion_2_swapshareenddate(A15)</f>
        <v>2023-03-16</v>
      </c>
      <c r="L15" s="36" t="str">
        <f>[1]!cb_clause_conversion_2_isforced(A15)</f>
        <v>否</v>
      </c>
      <c r="M15" s="36">
        <f xml:space="preserve"> [1]!cb_clause_conversion_2_forceconvertdate(A15)</f>
        <v>0</v>
      </c>
      <c r="N15" s="36">
        <f>[1]!cb_clause_conversion_2_forceconvertprice(A15)</f>
        <v>0</v>
      </c>
      <c r="O15" s="37">
        <f ca="1">[1]!cb_clause_conversion2_swapshareprice(A15,$O$3)</f>
        <v>4.26</v>
      </c>
      <c r="P15" s="36" t="str">
        <f>[1]!b_clause_conversion_code(A15)</f>
        <v>191011</v>
      </c>
      <c r="Q15" s="38">
        <f ca="1">[1]!cb_clause_conversion2_conversionproportion(A15,$Q$3)</f>
        <v>23.474178403755868</v>
      </c>
      <c r="R15" s="36">
        <f ca="1">[1]!cb_clause_conversion2_bondlot(A15,$R$3)/10000</f>
        <v>2999990</v>
      </c>
      <c r="S15" s="36">
        <f ca="1">[1]!cb_clause_conversion2_bondproportion(A15,$S$3)</f>
        <v>100</v>
      </c>
      <c r="T15" s="36" t="str">
        <f>[1]!cb_clause_conversion_2_conversionproportion(A15)</f>
        <v>是</v>
      </c>
      <c r="U15" s="36" t="str">
        <f>[1]!cb_clause_conversion2_tosharepriceadjustitem(A15)</f>
        <v>在本次发行之后，当发行人发生派送股利、转增股本、增发新股或配股、派发现金股利等情况（不包括因本次发行的可转债转股而增加的股本）使发行人股份发生变化时，将按下述公式进行转股价格的调整：派送股利或转增股本：P1=P0/（1+n）；增发新股或配股：P1=（P0+A×k）/（1+k）；上述两项同时进行：P1=（P0+A×k）/（1+n+k）；派发现金股利：P1=P0-D；上述三项同时进行：P1=（P0－D＋A×k）/（1+n+k）。其中：P0为初始转股价格，n为送股或转增股本率，k为增发新股或配股率，A为增发新股价或配股价，D为每股派发现金股利，P1为调整后转股价。当公司出现上述股份和/或股东权益变化情况时，将依次进行转股价格调整，并在中国证监会指定的上市公司信息披露媒体上刊登董事会决议公告，并于公告中载明转股价格调整日、调整办法及暂停转股时期（如需）。当转股价格调整日为本次发行的可转债持有人转股申请日或之后，转换股票登记日之前，则该持有人的转股申请按公司调整后的转股价格执行。光大转债调整后的转股价格：人民币4.26元/股，本次转股价格调整实施日期：2017年7月5日。</v>
      </c>
      <c r="V15" s="36" t="str">
        <f>[1]!cb_clause_reset_item(A15)</f>
        <v>在本可转债存续期内，当公司A股股票在任意连续三十个交易日中至少有十五个交易日的收盘价低于当期转股价格的80%时，公司董事会有权提出转股价格向下修正方案并提交公司股东大会审议表决，该方案须经出席会议的股东所持表决权的三分之二以上通过方可实施。股东大会进行表决时，持有公司本次发行可转债的股东应当回避。修正后的转股价格应不低于该次股东大会召开日前三十个交易日、前二十个交易日和前一交易日的公司A股股票交易均价，同时，修正后的转股价格不得低于最近一期经审计的每股净资产值和股票面值。若在前述任意连续三十个交易日内发生过转股价格调整的情形，则转股价格调整日前的交易日按调整前的转股价格和收盘价计算，在转股价格调整日及之后调整后的交易日按调整后的转股价格和收盘价计算。</v>
      </c>
      <c r="W15" s="36" t="str">
        <f xml:space="preserve"> [1]!cb_clause_reset_isexitreset(A15)</f>
        <v>是</v>
      </c>
      <c r="X15" s="36" t="str">
        <f xml:space="preserve"> [1]!cb_clause_reset_resetstartdate(A15)</f>
        <v>2017-03-17</v>
      </c>
      <c r="Y15" s="36" t="str">
        <f xml:space="preserve"> [1]!cb_clause_reset_resetperiodenddate(A15)</f>
        <v>2023-03-17</v>
      </c>
      <c r="Z15" s="36">
        <f>[1]!cb_clause_reset_resetmaxtimespan(A15)</f>
        <v>30</v>
      </c>
      <c r="AA15" s="36">
        <f>[1]!cb_clause_reset_resettimespan(A15)</f>
        <v>15</v>
      </c>
      <c r="AB15" s="36">
        <f>[1]!cb_clause_reset_resettriggerratio(A15)</f>
        <v>80</v>
      </c>
      <c r="AC15" s="36" t="str">
        <f>[1]!cb_clause_reset_referencepriceisanverage(A15)</f>
        <v>否</v>
      </c>
      <c r="AD15" s="36">
        <f>[1]!cb_clause_reset_resetrange(A15)</f>
        <v>0</v>
      </c>
      <c r="AE15" s="36" t="str">
        <f>[1]!cb_clause_reset_stockpricelowestlimit(A15)</f>
        <v>股东大会召开日前三十、前二十、前一交易日的公司A股股票交易均价,每股净资产值和股票面值。</v>
      </c>
      <c r="AF15" s="36">
        <f>[1]!cb_clause_reset_resettimeslimit(A15)</f>
        <v>0</v>
      </c>
      <c r="AG15" s="36">
        <f xml:space="preserve">  [1]!cb_clause_reset_timepointclause(A15)</f>
        <v>0</v>
      </c>
      <c r="AH15" s="36">
        <f xml:space="preserve"> [1]!cb_clause_calloption_relativecalloptionperiod(A15)</f>
        <v>6</v>
      </c>
      <c r="AI15" s="36" t="str">
        <f xml:space="preserve"> [1]!cb_clause_calloption_redemptiontimesperyear(A15)</f>
        <v>不限次数</v>
      </c>
      <c r="AJ15" s="36" t="str">
        <f>[1]!cb_clause_calloption_conditionalredeemstartdate(A15)</f>
        <v>2017-09-18</v>
      </c>
      <c r="AK15" s="36">
        <f>[1]!cb_clause_calloption_redeemmaxspan(A15)</f>
        <v>30</v>
      </c>
      <c r="AL15" s="36">
        <f>[1]!cb_clause_calloption_redeemspan(A15)</f>
        <v>15</v>
      </c>
      <c r="AM15" s="36">
        <f>[1]!cb_clause_calloption_triggerproportion(A15)</f>
        <v>130</v>
      </c>
      <c r="AN15" s="36">
        <f xml:space="preserve"> [1]!cb_clause_calloption_redemptionprice(A15)</f>
        <v>0</v>
      </c>
      <c r="AO15" s="36" t="str">
        <f>[1]!cb_clause_calloption_redemptionmemo(A15)</f>
        <v>按照债券面值加当期应计利息的价格赎回全部或部分未转股的可转债</v>
      </c>
      <c r="AP15" s="36" t="str">
        <f>[1]!cb_clause_calloption_redeemitem(A15)</f>
        <v>转股期内，公司A股股票在任何连续三十个交易日中有至少十五个交易日的收盘价格不低于当期转股价格的130%（含130%），经相关监管部门批准（如需），公司有权按照债券面值加当期应计利息的价格赎回全部或部分未转股的可转债：赎回期与转股期相同，即发行结束之日满六个月后的第一个交易日起至可转债到期日。若在前述任意连续三十个交易日内发生过转股价格调整的情形，则在调整前的交易日按调整前的转股价格和收盘价计算，调整后的交易日按调整后的转股价格和收盘价格计算。当本次发行的可转债未转股余额不足3,000</v>
      </c>
      <c r="AQ15" s="36" t="str">
        <f xml:space="preserve"> [1]!cb_clause_calloption_iswithtimeredemptionclause(A15)</f>
        <v>否</v>
      </c>
      <c r="AR15" s="36">
        <f>[1]!cb_clause_calloption_timeredemptiontimes(A15)</f>
        <v>0</v>
      </c>
      <c r="AS15" s="36">
        <f>[1]!cb_clause_calloption_redeemclause(A15)</f>
        <v>0</v>
      </c>
      <c r="AT15" s="36">
        <f xml:space="preserve"> [1]!cb_clause_putoption_putbackperiodobs(A15)</f>
        <v>0</v>
      </c>
      <c r="AU15" s="36">
        <f>[1]!cb_clause_putoption_conditionalputbackstartenddate(A15)</f>
        <v>0</v>
      </c>
      <c r="AV15" s="36">
        <f xml:space="preserve"> [1]!cb_clause_putoption_conditionalputbackenddate(A15)</f>
        <v>0</v>
      </c>
      <c r="AW15" s="36">
        <f xml:space="preserve"> [1]!cb_clause_putoption_putbacktriggermaxspan(A15)</f>
        <v>0</v>
      </c>
      <c r="AX15" s="36">
        <f>[1]!cb_clause_putoption_redeem_triggerproportion(A15)</f>
        <v>0</v>
      </c>
      <c r="AY15" s="36">
        <f>[1]!cb_clause_putoption_resellingprice(A15)</f>
        <v>0</v>
      </c>
      <c r="AZ15" s="36">
        <f xml:space="preserve"> [1]!cb_clause_putoption_resellingpriceexplaination(A15)</f>
        <v>0</v>
      </c>
      <c r="BA15" s="36">
        <f>[1]!cb_clause_putoption_interestdisposing(A15)</f>
        <v>0</v>
      </c>
      <c r="BB15" s="36" t="str">
        <f xml:space="preserve"> [1]!cb_clause_putoption_sellbackitem(A15)</f>
        <v>在本次发行的可转债存续期间内，如公司本次发行可转债募集资金的使用与公司在募集说明书中的承诺相比出现重大变化，被中国证监会认定为改变募集资金用途的，可转债持有人享有一次按面值加上当期应计利息的价格向公司回售其持有的部分或全部可转债的权利。持有人在回售条件满足后，可以在公司公告的回售申报期内进行回售，该次回售申报期内未进行回售申报或未实施回售的，不应再行使本次回售权。除此之外，可转债不可由持有人主动回售。</v>
      </c>
      <c r="BC15" s="36">
        <f>[1]!cb_clause_putoption_putbackperiod(A15)</f>
        <v>0</v>
      </c>
      <c r="BD15" s="36">
        <f>[1]!cb_clause_putoption_putbackstartdate(A15)</f>
        <v>0</v>
      </c>
      <c r="BE15" s="36">
        <f>[1]!cb_clause_putoption_putbackenddate(A15)</f>
        <v>0</v>
      </c>
      <c r="BF15" s="36">
        <f xml:space="preserve"> [1]!cb_clause_putoption_putbackprice(A15)</f>
        <v>0</v>
      </c>
      <c r="BG15" s="36">
        <f>[1]!cb_clause_putoption_putbackclause(A15)</f>
        <v>0</v>
      </c>
      <c r="BH15" s="36">
        <f>[1]!cb_clause_putoption_timeputbacktimes(A15)</f>
        <v>0</v>
      </c>
      <c r="BI15" s="36">
        <f>[1]!cb_clause_putoption_timeputbackclause(A15)</f>
        <v>0</v>
      </c>
      <c r="BJ15" s="36">
        <f>[1]!cb_clause_putoption_additionalpricememo(A15)</f>
        <v>0</v>
      </c>
      <c r="BK15" s="36">
        <f>[1]!cb_clause_putoption_putbackadditionalcondition(A15)</f>
        <v>0</v>
      </c>
    </row>
    <row r="16" spans="1:63" x14ac:dyDescent="0.15">
      <c r="A16" s="34" t="s">
        <v>94</v>
      </c>
      <c r="B16" s="35" t="str">
        <f xml:space="preserve"> [1]!cb_info_name(A16)</f>
        <v>骆驼转债</v>
      </c>
      <c r="C16" s="36" t="str">
        <f>[1]!cb_clause_interest(A16,5)</f>
        <v>否</v>
      </c>
      <c r="D16" s="36" t="str">
        <f>[1]!cb_clause_interest(A16,8)</f>
        <v>是</v>
      </c>
      <c r="E16" s="36">
        <f>[1]!cb_clause_interest(A16,3)</f>
        <v>1.6</v>
      </c>
      <c r="F16" s="36" t="str">
        <f xml:space="preserve"> [1]!cb_clause_interest(A16,6)</f>
        <v>在本次可转债期满后五个交易日内，公司将以本次可转债票面面值上浮5%（含最后一期利息）的价格向投资者赎回全部未转股的可转债。</v>
      </c>
      <c r="G16" s="36" t="str">
        <f>[1]!cb_clause_interest(A16,4)</f>
        <v>票面利率：第一年0.3%、第二年0.5%、第三年1.0%、第四年1.3%、第五年1.5%、第六年1.8%。</v>
      </c>
      <c r="H16" s="36" t="str">
        <f>[1]!cb_clause_interest(A16,7)</f>
        <v>① 本次发行的可转换公司债券采用每年付息一次的付息方式，计息起始日为可转换公司债券发行首日。② 付息日：每年的付息日为本次发行的可转换公司债券发行首日起每满一年的当日。如该日为法定节假日或休息日，则顺延至下一个工作日，顺延期间不另付息。每相邻的两个付息日之间为一个计息年度。转股年度有关利息和股利的归属等事项，由公司董事会根据相关法律法规及上海证券交易所的规定确定。③ 付息债权登记日：每年的付息债权登记日为每年付息日的前一交易日，公司将在每年付息日之后的五个交易日内支付当年利息。在付息债权登记日前（包括付息债权登记日）申请转换成公司股票的可转换公司债券，公司不再向其持有人支付本计息年度及以后计息年度的利息。④ 可转换公司债券持有人所获得利息收入的应付税项由持有人承担。</v>
      </c>
      <c r="I16" s="36">
        <f>[1]!cb_clause_conversion_2_relativeswapsharemonth(A16)</f>
        <v>6</v>
      </c>
      <c r="J16" s="36" t="str">
        <f>[1]!cb_clause_conversion_2_swapsharestartdate(A16)</f>
        <v>2017-10-09</v>
      </c>
      <c r="K16" s="36" t="str">
        <f>[1]!cb_clause_conversion_2_swapshareenddate(A16)</f>
        <v>2023-03-23</v>
      </c>
      <c r="L16" s="36" t="str">
        <f>[1]!cb_clause_conversion_2_isforced(A16)</f>
        <v>否</v>
      </c>
      <c r="M16" s="36">
        <f xml:space="preserve"> [1]!cb_clause_conversion_2_forceconvertdate(A16)</f>
        <v>0</v>
      </c>
      <c r="N16" s="36">
        <f>[1]!cb_clause_conversion_2_forceconvertprice(A16)</f>
        <v>0</v>
      </c>
      <c r="O16" s="37">
        <f ca="1">[1]!cb_clause_conversion2_swapshareprice(A16,$O$3)</f>
        <v>16.72</v>
      </c>
      <c r="P16" s="36" t="str">
        <f>[1]!b_clause_conversion_code(A16)</f>
        <v>191012</v>
      </c>
      <c r="Q16" s="38">
        <f ca="1">[1]!cb_clause_conversion2_conversionproportion(A16,$Q$3)</f>
        <v>5.9808612440191391</v>
      </c>
      <c r="R16" s="36">
        <f ca="1">[1]!cb_clause_conversion2_bondlot(A16,$R$3)/10000</f>
        <v>71700</v>
      </c>
      <c r="S16" s="36">
        <f ca="1">[1]!cb_clause_conversion2_bondproportion(A16,$S$3)</f>
        <v>100</v>
      </c>
      <c r="T16" s="36" t="str">
        <f>[1]!cb_clause_conversion_2_conversionproportion(A16)</f>
        <v>是</v>
      </c>
      <c r="U16" s="36" t="str">
        <f>[1]!cb_clause_conversion2_tosharepriceadjustitem(A16)</f>
        <v>在本次发行之后，当公司发生派送股票股利、转增股本、增发新股或配股、派送现金股利等情况（不包括因本次发行的可转换公司债券转股而增加的股本）使公司股份发生变化时，将按下述公式进行转股价格的调整（保留小数点后两位，最后一位四舍五入）：派送股票股利或转增股本：P1=P0/（1+n）；增发新股或配股：P1=（P0+A×k）/（1+k）；上述两项同时进行：P1=（P0+A×k）/（1+n+k）；派送现金股利：P1=P0－D；上述三项同时进行：P1＝（P0－D+A×k）/（1+n+k）其中：P0为调整前转股价，n为送股或转增股本率，k为增发新股或配股率，A为增发新股价或配股价，D为每股派送现金股利，P1为调整后转股价。20170626:转股价格调整起始日期：2017年6月30日修正后转股价格：16.72元/股</v>
      </c>
      <c r="V16" s="36" t="str">
        <f>[1]!cb_clause_reset_item(A16)</f>
        <v>在本次发行的可转换公司债券存续期间，当公司股票在任意连续三十个交易日中至少有十五个交易日的收盘价低于当期转股价格的80%时，公司董事会有权提出转股价格向下修正方案并提交公司股东大会表决。</v>
      </c>
      <c r="W16" s="36" t="str">
        <f xml:space="preserve"> [1]!cb_clause_reset_isexitreset(A16)</f>
        <v>是</v>
      </c>
      <c r="X16" s="36" t="str">
        <f xml:space="preserve"> [1]!cb_clause_reset_resetstartdate(A16)</f>
        <v>2017-03-24</v>
      </c>
      <c r="Y16" s="36" t="str">
        <f xml:space="preserve"> [1]!cb_clause_reset_resetperiodenddate(A16)</f>
        <v>2023-03-24</v>
      </c>
      <c r="Z16" s="36">
        <f>[1]!cb_clause_reset_resetmaxtimespan(A16)</f>
        <v>30</v>
      </c>
      <c r="AA16" s="36">
        <f>[1]!cb_clause_reset_resettimespan(A16)</f>
        <v>15</v>
      </c>
      <c r="AB16" s="36">
        <f>[1]!cb_clause_reset_resettriggerratio(A16)</f>
        <v>80</v>
      </c>
      <c r="AC16" s="36" t="str">
        <f>[1]!cb_clause_reset_referencepriceisanverage(A16)</f>
        <v>否</v>
      </c>
      <c r="AD16" s="36">
        <f>[1]!cb_clause_reset_resetrange(A16)</f>
        <v>0</v>
      </c>
      <c r="AE16" s="36" t="str">
        <f>[1]!cb_clause_reset_stockpricelowestlimit(A16)</f>
        <v>转股价格应不低于本次股东大会召开日前二十个交易日公司股票交易均价和前一交易日均价之间的较高者。</v>
      </c>
      <c r="AF16" s="36">
        <f>[1]!cb_clause_reset_resettimeslimit(A16)</f>
        <v>0</v>
      </c>
      <c r="AG16" s="36">
        <f xml:space="preserve">  [1]!cb_clause_reset_timepointclause(A16)</f>
        <v>0</v>
      </c>
      <c r="AH16" s="36">
        <f xml:space="preserve"> [1]!cb_clause_calloption_relativecalloptionperiod(A16)</f>
        <v>6</v>
      </c>
      <c r="AI16" s="36" t="str">
        <f xml:space="preserve"> [1]!cb_clause_calloption_redemptiontimesperyear(A16)</f>
        <v>不限次数</v>
      </c>
      <c r="AJ16" s="36" t="str">
        <f>[1]!cb_clause_calloption_conditionalredeemstartdate(A16)</f>
        <v>2017-10-09</v>
      </c>
      <c r="AK16" s="36">
        <f>[1]!cb_clause_calloption_redeemmaxspan(A16)</f>
        <v>30</v>
      </c>
      <c r="AL16" s="36">
        <f>[1]!cb_clause_calloption_redeemspan(A16)</f>
        <v>15</v>
      </c>
      <c r="AM16" s="36">
        <f>[1]!cb_clause_calloption_triggerproportion(A16)</f>
        <v>130</v>
      </c>
      <c r="AN16" s="36">
        <f xml:space="preserve"> [1]!cb_clause_calloption_redemptionprice(A16)</f>
        <v>0</v>
      </c>
      <c r="AO16" s="36" t="str">
        <f>[1]!cb_clause_calloption_redemptionmemo(A16)</f>
        <v>公司有权决定按照债券面值加当期应计利息的价格赎回全部或部分未转股的可转换公司债券</v>
      </c>
      <c r="AP16" s="36" t="str">
        <f>[1]!cb_clause_calloption_redeemitem(A16)</f>
        <v>转股期内，当下述两种情形的任意一种出现时，公司有权决定按照债券面值加当期应计利息的价格赎回全部或部分未转股的可转换公司债券：①在转股期内，如果公司股票在任何连续三十个交易日中至少十五个交易日的收盘价格不低于当期转股价格的130%（含130%）；②当本次发行的可转换公司债券未转股余额不足3,000万元时。当期应计利息的计算公式为：IA=B×i×t/365IA：指当期应计利息；B：指本次发行的可转换公司债券持有人持有的可转换公司债券票面总金额；i：指可转换公司债券当年票面利率；t：指计息天数，即从上一个付息日起至本计息年度赎回日止的实际日历天数（算头不算尾）。若在前述三十个交易日内发生过转股价格调整的情形，则在调整前的交易日按调整前的转股价格和收盘价计算，调整后的交易日按调整后的转股价格和收盘价计算。</v>
      </c>
      <c r="AQ16" s="36" t="str">
        <f xml:space="preserve"> [1]!cb_clause_calloption_iswithtimeredemptionclause(A16)</f>
        <v>否</v>
      </c>
      <c r="AR16" s="36">
        <f>[1]!cb_clause_calloption_timeredemptiontimes(A16)</f>
        <v>0</v>
      </c>
      <c r="AS16" s="36">
        <f>[1]!cb_clause_calloption_redeemclause(A16)</f>
        <v>0</v>
      </c>
      <c r="AT16" s="36">
        <f xml:space="preserve"> [1]!cb_clause_putoption_putbackperiodobs(A16)</f>
        <v>48</v>
      </c>
      <c r="AU16" s="36" t="str">
        <f>[1]!cb_clause_putoption_conditionalputbackstartenddate(A16)</f>
        <v>2021-03-24</v>
      </c>
      <c r="AV16" s="36">
        <f xml:space="preserve"> [1]!cb_clause_putoption_conditionalputbackenddate(A16)</f>
        <v>0</v>
      </c>
      <c r="AW16" s="36">
        <f xml:space="preserve"> [1]!cb_clause_putoption_putbacktriggermaxspan(A16)</f>
        <v>30</v>
      </c>
      <c r="AX16" s="36">
        <f>[1]!cb_clause_putoption_redeem_triggerproportion(A16)</f>
        <v>70</v>
      </c>
      <c r="AY16" s="36">
        <f>[1]!cb_clause_putoption_resellingprice(A16)</f>
        <v>0</v>
      </c>
      <c r="AZ16" s="36" t="str">
        <f xml:space="preserve"> [1]!cb_clause_putoption_resellingpriceexplaination(A16)</f>
        <v>其持有的可转换公司债券全部或部分按面值加上当期应计利息的价格回售给公司.</v>
      </c>
      <c r="BA16" s="36">
        <f>[1]!cb_clause_putoption_interestdisposing(A16)</f>
        <v>0</v>
      </c>
      <c r="BB16" s="36" t="str">
        <f xml:space="preserve"> [1]!cb_clause_putoption_sellbackitem(A16)</f>
        <v>在本次发行的可转换公司债券最后两个计息年度，如果公司股票在任何连续三十个交易日的收盘价格低于当期转股价的70%时，可转换公司债券持有人有权将其持有的可转换公司债券全部或部分按面值加上当期应计利息的价格回售给公司。若在上述交易日内发生过转股价格因发生送红股、转增股本、增发新股（不包括因本次发行的可转换公司债券转股而增加的股本）、配股以及派发现金股利等情况而调整的情形，则在调整前的交易日按调整前的转股价格和收盘价格计算，在调整后的交易日按调整后的转股价格和收盘价格计算。如果出现转股价格向下修正的情况，则上述“连续三十个交易日”须从转股价格调整之后的第一个交易日起重新计算。最后两个计息年度可转换公司债券持有人在每年回售条件首次满足后可按上述约定条件行使回售权一次，若在首次满足回售条件而可转换公司债券持有人未在公司届时公告的回售申报期内申报并实施回售的，该计息年度不能再行使回售权，可转换公司债券持有人不能多次行使部分回售权。</v>
      </c>
      <c r="BC16" s="36">
        <f>[1]!cb_clause_putoption_putbackperiod(A16)</f>
        <v>0</v>
      </c>
      <c r="BD16" s="36">
        <f>[1]!cb_clause_putoption_putbackstartdate(A16)</f>
        <v>0</v>
      </c>
      <c r="BE16" s="36">
        <f>[1]!cb_clause_putoption_putbackenddate(A16)</f>
        <v>0</v>
      </c>
      <c r="BF16" s="36">
        <f xml:space="preserve"> [1]!cb_clause_putoption_putbackprice(A16)</f>
        <v>0</v>
      </c>
      <c r="BG16" s="36">
        <f>[1]!cb_clause_putoption_putbackclause(A16)</f>
        <v>0</v>
      </c>
      <c r="BH16" s="36">
        <f>[1]!cb_clause_putoption_timeputbacktimes(A16)</f>
        <v>0</v>
      </c>
      <c r="BI16" s="36">
        <f>[1]!cb_clause_putoption_timeputbackclause(A16)</f>
        <v>0</v>
      </c>
      <c r="BJ16" s="36" t="str">
        <f>[1]!cb_clause_putoption_additionalpricememo(A16)</f>
        <v>被中国证监会认定为改变募集资金用途的，可转换公司债券持有人享有一次回售的权利。可转换公司债券持有人有权将其持有的可转换公司债券全部或部分按债券面值加上当期应计利息价格回售给公司。</v>
      </c>
      <c r="BK16" s="36" t="str">
        <f>[1]!cb_clause_putoption_putbackadditionalcondition(A16)</f>
        <v>若公司本次发行的可转换公司债券募集资金投资项目的实施情况与公司在募集说明书中的承诺情况相比出现重大变化，且该变化被中国证监会认定为改变募集资金用途的，可转换公司债券持有人享有一次回售的权利。</v>
      </c>
    </row>
    <row r="17" spans="1:63" x14ac:dyDescent="0.15">
      <c r="A17" s="34" t="s">
        <v>95</v>
      </c>
      <c r="B17" s="35" t="str">
        <f xml:space="preserve"> [1]!cb_info_name(A17)</f>
        <v>国君转债</v>
      </c>
      <c r="C17" s="36" t="str">
        <f>[1]!cb_clause_interest(A17,5)</f>
        <v>否</v>
      </c>
      <c r="D17" s="36" t="str">
        <f>[1]!cb_clause_interest(A17,8)</f>
        <v>是</v>
      </c>
      <c r="E17" s="36">
        <f>[1]!cb_clause_interest(A17,3)</f>
        <v>1.6667000000000001</v>
      </c>
      <c r="F17" s="36" t="str">
        <f xml:space="preserve"> [1]!cb_clause_interest(A17,6)</f>
        <v>（1）到期赎回条款在本次可转债期满后五个交易日内，公司将以本次可转债票面面值的105%（含最后一期利息）的价格向投资者赎回全部未转股的可转债。</v>
      </c>
      <c r="G17" s="36" t="str">
        <f>[1]!cb_clause_interest(A17,4)</f>
        <v>第一年为0.2%、第二年为0.5%、第三年为1.0%、第四年为1.5%、第五年为1.8%、第六年为2.0%。</v>
      </c>
      <c r="H17" s="36" t="str">
        <f>[1]!cb_clause_interest(A17,7)</f>
        <v>本次发行的可转债采用每年付息一次的付息方式，计息起始日为可转债发行首日，即2017年7月7日。到期归还本金和最后一年利息。每年的付息日为本次发行的可转债发行首日起每满一年的当日，如该日为法定节假日或休息日，则顺延至下一个交易日，顺延期间不另付息。每相邻的两个付息日之间为一个计息年度。</v>
      </c>
      <c r="I17" s="36">
        <f>[1]!cb_clause_conversion_2_relativeswapsharemonth(A17)</f>
        <v>6</v>
      </c>
      <c r="J17" s="36" t="str">
        <f>[1]!cb_clause_conversion_2_swapsharestartdate(A17)</f>
        <v>2018-01-08</v>
      </c>
      <c r="K17" s="36" t="str">
        <f>[1]!cb_clause_conversion_2_swapshareenddate(A17)</f>
        <v>2023-07-06</v>
      </c>
      <c r="L17" s="36" t="str">
        <f>[1]!cb_clause_conversion_2_isforced(A17)</f>
        <v>否</v>
      </c>
      <c r="M17" s="36">
        <f xml:space="preserve"> [1]!cb_clause_conversion_2_forceconvertdate(A17)</f>
        <v>0</v>
      </c>
      <c r="N17" s="36">
        <f>[1]!cb_clause_conversion_2_forceconvertprice(A17)</f>
        <v>0</v>
      </c>
      <c r="O17" s="37">
        <f ca="1">[1]!cb_clause_conversion2_swapshareprice(A17,$O$3)</f>
        <v>20.2</v>
      </c>
      <c r="P17" s="36" t="str">
        <f>[1]!b_clause_conversion_code(A17)</f>
        <v>191013</v>
      </c>
      <c r="Q17" s="38">
        <f ca="1">[1]!cb_clause_conversion2_conversionproportion(A17,$Q$3)</f>
        <v>4.9504950495049505</v>
      </c>
      <c r="R17" s="36">
        <f ca="1">[1]!cb_clause_conversion2_bondlot(A17,$R$3)/10000</f>
        <v>700000</v>
      </c>
      <c r="S17" s="36">
        <f ca="1">[1]!cb_clause_conversion2_bondproportion(A17,$S$3)</f>
        <v>100</v>
      </c>
      <c r="T17" s="36" t="str">
        <f>[1]!cb_clause_conversion_2_conversionproportion(A17)</f>
        <v>是</v>
      </c>
      <c r="U17" s="36" t="str">
        <f>[1]!cb_clause_conversion2_tosharepriceadjustitem(A17)</f>
        <v>在本次发行之后，当公司因派送股票股利、转增股本、增发新股或配股、派送现金股利等情况（不包括因本次发行的可转债转股而增加的股本）使公司股份发生变化时，将按下述公式进行转股价格的调整：派送股票股利或转增股本：P1=P0/（1+n）；增发新股或配股：P1=（P0+A×k）/（1+k）；上述两项同时进行：P1=（P0+A×k）/（1+n+k）；派送现金股利：P1=P0-D；上述三项同时进行：P1＝（P0-D+A×k）/（1+n+k）。其中：P0为调整前转股价，n为派送股票股利或转增股本率，k为增发新股或配股率，A为增发新股价或配股价，D为每股派送现金股利，P1为调整后转股价。当公司出现上述股份和/或股东权益变化情况时，将依次进行转股价格调整，并在上海证券交易所网站（www.sse.com.cn）和中国证监会指定的上市公司信息披露媒体上刊登董事会决议公告，并于公告中载明转股价格调整日、调整办法及暂停转股时期（如需）；并根据香港证券市场的有关规则及《公司章程》要求在香港市场予以公布（如需）。当转股价格调整日为本次发行的可转债持有人转股申请日或之后，转换股份登记日之前，则该持有人的转股申请按公司调整后的转股价格执行。</v>
      </c>
      <c r="V17" s="36" t="str">
        <f>[1]!cb_clause_reset_item(A17)</f>
        <v>在本次发行的可转债存续期间，当公司A股股票在任意连续三十个交易日中有十五个交易日的收盘价低于当期转股价格的80%时，公司董事会有权提出转股价格向下修正方案并提交公司股东大会审议表决。上述方案须经出席会议的股东所持表决权的三分之二以上通过方可实施。股东大会进行表决时，持有本次发行的可转债的股东应当回避。修正后的转股价格应不低于前述的股东大会召开日前二十个交易日公司A股股票交易均价和前一个交易日公司A股股票交易均价。若在前述三十个交易日内发生过转股价格调整的情形，则在转股价格调整日前的交易日按调整前的转股价格和收盘价计算，在转股价格调整日及之后的交易日按调整后的转股价格和收盘价计算。</v>
      </c>
      <c r="W17" s="36" t="str">
        <f xml:space="preserve"> [1]!cb_clause_reset_isexitreset(A17)</f>
        <v>是</v>
      </c>
      <c r="X17" s="36" t="str">
        <f xml:space="preserve"> [1]!cb_clause_reset_resetstartdate(A17)</f>
        <v>2017-07-07</v>
      </c>
      <c r="Y17" s="36" t="str">
        <f xml:space="preserve"> [1]!cb_clause_reset_resetperiodenddate(A17)</f>
        <v>2023-07-07</v>
      </c>
      <c r="Z17" s="36">
        <f>[1]!cb_clause_reset_resetmaxtimespan(A17)</f>
        <v>30</v>
      </c>
      <c r="AA17" s="36">
        <f>[1]!cb_clause_reset_resettimespan(A17)</f>
        <v>15</v>
      </c>
      <c r="AB17" s="36">
        <f>[1]!cb_clause_reset_resettriggerratio(A17)</f>
        <v>80</v>
      </c>
      <c r="AC17" s="36" t="str">
        <f>[1]!cb_clause_reset_referencepriceisanverage(A17)</f>
        <v>否</v>
      </c>
      <c r="AD17" s="36">
        <f>[1]!cb_clause_reset_resetrange(A17)</f>
        <v>0</v>
      </c>
      <c r="AE17" s="36" t="str">
        <f>[1]!cb_clause_reset_stockpricelowestlimit(A17)</f>
        <v>不低于前述的股东大会召开日前二十个交易日公司A股股票交易均价和前一个交易日公司A股股票交易均价。</v>
      </c>
      <c r="AF17" s="36">
        <f>[1]!cb_clause_reset_resettimeslimit(A17)</f>
        <v>0</v>
      </c>
      <c r="AG17" s="36">
        <f xml:space="preserve">  [1]!cb_clause_reset_timepointclause(A17)</f>
        <v>0</v>
      </c>
      <c r="AH17" s="36">
        <f xml:space="preserve"> [1]!cb_clause_calloption_relativecalloptionperiod(A17)</f>
        <v>6</v>
      </c>
      <c r="AI17" s="36" t="str">
        <f xml:space="preserve"> [1]!cb_clause_calloption_redemptiontimesperyear(A17)</f>
        <v>不限次数</v>
      </c>
      <c r="AJ17" s="36" t="str">
        <f>[1]!cb_clause_calloption_conditionalredeemstartdate(A17)</f>
        <v>2018-01-08</v>
      </c>
      <c r="AK17" s="36">
        <f>[1]!cb_clause_calloption_redeemmaxspan(A17)</f>
        <v>30</v>
      </c>
      <c r="AL17" s="36">
        <f>[1]!cb_clause_calloption_redeemspan(A17)</f>
        <v>15</v>
      </c>
      <c r="AM17" s="36">
        <f>[1]!cb_clause_calloption_triggerproportion(A17)</f>
        <v>130</v>
      </c>
      <c r="AN17" s="36">
        <f xml:space="preserve"> [1]!cb_clause_calloption_redemptionprice(A17)</f>
        <v>0</v>
      </c>
      <c r="AO17" s="36" t="str">
        <f>[1]!cb_clause_calloption_redemptionmemo(A17)</f>
        <v>按照债券面值加当期应计利息的价格赎回全部或部分未转股的可转债。</v>
      </c>
      <c r="AP17" s="36" t="str">
        <f>[1]!cb_clause_calloption_redeemitem(A17)</f>
        <v>（1）到期赎回条款在本次发行的可转债期满后五个交易日内，公司将以本次可转债票面面值的105%（含最后一期利息）的价格向投资者赎回全部未转股的可转债。（2）有条件赎回条款在本次发行的可转债转股期内，如果公司A股股票连续三十个交易日中至少有十五个交易日的收盘价不低于当期转股价格的130%（含130%），或本次发行的可转债未转股余额不足人民币3,000万元时，公司有权按照债券面值加当期应计利息的价格赎回全部或部分未转股的可转债。当期应计利息的计算公式为：IA=B×i×t/365IA：指当期应计利息；B：指本次发行的可转债持有人持有的可转债票面总金额；i：指可转债当年票面利率；t：指计息天数，即从上一个付息日起至本计息年度赎回日止的实际日历天数（算头不算尾）。若在前述三十个交易日内发生过转股价格调整的情形，则在调整前的交易日按调整前的转股价格和收盘价计算，在调整后的交易日按调整后的转股价格和收盘价计算。</v>
      </c>
      <c r="AQ17" s="36" t="str">
        <f xml:space="preserve"> [1]!cb_clause_calloption_iswithtimeredemptionclause(A17)</f>
        <v>否</v>
      </c>
      <c r="AR17" s="36">
        <f>[1]!cb_clause_calloption_timeredemptiontimes(A17)</f>
        <v>0</v>
      </c>
      <c r="AS17" s="36">
        <f>[1]!cb_clause_calloption_redeemclause(A17)</f>
        <v>0</v>
      </c>
      <c r="AT17" s="36">
        <f xml:space="preserve"> [1]!cb_clause_putoption_putbackperiodobs(A17)</f>
        <v>0</v>
      </c>
      <c r="AU17" s="36">
        <f>[1]!cb_clause_putoption_conditionalputbackstartenddate(A17)</f>
        <v>0</v>
      </c>
      <c r="AV17" s="36">
        <f xml:space="preserve"> [1]!cb_clause_putoption_conditionalputbackenddate(A17)</f>
        <v>0</v>
      </c>
      <c r="AW17" s="36">
        <f xml:space="preserve"> [1]!cb_clause_putoption_putbacktriggermaxspan(A17)</f>
        <v>0</v>
      </c>
      <c r="AX17" s="36">
        <f>[1]!cb_clause_putoption_redeem_triggerproportion(A17)</f>
        <v>0</v>
      </c>
      <c r="AY17" s="36">
        <f>[1]!cb_clause_putoption_resellingprice(A17)</f>
        <v>0</v>
      </c>
      <c r="AZ17" s="36">
        <f xml:space="preserve"> [1]!cb_clause_putoption_resellingpriceexplaination(A17)</f>
        <v>0</v>
      </c>
      <c r="BA17" s="36">
        <f>[1]!cb_clause_putoption_interestdisposing(A17)</f>
        <v>0</v>
      </c>
      <c r="BB17" s="36" t="str">
        <f xml:space="preserve"> [1]!cb_clause_putoption_sellbackitem(A17)</f>
        <v>若本次发行可转债募集资金运用的实施情况与公司在募集说明书中的承诺相比出现变化，且该变化被中国证监会认定为改变募集资金用途的，可转债持有人享有一次以面值加上当期应计利息的价格向公司回售其持有的全部或部分可转债的权利。在上述情形下，可转债持有人可以在回售申报期内进行回售，在回售申报期内不实施回售的，自动丧失该回售权（当期应计利息的计算方式参见第11条“赎回条款”的相关内容）。</v>
      </c>
      <c r="BC17" s="36">
        <f>[1]!cb_clause_putoption_putbackperiod(A17)</f>
        <v>0</v>
      </c>
      <c r="BD17" s="36">
        <f>[1]!cb_clause_putoption_putbackstartdate(A17)</f>
        <v>0</v>
      </c>
      <c r="BE17" s="36">
        <f>[1]!cb_clause_putoption_putbackenddate(A17)</f>
        <v>0</v>
      </c>
      <c r="BF17" s="36">
        <f xml:space="preserve"> [1]!cb_clause_putoption_putbackprice(A17)</f>
        <v>0</v>
      </c>
      <c r="BG17" s="36">
        <f>[1]!cb_clause_putoption_putbackclause(A17)</f>
        <v>0</v>
      </c>
      <c r="BH17" s="36">
        <f>[1]!cb_clause_putoption_timeputbacktimes(A17)</f>
        <v>0</v>
      </c>
      <c r="BI17" s="36">
        <f>[1]!cb_clause_putoption_timeputbackclause(A17)</f>
        <v>0</v>
      </c>
      <c r="BJ17" s="36">
        <f>[1]!cb_clause_putoption_additionalpricememo(A17)</f>
        <v>0</v>
      </c>
      <c r="BK17" s="36">
        <f>[1]!cb_clause_putoption_putbackadditionalcondition(A17)</f>
        <v>0</v>
      </c>
    </row>
    <row r="18" spans="1:63" x14ac:dyDescent="0.15">
      <c r="A18" s="34" t="s">
        <v>96</v>
      </c>
      <c r="B18" s="35" t="str">
        <f xml:space="preserve"> [1]!cb_info_name(A18)</f>
        <v>林洋转债</v>
      </c>
      <c r="C18" s="36" t="str">
        <f>[1]!cb_clause_interest(A18,5)</f>
        <v>否</v>
      </c>
      <c r="D18" s="36" t="str">
        <f>[1]!cb_clause_interest(A18,8)</f>
        <v>是</v>
      </c>
      <c r="E18" s="36">
        <f>[1]!cb_clause_interest(A18,3)</f>
        <v>1.85</v>
      </c>
      <c r="F18" s="36" t="str">
        <f xml:space="preserve"> [1]!cb_clause_interest(A18,6)</f>
        <v>在本次发行的可转换公司债券期满后五个交易日内，公司将以本次可转换公司债券票面面值的106% (含最后一期利息)的价格向投资者赎回全部未转股的可转换公司债券。</v>
      </c>
      <c r="G18" s="36" t="str">
        <f>[1]!cb_clause_interest(A18,4)</f>
        <v>第一年为0.3%，第二年为0.5%，第三年为1.0%，第四年为1.5%，第五年为1.8%，第六年为2.0%</v>
      </c>
      <c r="H18" s="36" t="str">
        <f>[1]!cb_clause_interest(A18,7)</f>
        <v>本次发行的可转换公司债券采用每年付息一次的付息方式，到期归还本金和最后一年利息。1、年利息计算年利息指可转换公司债券持有人按持有的可转换公司债券票面总金额自可转换公司债券发行首日起每满一年可享受的当期利息。2、付息方式（1）本次发行的可转换公司债券采用每年付息一次的付息方式，计息起始日为可转换公司债券发行首日。（2）付息日：每年的付息日为本次发行的可转换公司债券发行首日起每满一年的当日。如该日为法定节假日或休息日，则顺延至下一个工作日，顺延期间不另付息。每相邻的两个付息日之间为一个计息年度。（3）付息债权登记日：每年的付息债权登记日为每年付息日的前一交易日，公司将在每年付息日之后的五个交易日内支付当年利息。在付息债权登记日前（包括付息债权登记日）申请转换成公司股票的可转换公司债券，公司不再向其持有人支付本计息年度及以后计息年度的利息。（4）可转换公司债券持有人所获得利息收入的应付税项由持有人承担。</v>
      </c>
      <c r="I18" s="36">
        <f>[1]!cb_clause_conversion_2_relativeswapsharemonth(A18)</f>
        <v>6</v>
      </c>
      <c r="J18" s="36" t="str">
        <f>[1]!cb_clause_conversion_2_swapsharestartdate(A18)</f>
        <v>2018-05-03</v>
      </c>
      <c r="K18" s="36" t="str">
        <f>[1]!cb_clause_conversion_2_swapshareenddate(A18)</f>
        <v>2023-10-26</v>
      </c>
      <c r="L18" s="36" t="str">
        <f>[1]!cb_clause_conversion_2_isforced(A18)</f>
        <v>否</v>
      </c>
      <c r="M18" s="36">
        <f xml:space="preserve"> [1]!cb_clause_conversion_2_forceconvertdate(A18)</f>
        <v>0</v>
      </c>
      <c r="N18" s="36">
        <f>[1]!cb_clause_conversion_2_forceconvertprice(A18)</f>
        <v>0</v>
      </c>
      <c r="O18" s="37">
        <f ca="1">[1]!cb_clause_conversion2_swapshareprice(A18,$O$3)</f>
        <v>8.8000000000000007</v>
      </c>
      <c r="P18" s="36" t="str">
        <f>[1]!b_clause_conversion_code(A18)</f>
        <v>191014</v>
      </c>
      <c r="Q18" s="38">
        <f ca="1">[1]!cb_clause_conversion2_conversionproportion(A18,$Q$3)</f>
        <v>11.363636363636363</v>
      </c>
      <c r="R18" s="36">
        <f ca="1">[1]!cb_clause_conversion2_bondlot(A18,$R$3)/10000</f>
        <v>300000</v>
      </c>
      <c r="S18" s="36">
        <f ca="1">[1]!cb_clause_conversion2_bondproportion(A18,$S$3)</f>
        <v>100</v>
      </c>
      <c r="T18" s="36" t="str">
        <f>[1]!cb_clause_conversion_2_conversionproportion(A18)</f>
        <v>是</v>
      </c>
      <c r="U18" s="36" t="str">
        <f>[1]!cb_clause_conversion2_tosharepriceadjustitem(A18)</f>
        <v>在本次发行之后，若公司发生派送红股、转增股本、增发新股（不包括因本次发行的可转换公司债券转股而增加的股本）、配股以及派发现金股利等情况，则转股价格相应调整。具体的转股价格调整公式如下：派送股票股利或转增股本：P1=P0/（1+n）；增发新股或配股：P1=（P0+A×k）/（1+k）；上述两项同时进行：P1=（P0+A×k）/（1+n+k）派送现金股利：P1=P0-D；上述三项同时进行：P1＝（P0-D+A×k）/（1+n+k）。其中：P0为调整前转股价，n为派送股票股利或转增股本率，k为增发新股或配股率，A为增发新股价或配股价，D为每股派送现金股利，P1为调整后转股价。当公司出现上述股份和/或股东权益变化情况时，将依次进行转股价格调整，并在中国证监会指定的上市公司信息披露媒体上刊登转股价格调整的公告，并于公告中载明转股价格调整日、调整办法及暂停转股时期（如需）。当转股价格调整日为本次发行的可转换公司债券持有人转股申请日或之后，转换股份登记日之前，则该持有人的转股申请按公司调整后的转股价格执行。</v>
      </c>
      <c r="V18" s="36" t="str">
        <f>[1]!cb_clause_reset_item(A18)</f>
        <v>在本次发行的可转换公司债券存续期间，当公司股票在任意连续三十个交易日中至少有十五个交易日的收盘价低于当期转股价格的80%时，公司董事会有权提出转股价格向下修正方案并提交公司股东大会表决。上述方案须经出席会议的股东所持表决权的三分之二以上通过方可实施。股东大会进行表决时，持有本次发行的可转换公司债券的股东应当回避。修正后的转股价格应不低于本次股东大会召开日前二十个交易日公司股票交易均价和前一交易日均价之间的较高者。若在前述三十个交易日内发生过转股价格调整的情形，则在转股价格调整日前的交易日按调整前的转股价格和收盘价计算，在转股价格调整日及之后的交易日按调整后的转股价格和收盘价计算。</v>
      </c>
      <c r="W18" s="36" t="str">
        <f xml:space="preserve"> [1]!cb_clause_reset_isexitreset(A18)</f>
        <v>是</v>
      </c>
      <c r="X18" s="36" t="str">
        <f xml:space="preserve"> [1]!cb_clause_reset_resetstartdate(A18)</f>
        <v>2017-10-27</v>
      </c>
      <c r="Y18" s="36" t="str">
        <f xml:space="preserve"> [1]!cb_clause_reset_resetperiodenddate(A18)</f>
        <v>2023-10-27</v>
      </c>
      <c r="Z18" s="36">
        <f>[1]!cb_clause_reset_resetmaxtimespan(A18)</f>
        <v>30</v>
      </c>
      <c r="AA18" s="36">
        <f>[1]!cb_clause_reset_resettimespan(A18)</f>
        <v>15</v>
      </c>
      <c r="AB18" s="36">
        <f>[1]!cb_clause_reset_resettriggerratio(A18)</f>
        <v>80</v>
      </c>
      <c r="AC18" s="36" t="str">
        <f>[1]!cb_clause_reset_referencepriceisanverage(A18)</f>
        <v>否</v>
      </c>
      <c r="AD18" s="36">
        <f>[1]!cb_clause_reset_resetrange(A18)</f>
        <v>0</v>
      </c>
      <c r="AE18" s="36" t="str">
        <f>[1]!cb_clause_reset_stockpricelowestlimit(A18)</f>
        <v>应不低于本次股东大会召开日前二十个交易日公司股票交易均价和前一交易日均价之间的较高者</v>
      </c>
      <c r="AF18" s="36">
        <f>[1]!cb_clause_reset_resettimeslimit(A18)</f>
        <v>0</v>
      </c>
      <c r="AG18" s="36">
        <f xml:space="preserve">  [1]!cb_clause_reset_timepointclause(A18)</f>
        <v>0</v>
      </c>
      <c r="AH18" s="36">
        <f xml:space="preserve"> [1]!cb_clause_calloption_relativecalloptionperiod(A18)</f>
        <v>6</v>
      </c>
      <c r="AI18" s="36" t="str">
        <f xml:space="preserve"> [1]!cb_clause_calloption_redemptiontimesperyear(A18)</f>
        <v>不限次数</v>
      </c>
      <c r="AJ18" s="36" t="str">
        <f>[1]!cb_clause_calloption_conditionalredeemstartdate(A18)</f>
        <v>2018-05-03</v>
      </c>
      <c r="AK18" s="36">
        <f>[1]!cb_clause_calloption_redeemmaxspan(A18)</f>
        <v>30</v>
      </c>
      <c r="AL18" s="36">
        <f>[1]!cb_clause_calloption_redeemspan(A18)</f>
        <v>15</v>
      </c>
      <c r="AM18" s="36">
        <f>[1]!cb_clause_calloption_triggerproportion(A18)</f>
        <v>130</v>
      </c>
      <c r="AN18" s="36">
        <f xml:space="preserve"> [1]!cb_clause_calloption_redemptionprice(A18)</f>
        <v>0</v>
      </c>
      <c r="AO18" s="36" t="str">
        <f>[1]!cb_clause_calloption_redemptionmemo(A18)</f>
        <v>按照债券面值加当期应计利息的价格赎回全部或部分未转股的可转债</v>
      </c>
      <c r="AP18" s="36" t="str">
        <f>[1]!cb_clause_calloption_redeemitem(A18)</f>
        <v>在本次发行的可转换公司债券期满后五个交易日内，公司将以本次可转换公司债券票面面值的106%(含最后一期利息)的价格向投资者赎回全部未转股的可转换公司债券。在本次发行的可转换公司债券转股期内，如果公司A股股票连续三十个交易日中至少有十五个交易日的收盘价不低于当期转股价格的130%（含130%），或本次发行的可转换公司债券未转股余额不足人民币3,000万元时，公司有权按照债券面值加当期应计利息的价格赎回全部或部分未转股的可转换公司债券。当期应计利息的计算公式为：IA=B×i×t/365IA：指当期应计利息；B：指本次发行的可转换公司债券持有人持有的可转换公司债券票面总金额；i：指可转换公司债券当年票面利率；t：指计息天数，即从上一个付息日起至本计息年度赎回日止的实际日历天数（算头不算尾）。若在前述三十个交易日内发生过转股价格调整的情形，则在调整前的交易日按调整前的转股价格和收盘价计算，在调整后的交易日按调整后的转股价格和收盘价计算。</v>
      </c>
      <c r="AQ18" s="36" t="str">
        <f xml:space="preserve"> [1]!cb_clause_calloption_iswithtimeredemptionclause(A18)</f>
        <v>否</v>
      </c>
      <c r="AR18" s="36">
        <f>[1]!cb_clause_calloption_timeredemptiontimes(A18)</f>
        <v>0</v>
      </c>
      <c r="AS18" s="36">
        <f>[1]!cb_clause_calloption_redeemclause(A18)</f>
        <v>0</v>
      </c>
      <c r="AT18" s="36">
        <f xml:space="preserve"> [1]!cb_clause_putoption_putbackperiodobs(A18)</f>
        <v>48</v>
      </c>
      <c r="AU18" s="36" t="str">
        <f>[1]!cb_clause_putoption_conditionalputbackstartenddate(A18)</f>
        <v>2021-10-27</v>
      </c>
      <c r="AV18" s="36">
        <f xml:space="preserve"> [1]!cb_clause_putoption_conditionalputbackenddate(A18)</f>
        <v>0</v>
      </c>
      <c r="AW18" s="36">
        <f xml:space="preserve"> [1]!cb_clause_putoption_putbacktriggermaxspan(A18)</f>
        <v>30</v>
      </c>
      <c r="AX18" s="36">
        <f>[1]!cb_clause_putoption_redeem_triggerproportion(A18)</f>
        <v>70</v>
      </c>
      <c r="AY18" s="36">
        <f>[1]!cb_clause_putoption_resellingprice(A18)</f>
        <v>0</v>
      </c>
      <c r="AZ18" s="36" t="str">
        <f xml:space="preserve"> [1]!cb_clause_putoption_resellingpriceexplaination(A18)</f>
        <v>将其持有的可转债全部或部分按债券面值加上当期应计利息的价格回售给公司</v>
      </c>
      <c r="BA18" s="36">
        <f>[1]!cb_clause_putoption_interestdisposing(A18)</f>
        <v>0</v>
      </c>
      <c r="BB18" s="36" t="str">
        <f xml:space="preserve"> [1]!cb_clause_putoption_sellbackitem(A18)</f>
        <v>本次发行的可转换公司债券最后两个计息年度，如果公司股票在任何连续三十个交易日的收盘价格低于当期转股价格的70%时，可转换公司债券持有人有权将其持有的可转换公司债券全部或部分按债券面值加上当期应计利息的价格回售给公司。若在上述交易日内发生过转股价格因发生送股票股利、转增股本、增发新股（不包括因本次发行的可转换公司债券转股而增加的股本）、配股以及派发现金股利等情况而调整的情形，则在调整前的交易日按调整前的转股价格和收盘价格计算，在调整后的交易日按调整后的转股价格和收盘价格计算。如果出现转股价格向下修正的情况，则上述三十个交易日须从转股价格调整之后的第一个交易日起重新计算。本次发行的可转换公司债券最后两个计息年度，可转换公司债券持有人在每年回售条件首次满足后可按上述约定条件行使回售权一次，若在首次满足回售条件而可转换公司债券持有人未在公司届时公告的回售申报期内申报并实施回售的，该计息年度不应再行使回售权，可转换公司债券持有人不能多次行使部分回售权。</v>
      </c>
      <c r="BC18" s="36">
        <f>[1]!cb_clause_putoption_putbackperiod(A18)</f>
        <v>0</v>
      </c>
      <c r="BD18" s="36">
        <f>[1]!cb_clause_putoption_putbackstartdate(A18)</f>
        <v>0</v>
      </c>
      <c r="BE18" s="36">
        <f>[1]!cb_clause_putoption_putbackenddate(A18)</f>
        <v>0</v>
      </c>
      <c r="BF18" s="36">
        <f xml:space="preserve"> [1]!cb_clause_putoption_putbackprice(A18)</f>
        <v>0</v>
      </c>
      <c r="BG18" s="36">
        <f>[1]!cb_clause_putoption_putbackclause(A18)</f>
        <v>0</v>
      </c>
      <c r="BH18" s="36">
        <f>[1]!cb_clause_putoption_timeputbacktimes(A18)</f>
        <v>0</v>
      </c>
      <c r="BI18" s="36">
        <f>[1]!cb_clause_putoption_timeputbackclause(A18)</f>
        <v>0</v>
      </c>
      <c r="BJ18" s="36" t="str">
        <f>[1]!cb_clause_putoption_additionalpricememo(A18)</f>
        <v>可转债持有人享有一次以面值加上当期应计利息的价格向公司回售其持有的全部或部分可转债的权利</v>
      </c>
      <c r="BK18" s="36" t="str">
        <f>[1]!cb_clause_putoption_putbackadditionalcondition(A18)</f>
        <v>若本次发行可转债募集资金运用的实施情况与公司在募集说明书中的承诺相比出现变化，且该变化被中国证监会认定为改变募集资金用途的</v>
      </c>
    </row>
    <row r="19" spans="1:63" x14ac:dyDescent="0.15">
      <c r="A19" s="34" t="s">
        <v>97</v>
      </c>
      <c r="B19" s="35" t="str">
        <f xml:space="preserve"> [1]!cb_info_name(A19)</f>
        <v>隆基转债</v>
      </c>
      <c r="C19" s="36" t="str">
        <f>[1]!cb_clause_interest(A19,5)</f>
        <v>否</v>
      </c>
      <c r="D19" s="36" t="str">
        <f>[1]!cb_clause_interest(A19,8)</f>
        <v>是</v>
      </c>
      <c r="E19" s="36">
        <f>[1]!cb_clause_interest(A19,3)</f>
        <v>1.7666999999999999</v>
      </c>
      <c r="F19" s="36" t="str">
        <f xml:space="preserve"> [1]!cb_clause_interest(A19,6)</f>
        <v>在本次发行的可转换公司债券期满后五个交易日内，公司将按债券面值的106%（含最后一期利息）的价格赎回未转股的可转换公司债券。</v>
      </c>
      <c r="G19" s="36" t="str">
        <f>[1]!cb_clause_interest(A19,4)</f>
        <v>第一年0.30%、第二年0.50%、第三年1.00%、第四年1.30%、第五年1.50%、第六年1.80%</v>
      </c>
      <c r="H19" s="36" t="str">
        <f>[1]!cb_clause_interest(A19,7)</f>
        <v>①本次发行的可转换公司债券采用每年付息一次的付息方式，计息起始日为可转换公司债券发行首日，即2017年11月2日。②付息日：每年的付息日为本次发行的可转换公司债券发行首日起每满一年的当日。如该日为法定节假日或休息日，则顺延至下一个工作日，顺延期间不另付息。每相邻的两个付息日之间为一个计息年度。③付息债权登记日：每年的付息债权登记日为每年付息日的前一交易日，公司将在每年付息日之后的五个交易日内支付当年利息。在付息债权登记日前（包括付息债权登记日）申请转换成公司股票的可转换公司债券，公司不再向其持有人支付本计息年度及以后计息年度的利息。④可转换公司债券持有人所获得利息收入的应付税项由持有人承担。</v>
      </c>
      <c r="I19" s="36">
        <f>[1]!cb_clause_conversion_2_relativeswapsharemonth(A19)</f>
        <v>6</v>
      </c>
      <c r="J19" s="36" t="str">
        <f>[1]!cb_clause_conversion_2_swapsharestartdate(A19)</f>
        <v>2018-05-08</v>
      </c>
      <c r="K19" s="36" t="str">
        <f>[1]!cb_clause_conversion_2_swapshareenddate(A19)</f>
        <v>2023-11-01</v>
      </c>
      <c r="L19" s="36" t="str">
        <f>[1]!cb_clause_conversion_2_isforced(A19)</f>
        <v>否</v>
      </c>
      <c r="M19" s="36">
        <f xml:space="preserve"> [1]!cb_clause_conversion_2_forceconvertdate(A19)</f>
        <v>0</v>
      </c>
      <c r="N19" s="36">
        <f>[1]!cb_clause_conversion_2_forceconvertprice(A19)</f>
        <v>0</v>
      </c>
      <c r="O19" s="37">
        <f ca="1">[1]!cb_clause_conversion2_swapshareprice(A19,$O$3)</f>
        <v>32.35</v>
      </c>
      <c r="P19" s="36" t="str">
        <f>[1]!b_clause_conversion_code(A19)</f>
        <v>191015</v>
      </c>
      <c r="Q19" s="38">
        <f ca="1">[1]!cb_clause_conversion2_conversionproportion(A19,$Q$3)</f>
        <v>3.0911901081916535</v>
      </c>
      <c r="R19" s="36">
        <f ca="1">[1]!cb_clause_conversion2_bondlot(A19,$R$3)/10000</f>
        <v>280000</v>
      </c>
      <c r="S19" s="36">
        <f ca="1">[1]!cb_clause_conversion2_bondproportion(A19,$S$3)</f>
        <v>100</v>
      </c>
      <c r="T19" s="36" t="str">
        <f>[1]!cb_clause_conversion_2_conversionproportion(A19)</f>
        <v>是</v>
      </c>
      <c r="U19" s="36" t="str">
        <f>[1]!cb_clause_conversion2_tosharepriceadjustitem(A19)</f>
        <v>在本次发行之后，若公司发生派送红股、转增股本、增发新股（不包括因本次发行的可转换公司债券转股而增加的股本）、配股以及派发现金股利等情况，则转股价格相应调整。具体的转股价格调整公式如下：派送股票股利或转增股本：P1=P0/（1+n）；增发新股或配股：P1=（P0+A×k）/（1+k）；上述两项同时进行：P1=（P0+A×k）/（1+n+k）派送现金股利：P1=P0-D；上述三项同时进行：P1＝（P0-D+A×k）/（1+n+k）。其中：P0为调整前转股价，n为派送股票股利或转增股本率，k为增发新股或配股率，A为增发新股价或配股价，D为每股派送现金股利，P1为调整后转股价。当公司出现上述股份和/或股东权益变化情况时，将依次进行转股价格调整，并在中国证监会指定的上市公司信息披露媒体上刊登转股价格调整的公告，并于公告中载明转股价格调整日、调整办法及暂停转股时期（如需）。当转股价格调整日为本次发行的可转换公司债券持有人转股申请日或之后，转换股份登记日之前，则该持有人的转股申请按公司调整后的转股价格执行。</v>
      </c>
      <c r="V19" s="36" t="str">
        <f>[1]!cb_clause_reset_item(A19)</f>
        <v>在本次发行的可转换公司债券存续期间，当公司股票在任意连续三十个交易日中至少有十五个交易日的收盘价低于当期转股价格的85%时，公司董事会有权提出转股价格向下修正方案并提交公司股东大会表决。上述方案须经出席会议的股东所持表决权的三分之二以上通过方可实施。股东大会进行表决时，持有本次发行的可转换公司债券的股东应当回避。修正后的转股价格应不低于本次股东大会召开日前二十个交易日公司股票交易均价和前一交易日均价之间的较高者。若在前述三十个交易日内发生过转股价格调整的情形，则在转股价格调整日前的交易日按调整前的转股价格和收盘价计算，在转股价格调整日及之后的交易日按调整后的转股价格和收盘价计算。</v>
      </c>
      <c r="W19" s="36" t="str">
        <f xml:space="preserve"> [1]!cb_clause_reset_isexitreset(A19)</f>
        <v>是</v>
      </c>
      <c r="X19" s="36" t="str">
        <f xml:space="preserve"> [1]!cb_clause_reset_resetstartdate(A19)</f>
        <v>2017-11-02</v>
      </c>
      <c r="Y19" s="36" t="str">
        <f xml:space="preserve"> [1]!cb_clause_reset_resetperiodenddate(A19)</f>
        <v>2023-11-02</v>
      </c>
      <c r="Z19" s="36">
        <f>[1]!cb_clause_reset_resetmaxtimespan(A19)</f>
        <v>30</v>
      </c>
      <c r="AA19" s="36">
        <f>[1]!cb_clause_reset_resettimespan(A19)</f>
        <v>15</v>
      </c>
      <c r="AB19" s="36">
        <f>[1]!cb_clause_reset_resettriggerratio(A19)</f>
        <v>85</v>
      </c>
      <c r="AC19" s="36" t="str">
        <f>[1]!cb_clause_reset_referencepriceisanverage(A19)</f>
        <v>否</v>
      </c>
      <c r="AD19" s="36">
        <f>[1]!cb_clause_reset_resetrange(A19)</f>
        <v>0</v>
      </c>
      <c r="AE19" s="36" t="str">
        <f>[1]!cb_clause_reset_stockpricelowestlimit(A19)</f>
        <v>应不低于本次股东大会召开日前二十个交易日公司股票交易均价和前一交易日均价之间的较高者</v>
      </c>
      <c r="AF19" s="36">
        <f>[1]!cb_clause_reset_resettimeslimit(A19)</f>
        <v>0</v>
      </c>
      <c r="AG19" s="36">
        <f xml:space="preserve">  [1]!cb_clause_reset_timepointclause(A19)</f>
        <v>0</v>
      </c>
      <c r="AH19" s="36">
        <f xml:space="preserve"> [1]!cb_clause_calloption_relativecalloptionperiod(A19)</f>
        <v>6</v>
      </c>
      <c r="AI19" s="36" t="str">
        <f xml:space="preserve"> [1]!cb_clause_calloption_redemptiontimesperyear(A19)</f>
        <v>不限次数</v>
      </c>
      <c r="AJ19" s="36" t="str">
        <f>[1]!cb_clause_calloption_conditionalredeemstartdate(A19)</f>
        <v>2018-05-08</v>
      </c>
      <c r="AK19" s="36">
        <f>[1]!cb_clause_calloption_redeemmaxspan(A19)</f>
        <v>30</v>
      </c>
      <c r="AL19" s="36">
        <f>[1]!cb_clause_calloption_redeemspan(A19)</f>
        <v>20</v>
      </c>
      <c r="AM19" s="36">
        <f>[1]!cb_clause_calloption_triggerproportion(A19)</f>
        <v>130</v>
      </c>
      <c r="AN19" s="36">
        <f xml:space="preserve"> [1]!cb_clause_calloption_redemptionprice(A19)</f>
        <v>0</v>
      </c>
      <c r="AO19" s="36" t="str">
        <f>[1]!cb_clause_calloption_redemptionmemo(A19)</f>
        <v>按照债券面值加当期应计利息的价格赎回全部或部分未转股的可转换公司债券</v>
      </c>
      <c r="AP19" s="36" t="str">
        <f>[1]!cb_clause_calloption_redeemitem(A19)</f>
        <v>（1）到期赎回条款在本次发行的可转换公司债券期满后五个交易日内，公司将按债券面值的106%（含最后一期利息）的价格赎回未转股的可转换公司债券。（2）有条件赎回条款在本次发行的可转换公司债券转股期内，如果公司A股股票连续三十个交易日中至少有二十个交易日的收盘价不低于当期转股价格的130%（含130%），或本次发行的可转换公司债券未转股余额不足人民币3,000万元时，公司有权按照债券面值加当期应计利息的价格赎回全部或部分未转股的可转换公司债券。若在前述三十个交易日内发生过转股价格调整的情形，则在转股价格调整日前的交易日按调整前的转股价格和收盘价计算，在转股价格调整日及之后的交易日按调整后的转股价格和收盘价计算。</v>
      </c>
      <c r="AQ19" s="36" t="str">
        <f xml:space="preserve"> [1]!cb_clause_calloption_iswithtimeredemptionclause(A19)</f>
        <v>否</v>
      </c>
      <c r="AR19" s="36">
        <f>[1]!cb_clause_calloption_timeredemptiontimes(A19)</f>
        <v>0</v>
      </c>
      <c r="AS19" s="36">
        <f>[1]!cb_clause_calloption_redeemclause(A19)</f>
        <v>0</v>
      </c>
      <c r="AT19" s="36">
        <f xml:space="preserve"> [1]!cb_clause_putoption_putbackperiodobs(A19)</f>
        <v>48</v>
      </c>
      <c r="AU19" s="36" t="str">
        <f>[1]!cb_clause_putoption_conditionalputbackstartenddate(A19)</f>
        <v>2021-11-02</v>
      </c>
      <c r="AV19" s="36">
        <f xml:space="preserve"> [1]!cb_clause_putoption_conditionalputbackenddate(A19)</f>
        <v>0</v>
      </c>
      <c r="AW19" s="36">
        <f xml:space="preserve"> [1]!cb_clause_putoption_putbacktriggermaxspan(A19)</f>
        <v>30</v>
      </c>
      <c r="AX19" s="36">
        <f>[1]!cb_clause_putoption_redeem_triggerproportion(A19)</f>
        <v>70</v>
      </c>
      <c r="AY19" s="36">
        <f>[1]!cb_clause_putoption_resellingprice(A19)</f>
        <v>0</v>
      </c>
      <c r="AZ19" s="36" t="str">
        <f xml:space="preserve"> [1]!cb_clause_putoption_resellingpriceexplaination(A19)</f>
        <v>将其持有的可转债全部或部分按债券面值加上当期应计利息的价格回售给公司</v>
      </c>
      <c r="BA19" s="36">
        <f>[1]!cb_clause_putoption_interestdisposing(A19)</f>
        <v>0</v>
      </c>
      <c r="BB19" s="36" t="str">
        <f xml:space="preserve"> [1]!cb_clause_putoption_sellbackitem(A19)</f>
        <v>（1）有条件回售条款本次发行的可转换公司债券最后两个计息年度，如果公司股票在任何连续三十个交易日的收盘价低于当期转股价格的70%时，可转换公司债券持有人有权将其持有的可转换公司债券全部或部分按债券面值加上当期应计利息的价格回售给公司。若在前述三十个交易日内发生过转股价格因发生送股票股利、转增股本、增发新股（不包括因本次发行的可转换公司债券转股而增加的股本）、配股以及派发现金股利等情况而调整的情形，则在调整前的交易日按调整前的转股价格和收盘价计算，在调整后的交易日按调整后的转股价格和收盘价计算。如果出现转股价格向下修正的情况，则上述三十个交易日须从转股价格调整之后的第一个交易日起重新计算。本次发行的可转换公司债券最后两个计息年度，可转换公司债券持有人在每年回售条件首次满足后可按上述约定条件行使回售权一次，若在首次满足回售条件而可转换公司债券持有人未在公司届时公告的回售申报期内申报并实施回售的，该计息年度不应再行使回售权，可转换公司债券持有人不能多次行使部分回售权。</v>
      </c>
      <c r="BC19" s="36">
        <f>[1]!cb_clause_putoption_putbackperiod(A19)</f>
        <v>0</v>
      </c>
      <c r="BD19" s="36">
        <f>[1]!cb_clause_putoption_putbackstartdate(A19)</f>
        <v>0</v>
      </c>
      <c r="BE19" s="36">
        <f>[1]!cb_clause_putoption_putbackenddate(A19)</f>
        <v>0</v>
      </c>
      <c r="BF19" s="36">
        <f xml:space="preserve"> [1]!cb_clause_putoption_putbackprice(A19)</f>
        <v>0</v>
      </c>
      <c r="BG19" s="36">
        <f>[1]!cb_clause_putoption_putbackclause(A19)</f>
        <v>0</v>
      </c>
      <c r="BH19" s="36">
        <f>[1]!cb_clause_putoption_timeputbacktimes(A19)</f>
        <v>0</v>
      </c>
      <c r="BI19" s="36">
        <f>[1]!cb_clause_putoption_timeputbackclause(A19)</f>
        <v>0</v>
      </c>
      <c r="BJ19" s="36" t="str">
        <f>[1]!cb_clause_putoption_additionalpricememo(A19)</f>
        <v>可转换公司债券持有人享有一次以面值加上当期应计利息的价格向公司回售其持有的全部或部分可转换公司债券的权利。</v>
      </c>
      <c r="BK19" s="36" t="str">
        <f>[1]!cb_clause_putoption_putbackadditionalcondition(A19)</f>
        <v>若本次发行可转换公司债券募集资金运用的实施情况与公司在募集说明书中的承诺相比出现变化，且该变化被中国证监会认定为改变募集资金用途的</v>
      </c>
    </row>
    <row r="20" spans="1:63" x14ac:dyDescent="0.15">
      <c r="A20" s="34" t="s">
        <v>98</v>
      </c>
      <c r="B20" s="35" t="str">
        <f xml:space="preserve"> [1]!cb_info_name(A20)</f>
        <v>小康转债</v>
      </c>
      <c r="C20" s="36" t="str">
        <f>[1]!cb_clause_interest(A20,5)</f>
        <v>否</v>
      </c>
      <c r="D20" s="36" t="str">
        <f>[1]!cb_clause_interest(A20,8)</f>
        <v>是</v>
      </c>
      <c r="E20" s="36">
        <f>[1]!cb_clause_interest(A20,3)</f>
        <v>1.85</v>
      </c>
      <c r="F20" s="36" t="str">
        <f xml:space="preserve"> [1]!cb_clause_interest(A20,6)</f>
        <v>本次发行的可转债到期后5个交易日内，发行人将按债券面值的106%（含最后一期利息）的价格赎回未转股的可转债。</v>
      </c>
      <c r="G20" s="36" t="str">
        <f>[1]!cb_clause_interest(A20,4)</f>
        <v>第一年0.30%、第二年0.50%、第三年1.00%、第四年1.50%、第五年1.80%、第六年2.00%</v>
      </c>
      <c r="H20" s="36" t="str">
        <f>[1]!cb_clause_interest(A20,7)</f>
        <v>本次发行的可转债采用每年付息一次的付息方式，到期归还本金和最后一年利息。1、 年利息计算年利息指可转债持有人按持有的可转债票面总金额自可转债发行首日起每满一年可享受的当期利息。2、 付息方式（ 1） 本次发行的可转债采用每年付息一次的付息方式，计息起始日为可转债发行首日。（ 2） 付息日：每年的付息日为本次发行的可转债发行首日起每满一年的当日。如该日为法定节假日或休息日，则顺延至下一个工作日，顺延期间不另付息。每相邻的两个付息日之间为一个计息年度。（ 3）付息债权登记日：每年的付息债权登记日为每年付息日的前一交易日，公司将在每年付息日之后的5个交易日内支付当年利息。在付息债权登记日前（包括付息债权登记日）申请转换成公司股票的可转债，公司不再向其持有人支付本计息年度及以后计息年度的利息。（ 4） 可转债持有人所获得利息收入的应付税项由持有人承担。</v>
      </c>
      <c r="I20" s="36">
        <f>[1]!cb_clause_conversion_2_relativeswapsharemonth(A20)</f>
        <v>6</v>
      </c>
      <c r="J20" s="36" t="str">
        <f>[1]!cb_clause_conversion_2_swapsharestartdate(A20)</f>
        <v>2018-05-11</v>
      </c>
      <c r="K20" s="36" t="str">
        <f>[1]!cb_clause_conversion_2_swapshareenddate(A20)</f>
        <v>2023-11-05</v>
      </c>
      <c r="L20" s="36" t="str">
        <f>[1]!cb_clause_conversion_2_isforced(A20)</f>
        <v>否</v>
      </c>
      <c r="M20" s="36">
        <f xml:space="preserve"> [1]!cb_clause_conversion_2_forceconvertdate(A20)</f>
        <v>0</v>
      </c>
      <c r="N20" s="36">
        <f>[1]!cb_clause_conversion_2_forceconvertprice(A20)</f>
        <v>0</v>
      </c>
      <c r="O20" s="37">
        <f ca="1">[1]!cb_clause_conversion2_swapshareprice(A20,$O$3)</f>
        <v>23</v>
      </c>
      <c r="P20" s="36" t="str">
        <f>[1]!b_clause_conversion_code(A20)</f>
        <v>191016</v>
      </c>
      <c r="Q20" s="38">
        <f ca="1">[1]!cb_clause_conversion2_conversionproportion(A20,$Q$3)</f>
        <v>4.3478260869565215</v>
      </c>
      <c r="R20" s="36">
        <f ca="1">[1]!cb_clause_conversion2_bondlot(A20,$R$3)/10000</f>
        <v>150000</v>
      </c>
      <c r="S20" s="36">
        <f ca="1">[1]!cb_clause_conversion2_bondproportion(A20,$S$3)</f>
        <v>100</v>
      </c>
      <c r="T20" s="36" t="str">
        <f>[1]!cb_clause_conversion_2_conversionproportion(A20)</f>
        <v>是</v>
      </c>
      <c r="U20" s="36" t="str">
        <f>[1]!cb_clause_conversion2_tosharepriceadjustitem(A20)</f>
        <v>在本次发行之后，若公司发生派送红股、转增股本、增发新股（不包括因本次发行的可转债转股而增加的股本）、配股以及派发现金股利等情况，将按下述公式进行转股价格的调整（保留小数点后两位，最后一位四舍五入）：派送红股或转增股本：P1＝P0/（1+n）；增发新股或配股：P1＝（P0+A×k）/（1+k）；上述两项同时进行：P1＝（P0+A×k）/（1+n+k）；派送现金股利：P1＝P0-D；上述三项同时进行：P1＝（P0-D+A×k）/（1+n+k）。其中：P1为调整后转股价，P0为调整前转股价，n为送股或转增股本率，A为增发新股价或配股价，k为增发新股或配股率，D为每股派送现金股利。</v>
      </c>
      <c r="V20" s="36" t="str">
        <f>[1]!cb_clause_reset_item(A20)</f>
        <v>在本次发行的可转债存续期间，当公司股票在任意连续二十个交易日中至少有十个交易日的收盘价低于当期转股价格的90%时，公司董事会有权提出转股价格向下修正方案并提交公司股东大会审议表决。上述方案须经出席会议的股东所持表决权的三分之二以上通过方可实施。股东大会进行表决时，持有公司本次发行的可转债的股东应当回避。修正后的转股价格应不低于该次股东大会召开日前二十个交易日公司股票交易均价和前一交易日公司股票交易均价较高者。同时，修正后的转股价格不得低于最近一期经审计的每股净资产值和股票面值。若在前述二十个交易日内发生过转股价格调整的情形，则在调整前的交易日按调整前的转股价格和收盘价格计算，调整后的交易日按调整后的转股价格和收盘价格计算。</v>
      </c>
      <c r="W20" s="36" t="str">
        <f xml:space="preserve"> [1]!cb_clause_reset_isexitreset(A20)</f>
        <v>是</v>
      </c>
      <c r="X20" s="36" t="str">
        <f xml:space="preserve"> [1]!cb_clause_reset_resetstartdate(A20)</f>
        <v>2017-11-06</v>
      </c>
      <c r="Y20" s="36" t="str">
        <f xml:space="preserve"> [1]!cb_clause_reset_resetperiodenddate(A20)</f>
        <v>2023-11-06</v>
      </c>
      <c r="Z20" s="36">
        <f>[1]!cb_clause_reset_resetmaxtimespan(A20)</f>
        <v>20</v>
      </c>
      <c r="AA20" s="36">
        <f>[1]!cb_clause_reset_resettimespan(A20)</f>
        <v>10</v>
      </c>
      <c r="AB20" s="36">
        <f>[1]!cb_clause_reset_resettriggerratio(A20)</f>
        <v>90</v>
      </c>
      <c r="AC20" s="36" t="str">
        <f>[1]!cb_clause_reset_referencepriceisanverage(A20)</f>
        <v>否</v>
      </c>
      <c r="AD20" s="36">
        <f>[1]!cb_clause_reset_resetrange(A20)</f>
        <v>0</v>
      </c>
      <c r="AE20" s="36" t="str">
        <f>[1]!cb_clause_reset_stockpricelowestlimit(A20)</f>
        <v>不低于该次股东大会召开日前20，1个交易日公司股票交易均价较高者，每股净资产值和股票面值</v>
      </c>
      <c r="AF20" s="36">
        <f>[1]!cb_clause_reset_resettimeslimit(A20)</f>
        <v>0</v>
      </c>
      <c r="AG20" s="36">
        <f xml:space="preserve">  [1]!cb_clause_reset_timepointclause(A20)</f>
        <v>0</v>
      </c>
      <c r="AH20" s="36">
        <f xml:space="preserve"> [1]!cb_clause_calloption_relativecalloptionperiod(A20)</f>
        <v>6</v>
      </c>
      <c r="AI20" s="36" t="str">
        <f xml:space="preserve"> [1]!cb_clause_calloption_redemptiontimesperyear(A20)</f>
        <v>不限次数</v>
      </c>
      <c r="AJ20" s="36" t="str">
        <f>[1]!cb_clause_calloption_conditionalredeemstartdate(A20)</f>
        <v>2018-05-11</v>
      </c>
      <c r="AK20" s="36">
        <f>[1]!cb_clause_calloption_redeemmaxspan(A20)</f>
        <v>30</v>
      </c>
      <c r="AL20" s="36">
        <f>[1]!cb_clause_calloption_redeemspan(A20)</f>
        <v>15</v>
      </c>
      <c r="AM20" s="36">
        <f>[1]!cb_clause_calloption_triggerproportion(A20)</f>
        <v>130</v>
      </c>
      <c r="AN20" s="36">
        <f xml:space="preserve"> [1]!cb_clause_calloption_redemptionprice(A20)</f>
        <v>0</v>
      </c>
      <c r="AO20" s="36" t="str">
        <f>[1]!cb_clause_calloption_redemptionmemo(A20)</f>
        <v>按照债券面值加应计利息的价格赎回全部或部分未转股的可转债</v>
      </c>
      <c r="AP20" s="36" t="str">
        <f>[1]!cb_clause_calloption_redeemitem(A20)</f>
        <v>（1）到期赎回本次发行的可转债到期后5个交易日内，发行人将按债券面值的106%（含最后一期利息）的价格赎回未转股的可转债。（2）有条件赎回在本次发行的可转债转股期内，当下述两种情形的任意一种出现时，公司有权决定按照债券面值加应计利息的价格赎回全部或部分未转股的可转债：①在本次发行的可转债转股期内，如果公司A股股票连续三十个交易日中至少有十五个交易日的收盘价格不低于当期转股价格的130%（含130%）；②当本次发行的可转债未转股余额不足3,000万元时。若在前述三十个交易日内发生过转股价格调整的情形，则在调整前的交易日按调整前的转股价格和收盘价格计算，调整后的交易日按调整后的转股价格和收盘价格计算。</v>
      </c>
      <c r="AQ20" s="36" t="str">
        <f xml:space="preserve"> [1]!cb_clause_calloption_iswithtimeredemptionclause(A20)</f>
        <v>否</v>
      </c>
      <c r="AR20" s="36">
        <f>[1]!cb_clause_calloption_timeredemptiontimes(A20)</f>
        <v>0</v>
      </c>
      <c r="AS20" s="36">
        <f>[1]!cb_clause_calloption_redeemclause(A20)</f>
        <v>0</v>
      </c>
      <c r="AT20" s="36">
        <f xml:space="preserve"> [1]!cb_clause_putoption_putbackperiodobs(A20)</f>
        <v>48</v>
      </c>
      <c r="AU20" s="36" t="str">
        <f>[1]!cb_clause_putoption_conditionalputbackstartenddate(A20)</f>
        <v>2021-11-06</v>
      </c>
      <c r="AV20" s="36">
        <f xml:space="preserve"> [1]!cb_clause_putoption_conditionalputbackenddate(A20)</f>
        <v>0</v>
      </c>
      <c r="AW20" s="36">
        <f xml:space="preserve"> [1]!cb_clause_putoption_putbacktriggermaxspan(A20)</f>
        <v>30</v>
      </c>
      <c r="AX20" s="36">
        <f>[1]!cb_clause_putoption_redeem_triggerproportion(A20)</f>
        <v>70</v>
      </c>
      <c r="AY20" s="36">
        <f>[1]!cb_clause_putoption_resellingprice(A20)</f>
        <v>0</v>
      </c>
      <c r="AZ20" s="36" t="str">
        <f xml:space="preserve"> [1]!cb_clause_putoption_resellingpriceexplaination(A20)</f>
        <v>将其持有的可转债全部或部分按债券面值加上当期应计利息的价格回售给公司</v>
      </c>
      <c r="BA20" s="36">
        <f>[1]!cb_clause_putoption_interestdisposing(A20)</f>
        <v>0</v>
      </c>
      <c r="BB20" s="36" t="str">
        <f xml:space="preserve"> [1]!cb_clause_putoption_sellbackitem(A20)</f>
        <v>本次发行的可转债最后两个计息年度，如果公司A股股票在任何连续30个交易日的收盘价格低于当期转股价格的70%时，可转债持有人有权将其持有的可转债全部或部分按债券面值加上当期应计利息的价格回售给公司。若在上述交易日内发生过转股价格因发生派送红股、转增股本、增发新股（不包括因本次发行的可转债转股而增加的股本）、配股以及派发现金股利等情况而调整的情形，则在调整前的交易日按调整前的转股价格和收盘价格计算，在调整后的交易日按调整后的转股价格和收盘价格计算。如果出现转股价格向下修正的情况，则上述30个交易日须从转股价格调整之后的第一个交易日起重新计算。本次发行的可转债最后两个计息年度起，可转债持有人在每年回售条件首次满足后可按上述约定条件行使回售权一次，若在首次满足回售条件而可转债持有人未在公司届时公告的回售申报期内申报并实施回售的，该计息年度不应再行使回售权，可转债持有人不能多次行使部分回售权。</v>
      </c>
      <c r="BC20" s="36">
        <f>[1]!cb_clause_putoption_putbackperiod(A20)</f>
        <v>0</v>
      </c>
      <c r="BD20" s="36">
        <f>[1]!cb_clause_putoption_putbackstartdate(A20)</f>
        <v>0</v>
      </c>
      <c r="BE20" s="36">
        <f>[1]!cb_clause_putoption_putbackenddate(A20)</f>
        <v>0</v>
      </c>
      <c r="BF20" s="36">
        <f xml:space="preserve"> [1]!cb_clause_putoption_putbackprice(A20)</f>
        <v>0</v>
      </c>
      <c r="BG20" s="36">
        <f>[1]!cb_clause_putoption_putbackclause(A20)</f>
        <v>0</v>
      </c>
      <c r="BH20" s="36">
        <f>[1]!cb_clause_putoption_timeputbacktimes(A20)</f>
        <v>0</v>
      </c>
      <c r="BI20" s="36">
        <f>[1]!cb_clause_putoption_timeputbackclause(A20)</f>
        <v>0</v>
      </c>
      <c r="BJ20" s="36" t="str">
        <f>[1]!cb_clause_putoption_additionalpricememo(A20)</f>
        <v>可转债持有人有权将其持有的可转债全部或部分按债券面值加当期应计利息的价格回售给公司</v>
      </c>
      <c r="BK20" s="36" t="str">
        <f>[1]!cb_clause_putoption_putbackadditionalcondition(A20)</f>
        <v>若公司本次发行的可转债募集资金投资项目的事实情况与公司在募集说明书中的承诺情况相比出现重大变化，根据中国证监会的相关规定被视作改变募集资金用途或被中国证监会认定为改变募集资金用途的，</v>
      </c>
    </row>
    <row r="21" spans="1:63" x14ac:dyDescent="0.15">
      <c r="A21" s="34" t="s">
        <v>99</v>
      </c>
      <c r="B21" s="35" t="str">
        <f xml:space="preserve"> [1]!cb_info_name(A21)</f>
        <v>嘉澳转债</v>
      </c>
      <c r="C21" s="36" t="str">
        <f>[1]!cb_clause_interest(A21,5)</f>
        <v>否</v>
      </c>
      <c r="D21" s="36" t="str">
        <f>[1]!cb_clause_interest(A21,8)</f>
        <v>是</v>
      </c>
      <c r="E21" s="36">
        <f>[1]!cb_clause_interest(A21,3)</f>
        <v>2.2166999999999999</v>
      </c>
      <c r="F21" s="36" t="str">
        <f xml:space="preserve"> [1]!cb_clause_interest(A21,6)</f>
        <v>在本次可转债期满后五个交易日内，公司将以本次可转债票面面值的108%（含最后一期利息）的价格向投资者赎回全部未转股的可转债。</v>
      </c>
      <c r="G21" s="36" t="str">
        <f>[1]!cb_clause_interest(A21,4)</f>
        <v>第一年0.4%、第二年0.6%、第三年1.0%、第四年1.5%、第五年1.8%、第六年2.0%</v>
      </c>
      <c r="H21" s="36" t="str">
        <f>[1]!cb_clause_interest(A21,7)</f>
        <v>本次发行的可转债采用每年付息一次的付息方式，计息起始日为可转债发行首日。付息日：每年的付息日为本次发行的可转债发行首日起每满一年的当日。如该日为法定节假日或休息日，则顺延至下一个工作日，顺延期间不另付息。每相邻的两个付息日之间为一个计息年度。付息债权登记日：每年的付息债权登记日为每年付息日的前一交易日，公司将在每年付息日之后的五个交易日内支付当年利息。在付息债权登记日前（包括付息债权登记日）申请转换成公司股票的可转债，公司不再向其持有人支付本计息年度及以后计息年度的利息。可转债持有人所获得利息收入的应付税项由持有人承担。</v>
      </c>
      <c r="I21" s="36">
        <f>[1]!cb_clause_conversion_2_relativeswapsharemonth(A21)</f>
        <v>6</v>
      </c>
      <c r="J21" s="36" t="str">
        <f>[1]!cb_clause_conversion_2_swapsharestartdate(A21)</f>
        <v>2018-05-10</v>
      </c>
      <c r="K21" s="36" t="str">
        <f>[1]!cb_clause_conversion_2_swapshareenddate(A21)</f>
        <v>2023-11-10</v>
      </c>
      <c r="L21" s="36" t="str">
        <f>[1]!cb_clause_conversion_2_isforced(A21)</f>
        <v>否</v>
      </c>
      <c r="M21" s="36">
        <f xml:space="preserve"> [1]!cb_clause_conversion_2_forceconvertdate(A21)</f>
        <v>0</v>
      </c>
      <c r="N21" s="36">
        <f>[1]!cb_clause_conversion_2_forceconvertprice(A21)</f>
        <v>0</v>
      </c>
      <c r="O21" s="37">
        <f ca="1">[1]!cb_clause_conversion2_swapshareprice(A21,$O$3)</f>
        <v>45.48</v>
      </c>
      <c r="P21" s="36" t="str">
        <f>[1]!b_clause_conversion_code(A21)</f>
        <v>191502</v>
      </c>
      <c r="Q21" s="38">
        <f ca="1">[1]!cb_clause_conversion2_conversionproportion(A21,$Q$3)</f>
        <v>2.1987686895338614</v>
      </c>
      <c r="R21" s="36">
        <f ca="1">[1]!cb_clause_conversion2_bondlot(A21,$R$3)/10000</f>
        <v>18500</v>
      </c>
      <c r="S21" s="36">
        <f ca="1">[1]!cb_clause_conversion2_bondproportion(A21,$S$3)</f>
        <v>100</v>
      </c>
      <c r="T21" s="36" t="str">
        <f>[1]!cb_clause_conversion_2_conversionproportion(A21)</f>
        <v>是</v>
      </c>
      <c r="U21" s="36" t="str">
        <f>[1]!cb_clause_conversion2_tosharepriceadjustitem(A21)</f>
        <v>在本次发行之后，当公司因派送股票股利、转增股本、增发新股或配股、派送现金股利等情况（不包括因可转债转股而增加的股本），将按下述公式进行转股价格的调整（保留小数点后两位，最后一位四舍五入）：派送股票股利或转增股本：P1=P0/(1+n)；增发新股或配股：P1=(P0+A*k)/(1+k)；上述两项同时进行：P1=(P0+A*k)/(1+n+k)；派送现金股利：P1=P0-D；上述三项同时进行：P1=(P0-D+A*k)/(1+n+k)。其中：P1为调整后转股价，P0为调整前转股价，n为送股或转增股本率，A为增发新股价或配股价，k为增发新股或配股率，D为每股派送现金股利。当公司出现上述股份和/或股东权益变化情况时，将依次进行转股价格调整，并在中国证监会指定的上市公司信息披露媒体上刊登董事会决议公告，并于公告中载明转股价格调整日、调整办法及暂停转股时期（如需）。当转股价格调整日为本次发行的可转债持有人转股申请日或之后，转换股份登记日之前，则该持有人的转股申请按公司调整后的转股价格执行。</v>
      </c>
      <c r="V21" s="36" t="str">
        <f>[1]!cb_clause_reset_item(A21)</f>
        <v>在本次发行的可转债存续期间，当公司股票在任意连续二十个交易日中至少有十个交易日的收盘价低于当期转股价格的90%时，公司董事会有权提出转股价格向下修正方案并提交公司股东大会审议表决。上述方案须经出席会议的股东所持表决权的三分之二以上通过方可实施。股东大会进行表决时，持有公司本次发行的可转债的股东应当回避。修正后的转股价格应不低于该次股东大会召开日前二十个交易日公司股票交易均价和前一交易日公司股票交易均价较高者。同时，修正后的转股价格不得低于最近一期经审计的每股净资产值和股票面值。若在前述二十个交易日内发生过转股价格调整的情形，则在调整前的交易日按调整前的转股价格和收盘价格计算，调整后的交易日按调整后的转股价格和收盘价格计算。</v>
      </c>
      <c r="W21" s="36" t="str">
        <f xml:space="preserve"> [1]!cb_clause_reset_isexitreset(A21)</f>
        <v>是</v>
      </c>
      <c r="X21" s="36" t="str">
        <f xml:space="preserve"> [1]!cb_clause_reset_resetstartdate(A21)</f>
        <v>2017-11-10</v>
      </c>
      <c r="Y21" s="36" t="str">
        <f xml:space="preserve"> [1]!cb_clause_reset_resetperiodenddate(A21)</f>
        <v>2023-11-10</v>
      </c>
      <c r="Z21" s="36">
        <f>[1]!cb_clause_reset_resetmaxtimespan(A21)</f>
        <v>20</v>
      </c>
      <c r="AA21" s="36">
        <f>[1]!cb_clause_reset_resettimespan(A21)</f>
        <v>10</v>
      </c>
      <c r="AB21" s="36">
        <f>[1]!cb_clause_reset_resettriggerratio(A21)</f>
        <v>90</v>
      </c>
      <c r="AC21" s="36" t="str">
        <f>[1]!cb_clause_reset_referencepriceisanverage(A21)</f>
        <v>否</v>
      </c>
      <c r="AD21" s="36">
        <f>[1]!cb_clause_reset_resetrange(A21)</f>
        <v>0</v>
      </c>
      <c r="AE21" s="36" t="str">
        <f>[1]!cb_clause_reset_stockpricelowestlimit(A21)</f>
        <v>不低于该次股东大会召开日前20，1交易日公司股票交易均价较高者，每股净资产值和股票面值</v>
      </c>
      <c r="AF21" s="36">
        <f>[1]!cb_clause_reset_resettimeslimit(A21)</f>
        <v>0</v>
      </c>
      <c r="AG21" s="36">
        <f xml:space="preserve">  [1]!cb_clause_reset_timepointclause(A21)</f>
        <v>0</v>
      </c>
      <c r="AH21" s="36">
        <f xml:space="preserve"> [1]!cb_clause_calloption_relativecalloptionperiod(A21)</f>
        <v>6</v>
      </c>
      <c r="AI21" s="36" t="str">
        <f xml:space="preserve"> [1]!cb_clause_calloption_redemptiontimesperyear(A21)</f>
        <v>不限次数</v>
      </c>
      <c r="AJ21" s="36" t="str">
        <f>[1]!cb_clause_calloption_conditionalredeemstartdate(A21)</f>
        <v>2018-05-10</v>
      </c>
      <c r="AK21" s="36">
        <f>[1]!cb_clause_calloption_redeemmaxspan(A21)</f>
        <v>30</v>
      </c>
      <c r="AL21" s="36">
        <f>[1]!cb_clause_calloption_redeemspan(A21)</f>
        <v>15</v>
      </c>
      <c r="AM21" s="36">
        <f>[1]!cb_clause_calloption_triggerproportion(A21)</f>
        <v>130</v>
      </c>
      <c r="AN21" s="36">
        <f xml:space="preserve"> [1]!cb_clause_calloption_redemptionprice(A21)</f>
        <v>0</v>
      </c>
      <c r="AO21" s="36" t="str">
        <f>[1]!cb_clause_calloption_redemptionmemo(A21)</f>
        <v>按照债券面值加当期应计利息的价格赎回全部或部分未转股的可转债</v>
      </c>
      <c r="AP21" s="36" t="str">
        <f>[1]!cb_clause_calloption_redeemitem(A21)</f>
        <v>（1）到期赎回条款在本次可转债期满后五个交易日内，公司将以本次可转债票面面值的108%（含最后一期利息）的价格向投资者赎回全部未转股的可转债。（2）有条件赎回条款在本次发行的可转债转股期内，如果公司A股股票连续三十个交易日中至少有十五个交易日的收盘价格不低于当期转股价格的130%（含130%），或本次发行的可转债未转股余额不足3,000万元时，公司有权按照债券面值加当期应计利息的价格赎回全部或部分未转股的可转债。</v>
      </c>
      <c r="AQ21" s="36" t="str">
        <f xml:space="preserve"> [1]!cb_clause_calloption_iswithtimeredemptionclause(A21)</f>
        <v>否</v>
      </c>
      <c r="AR21" s="36">
        <f>[1]!cb_clause_calloption_timeredemptiontimes(A21)</f>
        <v>0</v>
      </c>
      <c r="AS21" s="36">
        <f>[1]!cb_clause_calloption_redeemclause(A21)</f>
        <v>0</v>
      </c>
      <c r="AT21" s="36">
        <f xml:space="preserve"> [1]!cb_clause_putoption_putbackperiodobs(A21)</f>
        <v>48</v>
      </c>
      <c r="AU21" s="36" t="str">
        <f>[1]!cb_clause_putoption_conditionalputbackstartenddate(A21)</f>
        <v>2021-11-10</v>
      </c>
      <c r="AV21" s="36">
        <f xml:space="preserve"> [1]!cb_clause_putoption_conditionalputbackenddate(A21)</f>
        <v>0</v>
      </c>
      <c r="AW21" s="36">
        <f xml:space="preserve"> [1]!cb_clause_putoption_putbacktriggermaxspan(A21)</f>
        <v>30</v>
      </c>
      <c r="AX21" s="36">
        <f>[1]!cb_clause_putoption_redeem_triggerproportion(A21)</f>
        <v>70</v>
      </c>
      <c r="AY21" s="36">
        <f>[1]!cb_clause_putoption_resellingprice(A21)</f>
        <v>0</v>
      </c>
      <c r="AZ21" s="36" t="str">
        <f xml:space="preserve"> [1]!cb_clause_putoption_resellingpriceexplaination(A21)</f>
        <v>将其持有的可转债全部或部分按债券面值加上当期应计利息的价格回售给公司</v>
      </c>
      <c r="BA21" s="36">
        <f>[1]!cb_clause_putoption_interestdisposing(A21)</f>
        <v>0</v>
      </c>
      <c r="BB21" s="36" t="str">
        <f xml:space="preserve"> [1]!cb_clause_putoption_sellbackitem(A21)</f>
        <v>（1）有条件回售条款本次发行的可转债最后两个计息年度，如果公司股票在任何连续三十个交易日的收盘价格低于当期转股价格的70%时，可转债持有人有权将其持有的可转债全部或部分按债券面值加上当期应计利息的价格回售给公司。若在上述交易日内发生过转股价格因发生送股票股利、转增股本、增发新股（不包括因本次发行的可转债转股而增加的股本）、配股以及派发现金股利等情况而调整的情形，则在调整前的交易日按调整前的转股价格和收盘价格计算，在调整后的交易日按调整后的转股价格和收盘价格计算。如果出现转股价格向下修正的情况，则上述三十个交易日须从转股价格调整之后的第一个交易日起重新计算。本次发行的可转债最后两个计息年度，可转债持有人在每年回售条件首次满足后可按上述约定条件行使回售权一次，若在首次满足回售条件而可转债持有人未在公司届时公告的回售申报期内申报并实施回售的，该计息年度不应再行使回售权，可转债持有人不能多次行使部分回售权。</v>
      </c>
      <c r="BC21" s="36">
        <f>[1]!cb_clause_putoption_putbackperiod(A21)</f>
        <v>0</v>
      </c>
      <c r="BD21" s="36">
        <f>[1]!cb_clause_putoption_putbackstartdate(A21)</f>
        <v>0</v>
      </c>
      <c r="BE21" s="36">
        <f>[1]!cb_clause_putoption_putbackenddate(A21)</f>
        <v>0</v>
      </c>
      <c r="BF21" s="36">
        <f xml:space="preserve"> [1]!cb_clause_putoption_putbackprice(A21)</f>
        <v>0</v>
      </c>
      <c r="BG21" s="36">
        <f>[1]!cb_clause_putoption_putbackclause(A21)</f>
        <v>0</v>
      </c>
      <c r="BH21" s="36">
        <f>[1]!cb_clause_putoption_timeputbacktimes(A21)</f>
        <v>0</v>
      </c>
      <c r="BI21" s="36">
        <f>[1]!cb_clause_putoption_timeputbackclause(A21)</f>
        <v>0</v>
      </c>
      <c r="BJ21" s="36" t="str">
        <f>[1]!cb_clause_putoption_additionalpricememo(A21)</f>
        <v>将其持有的可转债全部或部分按债券面值加当期应计利息的价格回售给公司</v>
      </c>
      <c r="BK21" s="36" t="str">
        <f>[1]!cb_clause_putoption_putbackadditionalcondition(A21)</f>
        <v>若公司本次发行的可转债募集资金投资项目的事实情况与公司在募集说明书中的承诺情况相比出现重大变化，根据中国证监会的相关规定被视作改变募集资金用途或被中国证监会认定为改变募集资金用途的</v>
      </c>
    </row>
    <row r="22" spans="1:63" x14ac:dyDescent="0.15">
      <c r="A22" s="34" t="s">
        <v>100</v>
      </c>
      <c r="B22" s="35" t="str">
        <f xml:space="preserve"> [1]!cb_info_name(A22)</f>
        <v>蓝标转债</v>
      </c>
      <c r="C22" s="36" t="str">
        <f>[1]!cb_clause_interest(A22,5)</f>
        <v>否</v>
      </c>
      <c r="D22" s="36" t="str">
        <f>[1]!cb_clause_interest(A22,8)</f>
        <v>是</v>
      </c>
      <c r="E22" s="36">
        <f>[1]!cb_clause_interest(A22,3)</f>
        <v>2.25</v>
      </c>
      <c r="F22" s="36" t="str">
        <f xml:space="preserve"> [1]!cb_clause_interest(A22,6)</f>
        <v>在本次发行的可转债期满后5个交易日内，发行人将以本次发行的可转债票面面值上浮8%的价格（含最后一期利息）向投资者赎回全部未转股的可转债。</v>
      </c>
      <c r="G22" s="36" t="str">
        <f>[1]!cb_clause_interest(A22,4)</f>
        <v>第一年到第六年的利率分别为：0.5%、0.7%、1.0%、1.5%、1.8%和2.0%。</v>
      </c>
      <c r="H22" s="36" t="str">
        <f>[1]!cb_clause_interest(A22,7)</f>
        <v>A、本次发行的可转债采用每年付息一次的付息方式，计息起始日为可转债发行首日。B、付息日：每年的付息日为本次发行的可转债发行首日起每满一年的当日。如该日为法定节假日或休息日，则顺延至下一个工作日，顺延期间不另付息。每相邻的两个付息日之间为一个计息年度。C、付息债权登记日：每年的付息债权登记日为每年付息日的前一交易日，发行人将在每年付息日之后的五个交易日内支付当年利息。在付息债权登记日前（包括付息债权登记日）申请转换成发行人 A 股股票的可转债， 发行人不再向其持有人支付本计息年度及以后计息年度的利息。D、可转债持有人所获得利息收入的应付税项由持有人承担。转股年度有关利息和股利的归属等事项，由发行人董事会根据相关法律法规及深圳证券交易所的规定确定。</v>
      </c>
      <c r="I22" s="36">
        <f>[1]!cb_clause_conversion_2_relativeswapsharemonth(A22)</f>
        <v>6</v>
      </c>
      <c r="J22" s="36" t="str">
        <f>[1]!cb_clause_conversion_2_swapsharestartdate(A22)</f>
        <v>2016-06-27</v>
      </c>
      <c r="K22" s="36" t="str">
        <f>[1]!cb_clause_conversion_2_swapshareenddate(A22)</f>
        <v>2021-12-17</v>
      </c>
      <c r="L22" s="36" t="str">
        <f>[1]!cb_clause_conversion_2_isforced(A22)</f>
        <v>否</v>
      </c>
      <c r="M22" s="36">
        <f xml:space="preserve"> [1]!cb_clause_conversion_2_forceconvertdate(A22)</f>
        <v>0</v>
      </c>
      <c r="N22" s="36">
        <f>[1]!cb_clause_conversion_2_forceconvertprice(A22)</f>
        <v>0</v>
      </c>
      <c r="O22" s="37">
        <f ca="1">[1]!cb_clause_conversion2_swapshareprice(A22,$O$3)</f>
        <v>9.77</v>
      </c>
      <c r="P22" s="36" t="str">
        <f>[1]!b_clause_conversion_code(A22)</f>
        <v>123001</v>
      </c>
      <c r="Q22" s="38">
        <f ca="1">[1]!cb_clause_conversion2_conversionproportion(A22,$Q$3)</f>
        <v>10.235414534288639</v>
      </c>
      <c r="R22" s="36">
        <f ca="1">[1]!cb_clause_conversion2_bondlot(A22,$R$3)/10000</f>
        <v>139980.32999999999</v>
      </c>
      <c r="S22" s="36">
        <f ca="1">[1]!cb_clause_conversion2_bondproportion(A22,$S$3)</f>
        <v>99.985949999999988</v>
      </c>
      <c r="T22" s="36" t="str">
        <f>[1]!cb_clause_conversion_2_conversionproportion(A22)</f>
        <v>是</v>
      </c>
      <c r="U22" s="36" t="str">
        <f>[1]!cb_clause_conversion2_tosharepriceadjustitem(A22)</f>
        <v>在本次发行之后，当发行人发生派送股票股利、转增股本、增发新股或配股、派送现金股利等情况（不包括因本次发行的可转债转股而增加的股本），将按下述公式进行转股价格的调整（保留小数点后两位，最后一位四舍五入）：派送股票股利或转增股本：P1=P0/（1+n）；增发新股或配股：P1=（P0+A×k）/（1+k）；两项同时进行：P1=（P0+A×k）/（1+n+k）；派送现金股利：P1=P0－D；上述三项同时进行：P1＝（P0－D+A×k）/（1+n+k）其中：P0为调整前转股价，n为送股或转增股本率，k为增发新股或配股率，A为增发新股价或配股价，D为每股派送现金股利，P1为调整后转股价。当发行人出现上述股份和/或股东权益变化情况时，将依次进行转股价格调整，并在中国证监会指定的上市公司信息披露媒体上刊登董事会决议公告，并于公告中载明转股价格调整日、调整办法及暂停转股期间（如需）；当转股价格调整日为本次发行的可转债持有人转股申请日或之后，转换股份登记日之前，则该持有人的转股申请按发行人调整后的转股价格执行。20170622:调整前转股价：人民币10.00元/股,调整后转股价格：人民币9.93元/股.20170718:调整前转股价：人民币9.93元/股,调整后转股价格：人民币9.77元/股</v>
      </c>
      <c r="V22" s="36" t="str">
        <f>[1]!cb_clause_reset_item(A22)</f>
        <v>在本次发行的可转债存续期间，当发行人A股股票在任意连续20个交易日中有至少10个交易日的收盘价低于当期转股价格的85%时，发行人董事会有权提出转股价格向下修正方案并提交发行人股东大会表决。上述方案须经出席会议的股东所持表决权的三分之二以上通过方可实施。股东大会进行表决时，持有本次发行的可转债的股东应当回避。修正后的转股价格应不低于本次股东大会召开日前20个交易日发行人股票交易均价和前一交易日均价之间的较高者，同时修正后的转股价格不得低于最近一期经审计的每股净资产值和股票面值。若在前述20个交易日内发生过转股价格调整的情形，则在转股价格调整日前的交易日按调整前的转股价格和收盘价计算，在转股价格调整日及之后的交易日按调整后的转股价格和收盘价计算。</v>
      </c>
      <c r="W22" s="36" t="str">
        <f xml:space="preserve"> [1]!cb_clause_reset_isexitreset(A22)</f>
        <v>是</v>
      </c>
      <c r="X22" s="36" t="str">
        <f xml:space="preserve"> [1]!cb_clause_reset_resetstartdate(A22)</f>
        <v>2015-12-18</v>
      </c>
      <c r="Y22" s="36" t="str">
        <f xml:space="preserve"> [1]!cb_clause_reset_resetperiodenddate(A22)</f>
        <v>2021-12-18</v>
      </c>
      <c r="Z22" s="36">
        <f>[1]!cb_clause_reset_resetmaxtimespan(A22)</f>
        <v>20</v>
      </c>
      <c r="AA22" s="36">
        <f>[1]!cb_clause_reset_resettimespan(A22)</f>
        <v>10</v>
      </c>
      <c r="AB22" s="36">
        <f>[1]!cb_clause_reset_resettriggerratio(A22)</f>
        <v>85</v>
      </c>
      <c r="AC22" s="36" t="str">
        <f>[1]!cb_clause_reset_referencepriceisanverage(A22)</f>
        <v>否</v>
      </c>
      <c r="AD22" s="36">
        <f>[1]!cb_clause_reset_resetrange(A22)</f>
        <v>0</v>
      </c>
      <c r="AE22" s="36" t="str">
        <f>[1]!cb_clause_reset_stockpricelowestlimit(A22)</f>
        <v>不低于股东大会前20个交易日股票交易均价和前1交易日的交易均价,不得低于最近1期每股净资产值和股票面值</v>
      </c>
      <c r="AF22" s="36">
        <f>[1]!cb_clause_reset_resettimeslimit(A22)</f>
        <v>0</v>
      </c>
      <c r="AG22" s="36">
        <f xml:space="preserve">  [1]!cb_clause_reset_timepointclause(A22)</f>
        <v>0</v>
      </c>
      <c r="AH22" s="36">
        <f xml:space="preserve"> [1]!cb_clause_calloption_relativecalloptionperiod(A22)</f>
        <v>6</v>
      </c>
      <c r="AI22" s="36" t="str">
        <f xml:space="preserve"> [1]!cb_clause_calloption_redemptiontimesperyear(A22)</f>
        <v>不限次数</v>
      </c>
      <c r="AJ22" s="36" t="str">
        <f>[1]!cb_clause_calloption_conditionalredeemstartdate(A22)</f>
        <v>2016-06-27</v>
      </c>
      <c r="AK22" s="36">
        <f>[1]!cb_clause_calloption_redeemmaxspan(A22)</f>
        <v>30</v>
      </c>
      <c r="AL22" s="36">
        <f>[1]!cb_clause_calloption_redeemspan(A22)</f>
        <v>15</v>
      </c>
      <c r="AM22" s="36">
        <f>[1]!cb_clause_calloption_triggerproportion(A22)</f>
        <v>130</v>
      </c>
      <c r="AN22" s="36">
        <f xml:space="preserve"> [1]!cb_clause_calloption_redemptionprice(A22)</f>
        <v>0</v>
      </c>
      <c r="AO22" s="36" t="str">
        <f>[1]!cb_clause_calloption_redemptionmemo(A22)</f>
        <v>发行人有权决定按照债券面值加当期应计利息的价格赎回全部或部分未转股的可转债</v>
      </c>
      <c r="AP22" s="36" t="str">
        <f>[1]!cb_clause_calloption_redeemitem(A22)</f>
        <v>转股期内，当下述两种情形的任意一种出现时，发行人有权决定按照债券面值加当期应计利息的价格赎回全部或部分未转股的可转债：A.在转股期内，如果发行人A股股票在任何连续30个交易日中至少15个交易日的收盘价格不低于当期转股价格的130%（含130%）；B.当本次发行的可转债未转股余额不足3,000万元时。当期应计利息的计算公式为：IA=B×i×t/365IA：指当期应计利息；B：指本次发行的可转债持有人持有的可转债票面总金额；i：指可转债当年票面利率；t：指计息天数，即从上一个付息日起至本计息年度赎回日止的实际日历天数（算头不算尾）。若在前述三十个交易日内发生过转股价格调整的情形，则在调整前的交易日按调整前的转股价格和收盘价计算，调整后的交易日按调整后的转股价格和收盘价计算。</v>
      </c>
      <c r="AQ22" s="36" t="str">
        <f xml:space="preserve"> [1]!cb_clause_calloption_iswithtimeredemptionclause(A22)</f>
        <v>否</v>
      </c>
      <c r="AR22" s="36">
        <f>[1]!cb_clause_calloption_timeredemptiontimes(A22)</f>
        <v>0</v>
      </c>
      <c r="AS22" s="36">
        <f>[1]!cb_clause_calloption_redeemclause(A22)</f>
        <v>0</v>
      </c>
      <c r="AT22" s="36">
        <f xml:space="preserve"> [1]!cb_clause_putoption_putbackperiodobs(A22)</f>
        <v>48</v>
      </c>
      <c r="AU22" s="36" t="str">
        <f>[1]!cb_clause_putoption_conditionalputbackstartenddate(A22)</f>
        <v>2019-12-18</v>
      </c>
      <c r="AV22" s="36">
        <f xml:space="preserve"> [1]!cb_clause_putoption_conditionalputbackenddate(A22)</f>
        <v>0</v>
      </c>
      <c r="AW22" s="36">
        <f xml:space="preserve"> [1]!cb_clause_putoption_putbacktriggermaxspan(A22)</f>
        <v>30</v>
      </c>
      <c r="AX22" s="36">
        <f>[1]!cb_clause_putoption_redeem_triggerproportion(A22)</f>
        <v>70</v>
      </c>
      <c r="AY22" s="36">
        <f>[1]!cb_clause_putoption_resellingprice(A22)</f>
        <v>0</v>
      </c>
      <c r="AZ22" s="36" t="str">
        <f xml:space="preserve"> [1]!cb_clause_putoption_resellingpriceexplaination(A22)</f>
        <v>可转债持有人有权将其持有的可转债全部或部分按面值加上当期应计利息的价格回售给发行人</v>
      </c>
      <c r="BA22" s="36">
        <f>[1]!cb_clause_putoption_interestdisposing(A22)</f>
        <v>0</v>
      </c>
      <c r="BB22" s="36" t="str">
        <f xml:space="preserve"> [1]!cb_clause_putoption_sellbackitem(A22)</f>
        <v>在发行人本次发行的可转债最后两个计息年度，如果发行人股票在任何连续30个交易日的收盘价格低于当期转股价的70%时，可转债持有人有权将其持有的可转债全部或部分按面值加上当期应计利息的价格回售给发行人。若在上述交易日内发生过转股价格因发生送红股、转增股本、增发新股（不包括因本次发行的可转债转股而增加的股本）、配股以及派发现金股利等情况而调整的情形，则在调整前的交易日按调整前的转股价格和收盘价格计算，在调整后的交易日按调整后的转股价格和收盘价格计算。如果出现转股价格向下修正的情况，则上述“连续30个交易日”须从转股价格调整之后的第一个交易日起重新计算。最后两个计息年度，发行人本次发行的可转债持有人在每年回售条件首次满足后可按上述约定条件行使回售权一次，若在首次满足回售条件而可转债持有人未在发行人届时公告的回售申报期内申报并实施回售的，该计息年度不应再行使回售权。发行人本次发行的可转债持有人不能多次行使部分回售权。</v>
      </c>
      <c r="BC22" s="36">
        <f>[1]!cb_clause_putoption_putbackperiod(A22)</f>
        <v>0</v>
      </c>
      <c r="BD22" s="36">
        <f>[1]!cb_clause_putoption_putbackstartdate(A22)</f>
        <v>0</v>
      </c>
      <c r="BE22" s="36">
        <f>[1]!cb_clause_putoption_putbackenddate(A22)</f>
        <v>0</v>
      </c>
      <c r="BF22" s="36">
        <f xml:space="preserve"> [1]!cb_clause_putoption_putbackprice(A22)</f>
        <v>0</v>
      </c>
      <c r="BG22" s="36">
        <f>[1]!cb_clause_putoption_putbackclause(A22)</f>
        <v>0</v>
      </c>
      <c r="BH22" s="36">
        <f>[1]!cb_clause_putoption_timeputbacktimes(A22)</f>
        <v>0</v>
      </c>
      <c r="BI22" s="36">
        <f>[1]!cb_clause_putoption_timeputbackclause(A22)</f>
        <v>0</v>
      </c>
      <c r="BJ22" s="36" t="str">
        <f>[1]!cb_clause_putoption_additionalpricememo(A22)</f>
        <v>若发行人本次发行的可转债募集资金投资项目的实施情况与发行人在募集说明书中的承诺情况相比出现重大变化,发行人本次发行的可转债持有人享有一次回售的权利。</v>
      </c>
      <c r="BK22" s="36" t="str">
        <f>[1]!cb_clause_putoption_putbackadditionalcondition(A22)</f>
        <v>根据中国证监会的相关规定被视作改变募集资金用途或被中国证监会认定为改变募集资金用途的，发行人本次发行的可转债持有人享有一次回售的权利。</v>
      </c>
    </row>
    <row r="23" spans="1:63" x14ac:dyDescent="0.15">
      <c r="A23" s="34" t="s">
        <v>101</v>
      </c>
      <c r="B23" s="35" t="str">
        <f xml:space="preserve"> [1]!cb_info_name(A23)</f>
        <v>海印转债</v>
      </c>
      <c r="C23" s="36" t="str">
        <f>[1]!cb_clause_interest(A23,5)</f>
        <v>否</v>
      </c>
      <c r="D23" s="36" t="str">
        <f>[1]!cb_clause_interest(A23,8)</f>
        <v>是</v>
      </c>
      <c r="E23" s="36">
        <f>[1]!cb_clause_interest(A23,3)</f>
        <v>2.5832999999999999</v>
      </c>
      <c r="F23" s="36" t="str">
        <f xml:space="preserve"> [1]!cb_clause_interest(A23,6)</f>
        <v>本次发行的可转债到期后5个交易日内，发行人将按债券面值的110%（含最后一期利息）的价格赎回未转股的可转债。</v>
      </c>
      <c r="G23" s="36" t="str">
        <f>[1]!cb_clause_interest(A23,4)</f>
        <v>票面利率：第一年0.50%、第二年0.70%、第三年1.00%、第四年1.50%、第五年1.80%、第六年2.00%。</v>
      </c>
      <c r="H23" s="36" t="str">
        <f>[1]!cb_clause_interest(A23,7)</f>
        <v>①年利息计算年利息指可转债持有人按持有的可转债票面总金额自可转债发行首日起每满一年可享受的当期利息。年利息的计算公式为：I=B×iI：指年利息额；B：指本次发行的可转债持有人在计息年度付息登记日持有的可转债票面总金额；i：指可转债当年票面利率。②付息方式本次可转债采用每年付息1次的付息方式，计息起始日为可转债发行首日，即2016年6月8日。每年的付息日为本次发行的可转债发行首日起每满一年的当日，如该日为法定节假日或休息日，则顺延至下一个工作日，付息顺延期间不另付息。每相邻的两个付息日之间为一个计息年度。转股年度有关利息和股利的归属等事项，由发行人董事会及其授权人士根据相关法律法规及深交所的规定确定。</v>
      </c>
      <c r="I23" s="36">
        <f>[1]!cb_clause_conversion_2_relativeswapsharemonth(A23)</f>
        <v>6</v>
      </c>
      <c r="J23" s="36" t="str">
        <f>[1]!cb_clause_conversion_2_swapsharestartdate(A23)</f>
        <v>2016-12-16</v>
      </c>
      <c r="K23" s="36" t="str">
        <f>[1]!cb_clause_conversion_2_swapshareenddate(A23)</f>
        <v>2022-06-07</v>
      </c>
      <c r="L23" s="36" t="str">
        <f>[1]!cb_clause_conversion_2_isforced(A23)</f>
        <v>否</v>
      </c>
      <c r="M23" s="36">
        <f xml:space="preserve"> [1]!cb_clause_conversion_2_forceconvertdate(A23)</f>
        <v>0</v>
      </c>
      <c r="N23" s="36">
        <f>[1]!cb_clause_conversion_2_forceconvertprice(A23)</f>
        <v>0</v>
      </c>
      <c r="O23" s="37">
        <f ca="1">[1]!cb_clause_conversion2_swapshareprice(A23,$O$3)</f>
        <v>5.25</v>
      </c>
      <c r="P23" s="36" t="str">
        <f>[1]!b_clause_conversion_code(A23)</f>
        <v>127003</v>
      </c>
      <c r="Q23" s="38">
        <f ca="1">[1]!cb_clause_conversion2_conversionproportion(A23,$Q$3)</f>
        <v>19.047619047619047</v>
      </c>
      <c r="R23" s="36">
        <f ca="1">[1]!cb_clause_conversion2_bondlot(A23,$R$3)/10000</f>
        <v>111093.29</v>
      </c>
      <c r="S23" s="36">
        <f ca="1">[1]!cb_clause_conversion2_bondproportion(A23,$S$3)</f>
        <v>99.993960396039597</v>
      </c>
      <c r="T23" s="36" t="str">
        <f>[1]!cb_clause_conversion_2_conversionproportion(A23)</f>
        <v>是</v>
      </c>
      <c r="U23" s="36" t="str">
        <f>[1]!cb_clause_conversion2_tosharepriceadjustitem(A23)</f>
        <v>在本次发行之后，当发行人因送红股、转增股本、增发新股（不包括因可转债转股增加的股本）、配股或派发现金股利等情况使发行人股份发生变化时，将按下述公式进行转股价格的调整：送股或转增股本：P1=P0/（1+n）；增发新股或配股：P1=（P0+A×k）/（1+k）；上述两项同时进行：P1=（P0+A×k）/（1+n+k）；派发现金股利：P1=P0-D；上述三项同时进行：P1＝（P0－D＋A×k）/（1+n+k）。其中：P0为初始转股价，n为送股率，k为增发新股或配股率，A为增发新股价或配股价，D为每股现金股利，P1为调整后转股价。当发行人出现上述股份和/或股东权益变化情况时，将依次进行转股价格调整，并在中国证监会指定的上市公司信息披露媒体上刊登公告，并于公告中载明转股价格调整日、调整办法及暂停转股时期（如需）。当转股价格调整日为本次发行的可转债持有人转股申请日或之后，转换股票登记日之前，则该持有人的转股申请按发行人调整后的转股价格执行。20170705：海印转债的初始转股价将于2017年7月11日起由原来的5.26元/股调整为5.25元/股。</v>
      </c>
      <c r="V23" s="36" t="str">
        <f>[1]!cb_clause_reset_item(A23)</f>
        <v>（1）修正权限与修正幅度在本可转债存续期间，当发行人股票在任意连续30个交易日中有15个交易日的收盘价低于当期转股价格的90%时，发行人董事会有权提出转股价格向下修正方案并提交股东大会表决。上述方案须经出席会议的股东所持表决权的三分之二以上通过方可实施。股东大会进行表决时，持有本可转债的股东应当回避。修正后的转股价格应不低于当次股东大会召开日前20个交易日发行人股票交易均价和前1交易日均价之间的较高者，同时修正后的转股价格不低于最近一期经审计的每股净资产和股票面值。若在前述20个交易日内发生过转股价格调整的情形，则在转股价格调整日前的交易日按调整前的转股价格和收盘价计算，在转股价格调整日及之后的交易日按调整后的转股价格和收盘价计算。（2）修正程序如发行人决定向下修正转股价格，发行人将在中国证监会指定的信息披露报刊及互联网网站上刊登股东大会决议公告，公告修正幅度和股权登记日及暂停转股期间。从股权登记日后的第1个交易日（即转股价格修正日），开始恢复转股申请并执行修正后的转股价格。若转股价格修正日为转股申请日或之后，转换股份登记日之前，该类转股申请应按修正后的转股价格执行。</v>
      </c>
      <c r="W23" s="36" t="str">
        <f xml:space="preserve"> [1]!cb_clause_reset_isexitreset(A23)</f>
        <v>是</v>
      </c>
      <c r="X23" s="36" t="str">
        <f xml:space="preserve"> [1]!cb_clause_reset_resetstartdate(A23)</f>
        <v>2016-06-08</v>
      </c>
      <c r="Y23" s="36" t="str">
        <f xml:space="preserve"> [1]!cb_clause_reset_resetperiodenddate(A23)</f>
        <v>2022-06-08</v>
      </c>
      <c r="Z23" s="36">
        <f>[1]!cb_clause_reset_resetmaxtimespan(A23)</f>
        <v>30</v>
      </c>
      <c r="AA23" s="36">
        <f>[1]!cb_clause_reset_resettimespan(A23)</f>
        <v>15</v>
      </c>
      <c r="AB23" s="36">
        <f>[1]!cb_clause_reset_resettriggerratio(A23)</f>
        <v>90</v>
      </c>
      <c r="AC23" s="36" t="str">
        <f>[1]!cb_clause_reset_referencepriceisanverage(A23)</f>
        <v>否</v>
      </c>
      <c r="AD23" s="36">
        <f>[1]!cb_clause_reset_resetrange(A23)</f>
        <v>0</v>
      </c>
      <c r="AE23" s="36" t="str">
        <f>[1]!cb_clause_reset_stockpricelowestlimit(A23)</f>
        <v>不低于股东大会召开日前20个交易日股票交易均价和前1交易日交易均价，最近1期每股净资产值和股票面值。</v>
      </c>
      <c r="AF23" s="36">
        <f>[1]!cb_clause_reset_resettimeslimit(A23)</f>
        <v>0</v>
      </c>
      <c r="AG23" s="36">
        <f xml:space="preserve">  [1]!cb_clause_reset_timepointclause(A23)</f>
        <v>0</v>
      </c>
      <c r="AH23" s="36">
        <f xml:space="preserve"> [1]!cb_clause_calloption_relativecalloptionperiod(A23)</f>
        <v>6</v>
      </c>
      <c r="AI23" s="36" t="str">
        <f xml:space="preserve"> [1]!cb_clause_calloption_redemptiontimesperyear(A23)</f>
        <v>不限次数</v>
      </c>
      <c r="AJ23" s="36" t="str">
        <f>[1]!cb_clause_calloption_conditionalredeemstartdate(A23)</f>
        <v>2016-12-16</v>
      </c>
      <c r="AK23" s="36">
        <f>[1]!cb_clause_calloption_redeemmaxspan(A23)</f>
        <v>30</v>
      </c>
      <c r="AL23" s="36">
        <f>[1]!cb_clause_calloption_redeemspan(A23)</f>
        <v>15</v>
      </c>
      <c r="AM23" s="36">
        <f>[1]!cb_clause_calloption_triggerproportion(A23)</f>
        <v>130</v>
      </c>
      <c r="AN23" s="36">
        <f xml:space="preserve"> [1]!cb_clause_calloption_redemptionprice(A23)</f>
        <v>0</v>
      </c>
      <c r="AO23" s="36" t="str">
        <f>[1]!cb_clause_calloption_redemptionmemo(A23)</f>
        <v>按照债券面值加当期应计利息的价格赎回全部或部分未转股的可转</v>
      </c>
      <c r="AP23" s="36" t="str">
        <f>[1]!cb_clause_calloption_redeemitem(A23)</f>
        <v>转股期内，当下述两种情形的任意一种出现时，发行人有权决定按照债券面值加当期应计利息的价格赎回全部或部分未转股的可转债：A、在转股期内，如果发行人股票在任何连续30个交易日中至少15个交易日的收盘价格不低于当期转股价格的130%（含130%）；B、当本次发行的可转债未转股余额不足3,000万元时。当期应计利息的计算公式为：IA＝B×i×t/365IA：指当期应计利息；B：指本次发行的可转债持有人持有的可转债票面总金额；i：指可转债当年票面利率；t：指计息天数，即从上一个付息日起至本计息年度赎回日止的实际日历天数（算头不算尾）。若在前述30个交易日内发生过转股价格调整的情形，则在调整前的交易日按调整前的转股价格和收盘价计算，调整后的交易日按调整后的转股价格和收盘价计算。</v>
      </c>
      <c r="AQ23" s="36" t="str">
        <f xml:space="preserve"> [1]!cb_clause_calloption_iswithtimeredemptionclause(A23)</f>
        <v>否</v>
      </c>
      <c r="AR23" s="36">
        <f>[1]!cb_clause_calloption_timeredemptiontimes(A23)</f>
        <v>0</v>
      </c>
      <c r="AS23" s="36">
        <f>[1]!cb_clause_calloption_redeemclause(A23)</f>
        <v>0</v>
      </c>
      <c r="AT23" s="36">
        <f xml:space="preserve"> [1]!cb_clause_putoption_putbackperiodobs(A23)</f>
        <v>48</v>
      </c>
      <c r="AU23" s="36" t="str">
        <f>[1]!cb_clause_putoption_conditionalputbackstartenddate(A23)</f>
        <v>2020-06-08</v>
      </c>
      <c r="AV23" s="36">
        <f xml:space="preserve"> [1]!cb_clause_putoption_conditionalputbackenddate(A23)</f>
        <v>0</v>
      </c>
      <c r="AW23" s="36">
        <f xml:space="preserve"> [1]!cb_clause_putoption_putbacktriggermaxspan(A23)</f>
        <v>30</v>
      </c>
      <c r="AX23" s="36">
        <f>[1]!cb_clause_putoption_redeem_triggerproportion(A23)</f>
        <v>70</v>
      </c>
      <c r="AY23" s="36">
        <f>[1]!cb_clause_putoption_resellingprice(A23)</f>
        <v>0</v>
      </c>
      <c r="AZ23" s="36" t="str">
        <f xml:space="preserve"> [1]!cb_clause_putoption_resellingpriceexplaination(A23)</f>
        <v>按债券面值加当期应计利息的价格回售给发行人</v>
      </c>
      <c r="BA23" s="36">
        <f>[1]!cb_clause_putoption_interestdisposing(A23)</f>
        <v>0</v>
      </c>
      <c r="BB23" s="36" t="str">
        <f xml:space="preserve"> [1]!cb_clause_putoption_sellbackitem(A23)</f>
        <v>发行人股票在最后两个计息年度任何连续30个交易日的收盘价格低于当期转股价格的70%时，可转债持有人有权将其持有的可转债全部或部分按债券面值加当期应计利息的价格回售给发行人。若在上述交易日内发生过转股价格因发生送红股、转增股本、增发新股（不包括因本次发行的可转换公司债券转股而增加的股本）、配股以及派发现金股利等情况而调整的情形，则在调整前的交易日按调整前的转股价格和收盘价格计算，在调整后的交易日按调整后的转股价格和收盘价格计算。如果出现转股价格向下修正的情况，则上述“连续30个交易日”须从转股价格调整之后的第一个交易日起重新计算。最后两个计息年度可转债持有人在每年回售条件首次满足后可按上述约定条件行使回售权一次，若在首次满足回售条件而可转债持有人未在发行人届时公告的回售申报期内申报并实施回售的，该计息年度不应再行使回售权。可转债持有人不能多次行使部分回售权。</v>
      </c>
      <c r="BC23" s="36">
        <f>[1]!cb_clause_putoption_putbackperiod(A23)</f>
        <v>0</v>
      </c>
      <c r="BD23" s="36">
        <f>[1]!cb_clause_putoption_putbackstartdate(A23)</f>
        <v>0</v>
      </c>
      <c r="BE23" s="36">
        <f>[1]!cb_clause_putoption_putbackenddate(A23)</f>
        <v>0</v>
      </c>
      <c r="BF23" s="36">
        <f xml:space="preserve"> [1]!cb_clause_putoption_putbackprice(A23)</f>
        <v>0</v>
      </c>
      <c r="BG23" s="36">
        <f>[1]!cb_clause_putoption_putbackclause(A23)</f>
        <v>0</v>
      </c>
      <c r="BH23" s="36">
        <f>[1]!cb_clause_putoption_timeputbacktimes(A23)</f>
        <v>0</v>
      </c>
      <c r="BI23" s="36">
        <f>[1]!cb_clause_putoption_timeputbackclause(A23)</f>
        <v>0</v>
      </c>
      <c r="BJ23" s="36" t="str">
        <f>[1]!cb_clause_putoption_additionalpricememo(A23)</f>
        <v>若公司本次发行的可转债募集资金投资项目的实施情况与公司在募集说明书中的承诺情况相比出现重大变化，持有人有权将其持有的可转债全部或部分按债券面值加当期应计利息的价格回售给公司。</v>
      </c>
      <c r="BK23" s="36" t="str">
        <f>[1]!cb_clause_putoption_putbackadditionalcondition(A23)</f>
        <v>根据中国证监会的相关规定被视作改变募集资金用途或被中国证监会认定为改变募集资金用途的，可转债持有人享有一次回售的权利。</v>
      </c>
    </row>
    <row r="24" spans="1:63" x14ac:dyDescent="0.15">
      <c r="A24" s="34" t="s">
        <v>102</v>
      </c>
      <c r="B24" s="35" t="str">
        <f xml:space="preserve"> [1]!cb_info_name(A24)</f>
        <v>模塑转债</v>
      </c>
      <c r="C24" s="36" t="str">
        <f>[1]!cb_clause_interest(A24,5)</f>
        <v>否</v>
      </c>
      <c r="D24" s="36" t="str">
        <f>[1]!cb_clause_interest(A24,8)</f>
        <v>是</v>
      </c>
      <c r="E24" s="36">
        <f>[1]!cb_clause_interest(A24,3)</f>
        <v>2.5832999999999999</v>
      </c>
      <c r="F24" s="36" t="str">
        <f xml:space="preserve"> [1]!cb_clause_interest(A24,6)</f>
        <v>本次发行的可转债到期后5个交易日内，发行人将按债券面值的110%（含最后一期利息）的价格赎回未转股的可转债。</v>
      </c>
      <c r="G24" s="36" t="str">
        <f>[1]!cb_clause_interest(A24,4)</f>
        <v>第一年0.50%、第二年0.70%、第三年1.00%、第四年1.50%、第五年1.80%、第六年2.00%。</v>
      </c>
      <c r="H24" s="36" t="str">
        <f>[1]!cb_clause_interest(A24,7)</f>
        <v>本次发行的可转债采用每年付息一次的付息方式，到期归还本金和最后一年利息。（1）本次可转债采用每年付息一次的付息方式，计息起始日为可转债发行首日。可转债持有人所获得利息收入的应付税项由可转债持有人负担。（2）付息日：每年的付息日为本次可转债发行首日起每满一年的当日。如该日为法定节假日或休息日，则顺延至下一个工作日，顺延期间不另付息。每相邻的两个付息日之间为一个计息年度。（3）付息债权登记日：每年的付息债权登记日为每年付息日的前一交易日，公司将在每年付息日之后的五个交易日内支付当年利息。在付息债权登记日前（包括付息债权登记日）转换成股票的可转债不享受当年度及以后计息年度利息。</v>
      </c>
      <c r="I24" s="36">
        <f>[1]!cb_clause_conversion_2_relativeswapsharemonth(A24)</f>
        <v>6</v>
      </c>
      <c r="J24" s="36" t="str">
        <f>[1]!cb_clause_conversion_2_swapsharestartdate(A24)</f>
        <v>2017-12-08</v>
      </c>
      <c r="K24" s="36" t="str">
        <f>[1]!cb_clause_conversion_2_swapshareenddate(A24)</f>
        <v>2023-06-01</v>
      </c>
      <c r="L24" s="36" t="str">
        <f>[1]!cb_clause_conversion_2_isforced(A24)</f>
        <v>否</v>
      </c>
      <c r="M24" s="36">
        <f xml:space="preserve"> [1]!cb_clause_conversion_2_forceconvertdate(A24)</f>
        <v>0</v>
      </c>
      <c r="N24" s="36">
        <f>[1]!cb_clause_conversion_2_forceconvertprice(A24)</f>
        <v>0</v>
      </c>
      <c r="O24" s="37">
        <f ca="1">[1]!cb_clause_conversion2_swapshareprice(A24,$O$3)</f>
        <v>8</v>
      </c>
      <c r="P24" s="36" t="str">
        <f>[1]!b_clause_conversion_code(A24)</f>
        <v>127004</v>
      </c>
      <c r="Q24" s="38">
        <f ca="1">[1]!cb_clause_conversion2_conversionproportion(A24,$Q$3)</f>
        <v>12.5</v>
      </c>
      <c r="R24" s="36">
        <f ca="1">[1]!cb_clause_conversion2_bondlot(A24,$R$3)/10000</f>
        <v>81366</v>
      </c>
      <c r="S24" s="36">
        <f ca="1">[1]!cb_clause_conversion2_bondproportion(A24,$S$3)</f>
        <v>100</v>
      </c>
      <c r="T24" s="36" t="str">
        <f>[1]!cb_clause_conversion_2_conversionproportion(A24)</f>
        <v>是</v>
      </c>
      <c r="U24" s="36" t="str">
        <f>[1]!cb_clause_conversion2_tosharepriceadjustitem(A24)</f>
        <v>在本次发行之后，当公司发生送红股、转增股本、增发新股（不包括因本次发行的可转债转股而增加的股本）、配股以及派发现金股利等情况时，公司将按上述条件出现的先后顺序，依次对转股价格进行累积调整，具体调整办法如下：送红股或转增股本：P1=P0/（1+n）；增发新股或配股：P1=（P0+A×k）/（1+k）；上述两项同时进行：P1=（P0+A×k）/（1+n+k）；派发现金股利：P1=P0-D；上述三项同时进行：P1＝（P0－D＋A×k）/（1+n+k）。其中：P0为调整前有效的转股价，n为该次送股率或转增股本率，k为该次增发新股率或配股率，A为该次增发新股价或配股价，D为该次每股派送现金股利，P1为调整后有效的转股价。</v>
      </c>
      <c r="V24" s="36" t="str">
        <f>[1]!cb_clause_reset_item(A24)</f>
        <v>1、修正权限与修正幅度：在本可转债存续期间，当公司股票在任意三十个连续交易日中至少十五个交易日的收盘价格低于当期转股价格85%时，公司董事会有权提出转股价格向下修正方案并提交公司股东大会表决，该方案须经出席会议的股东所持表决权的三分之二以上通过方可实施。股东大会进行表决时，持有公司本次发行可转债的股东应当回避；修正后的转股价格应不低于该次股东大会召开日前二十个交易日公司股票交易均价和前一交易日的公司股票交易均价，同时，修正后的转股价格不得低于最近一期经审计的每股净资产值和股票面值。若在前述二十个交易日内发生过转股价格调整的情形，则在调整前的交易日按调整前的转股价格和收盘价格计算，调整后的交易日按调整后的转股价格和收盘价格计算。2、修正程序：公司向下修正转股价格时，公司须在中国证监会指定的上市公司信息披露媒体上刊登股东大会决议公告，公告修正幅度、股权登记日及暂停转股期间。从股权登记日后的第一个交易日（即转股价格修正日），开始恢复转股申请并执行修正后的转股价格。</v>
      </c>
      <c r="W24" s="36" t="str">
        <f xml:space="preserve"> [1]!cb_clause_reset_isexitreset(A24)</f>
        <v>是</v>
      </c>
      <c r="X24" s="36" t="str">
        <f xml:space="preserve"> [1]!cb_clause_reset_resetstartdate(A24)</f>
        <v>2017-06-02</v>
      </c>
      <c r="Y24" s="36" t="str">
        <f xml:space="preserve"> [1]!cb_clause_reset_resetperiodenddate(A24)</f>
        <v>2023-06-02</v>
      </c>
      <c r="Z24" s="36">
        <f>[1]!cb_clause_reset_resetmaxtimespan(A24)</f>
        <v>30</v>
      </c>
      <c r="AA24" s="36">
        <f>[1]!cb_clause_reset_resettimespan(A24)</f>
        <v>15</v>
      </c>
      <c r="AB24" s="36">
        <f>[1]!cb_clause_reset_resettriggerratio(A24)</f>
        <v>85</v>
      </c>
      <c r="AC24" s="36" t="str">
        <f>[1]!cb_clause_reset_referencepriceisanverage(A24)</f>
        <v>否</v>
      </c>
      <c r="AD24" s="36">
        <f>[1]!cb_clause_reset_resetrange(A24)</f>
        <v>0</v>
      </c>
      <c r="AE24" s="36" t="str">
        <f>[1]!cb_clause_reset_stockpricelowestlimit(A24)</f>
        <v>不低于股东大会召开日前20个交易日股票交易均价和前1交易日交易均价，最近1期每股净资产值和股票面值。</v>
      </c>
      <c r="AF24" s="36">
        <f>[1]!cb_clause_reset_resettimeslimit(A24)</f>
        <v>0</v>
      </c>
      <c r="AG24" s="36">
        <f xml:space="preserve">  [1]!cb_clause_reset_timepointclause(A24)</f>
        <v>0</v>
      </c>
      <c r="AH24" s="36">
        <f xml:space="preserve"> [1]!cb_clause_calloption_relativecalloptionperiod(A24)</f>
        <v>6</v>
      </c>
      <c r="AI24" s="36" t="str">
        <f xml:space="preserve"> [1]!cb_clause_calloption_redemptiontimesperyear(A24)</f>
        <v>不限次数</v>
      </c>
      <c r="AJ24" s="36" t="str">
        <f>[1]!cb_clause_calloption_conditionalredeemstartdate(A24)</f>
        <v>2017-12-08</v>
      </c>
      <c r="AK24" s="36">
        <f>[1]!cb_clause_calloption_redeemmaxspan(A24)</f>
        <v>30</v>
      </c>
      <c r="AL24" s="36">
        <f>[1]!cb_clause_calloption_redeemspan(A24)</f>
        <v>20</v>
      </c>
      <c r="AM24" s="36">
        <f>[1]!cb_clause_calloption_triggerproportion(A24)</f>
        <v>130</v>
      </c>
      <c r="AN24" s="36">
        <f xml:space="preserve"> [1]!cb_clause_calloption_redemptionprice(A24)</f>
        <v>0</v>
      </c>
      <c r="AO24" s="36" t="str">
        <f>[1]!cb_clause_calloption_redemptionmemo(A24)</f>
        <v>发行人有权决定按照以面值加当期应计利息的价格赎回全部或部分未转股的可转债</v>
      </c>
      <c r="AP24" s="36" t="str">
        <f>[1]!cb_clause_calloption_redeemitem(A24)</f>
        <v>1、到期赎回条款：本次发行的可转债到期后五个交易日内，公司将赎回未转股的可转债，具体赎回价格由股东大会授权董事会根据发行时市场情况与保荐机构及主承销商协商确定。2、有条件赎回条款：在转股期内，当下述情形的任意一种出现时，公司有权决定按照以面值加当期应计利息的价格赎回全部或部分未转股的可转债：（1）在转股期内，如果公司股票在任何连续三十个交易日中至少二十个交易日的收盘价格不低于当期转股价格的130%（含130%）；（2）当本次发行的可转债未转股余额不足3,000万元时。当期应计利息的计算公式为：IA=B×i×t/365IA：指当期应计利息；B：指本次发行的可转债持有人持有的将赎回的可转债票面总金额；i：指可转债当年票面利率；t：指计息天数，即从上一个付息日起至本计息年度赎回日止的实际日历天数（算头不算尾）。若在前述三十个交易日内发生过转股价格调整的情形，则在调整前的交易日按调整前的转股价格和收盘价格计算，调整后的交易日按调整后的转股价格和收盘价格计算。</v>
      </c>
      <c r="AQ24" s="36" t="str">
        <f xml:space="preserve"> [1]!cb_clause_calloption_iswithtimeredemptionclause(A24)</f>
        <v>否</v>
      </c>
      <c r="AR24" s="36">
        <f>[1]!cb_clause_calloption_timeredemptiontimes(A24)</f>
        <v>0</v>
      </c>
      <c r="AS24" s="36">
        <f>[1]!cb_clause_calloption_redeemclause(A24)</f>
        <v>0</v>
      </c>
      <c r="AT24" s="36">
        <f xml:space="preserve"> [1]!cb_clause_putoption_putbackperiodobs(A24)</f>
        <v>48</v>
      </c>
      <c r="AU24" s="36" t="str">
        <f>[1]!cb_clause_putoption_conditionalputbackstartenddate(A24)</f>
        <v>2021-06-02</v>
      </c>
      <c r="AV24" s="36">
        <f xml:space="preserve"> [1]!cb_clause_putoption_conditionalputbackenddate(A24)</f>
        <v>0</v>
      </c>
      <c r="AW24" s="36">
        <f xml:space="preserve"> [1]!cb_clause_putoption_putbacktriggermaxspan(A24)</f>
        <v>30</v>
      </c>
      <c r="AX24" s="36">
        <f>[1]!cb_clause_putoption_redeem_triggerproportion(A24)</f>
        <v>70</v>
      </c>
      <c r="AY24" s="36">
        <f>[1]!cb_clause_putoption_resellingprice(A24)</f>
        <v>0</v>
      </c>
      <c r="AZ24" s="36" t="str">
        <f xml:space="preserve"> [1]!cb_clause_putoption_resellingpriceexplaination(A24)</f>
        <v>可转债持有人有权将其持有的可转债全部或部分按债券面值加上当期应计利息的价格回售给发行人.</v>
      </c>
      <c r="BA24" s="36">
        <f>[1]!cb_clause_putoption_interestdisposing(A24)</f>
        <v>0</v>
      </c>
      <c r="BB24" s="36" t="str">
        <f xml:space="preserve"> [1]!cb_clause_putoption_sellbackitem(A24)</f>
        <v>1、有条件回售条款：本次发行的可转债最后两个计息年度，如果公司股票在任何连续三十个交易日的收盘价格低于当期转股价格的70%时，可转债持有人有权将其持有的可转债全部或部分按债券面值加上当期应计利息的价格回售给公司。2、附加回售条款：若公司本次发行的可转债募集资金投资项目的实施情况与公司在募集说明书中的承诺情况相比出现重大变化，根据中国证监会的相关规定被视作改变募集资金用途或被中国证监会认定为改变募集资金用途的，可转债持有人享有一次回售的权利。可转债持有人有权将其持有的可转债全部或部分按债券面值加当期应计利息的价格回售给公司。持有人在附加回售条件满足后，可以在公司公告后的附加回售申报期内进行回售，本次附加回售申报期内不实施回售的，不应再行使附加回售权。</v>
      </c>
      <c r="BC24" s="36">
        <f>[1]!cb_clause_putoption_putbackperiod(A24)</f>
        <v>0</v>
      </c>
      <c r="BD24" s="36">
        <f>[1]!cb_clause_putoption_putbackstartdate(A24)</f>
        <v>0</v>
      </c>
      <c r="BE24" s="36">
        <f>[1]!cb_clause_putoption_putbackenddate(A24)</f>
        <v>0</v>
      </c>
      <c r="BF24" s="36">
        <f xml:space="preserve"> [1]!cb_clause_putoption_putbackprice(A24)</f>
        <v>0</v>
      </c>
      <c r="BG24" s="36">
        <f>[1]!cb_clause_putoption_putbackclause(A24)</f>
        <v>0</v>
      </c>
      <c r="BH24" s="36">
        <f>[1]!cb_clause_putoption_timeputbacktimes(A24)</f>
        <v>0</v>
      </c>
      <c r="BI24" s="36">
        <f>[1]!cb_clause_putoption_timeputbackclause(A24)</f>
        <v>0</v>
      </c>
      <c r="BJ24" s="36" t="str">
        <f>[1]!cb_clause_putoption_additionalpricememo(A24)</f>
        <v>可转债持有人有权将其持有的可转债全部或部分按债券面值加当期应计利息的价格回售给发行人。</v>
      </c>
      <c r="BK24" s="36" t="str">
        <f>[1]!cb_clause_putoption_putbackadditionalcondition(A24)</f>
        <v>根据中国证监会的相关规定被视作改变募集资金用途或被中国证监会认定为改变募集资金用途的，可转债持有人享有一次回售的权利。</v>
      </c>
    </row>
    <row r="25" spans="1:63" x14ac:dyDescent="0.15">
      <c r="A25" s="34" t="s">
        <v>103</v>
      </c>
      <c r="B25" s="35" t="str">
        <f xml:space="preserve"> [1]!cb_info_name(A25)</f>
        <v>顺昌转债</v>
      </c>
      <c r="C25" s="36" t="str">
        <f>[1]!cb_clause_interest(A25,5)</f>
        <v>否</v>
      </c>
      <c r="D25" s="36" t="str">
        <f>[1]!cb_clause_interest(A25,8)</f>
        <v>是</v>
      </c>
      <c r="E25" s="36">
        <f>[1]!cb_clause_interest(A25,3)</f>
        <v>2.2332999999999998</v>
      </c>
      <c r="F25" s="36" t="str">
        <f xml:space="preserve"> [1]!cb_clause_interest(A25,6)</f>
        <v>本次发行的可转债期满后五个交易日内，发行人将按债券面值的108%（含最后一期利息）的价格赎回全部未转股的可转债。</v>
      </c>
      <c r="G25" s="36" t="str">
        <f>[1]!cb_clause_interest(A25,4)</f>
        <v>第一年0.50%、第二年0.70%、第三年1.00%、第四年1.60%、第五年1.60%、第六年1.60%</v>
      </c>
      <c r="H25" s="36" t="str">
        <f>[1]!cb_clause_interest(A25,7)</f>
        <v>本次发行的可转债采用每年付息一次的付息方式，计息起始日为可转债发行首日，即2016年1月22日。每年的付息日为本次发行的可转债发行首日起每满一年的当日，即2017年1月22日、2018年1月22日、2019年1月22日、2020年1月22日、2021年1月22日和2022年1月22日。如该日为法定节假日或休息日，则顺延至下一个工作日，顺延期间不另付息。每相邻的两个付息日之间为一个计息年度。转股年度有关利息和股利的归属等事项，由发行人董事会根据相关法律法规及深交所的规定确定。每年的付息债权登记日为每年付息日的前一交易日，即2017年1月20日、2018年1月19日、2019年1月21日、2020年1月21日、2021年1月21日和2022年1月21日。公司将在每年付息日之后的5个交易日内支付当年利息。在付息债权登记日前（包括付息债权登记日）申请转换成股票的可转债，公司不再向其持有人支付本计息年度及以后计息年度的利息。</v>
      </c>
      <c r="I25" s="36">
        <f>[1]!cb_clause_conversion_2_relativeswapsharemonth(A25)</f>
        <v>6</v>
      </c>
      <c r="J25" s="36" t="str">
        <f>[1]!cb_clause_conversion_2_swapsharestartdate(A25)</f>
        <v>2016-07-29</v>
      </c>
      <c r="K25" s="36" t="str">
        <f>[1]!cb_clause_conversion_2_swapshareenddate(A25)</f>
        <v>2022-01-21</v>
      </c>
      <c r="L25" s="36" t="str">
        <f>[1]!cb_clause_conversion_2_isforced(A25)</f>
        <v>否</v>
      </c>
      <c r="M25" s="36">
        <f xml:space="preserve"> [1]!cb_clause_conversion_2_forceconvertdate(A25)</f>
        <v>0</v>
      </c>
      <c r="N25" s="36">
        <f>[1]!cb_clause_conversion_2_forceconvertprice(A25)</f>
        <v>0</v>
      </c>
      <c r="O25" s="37">
        <f ca="1">[1]!cb_clause_conversion2_swapshareprice(A25,$O$3)</f>
        <v>9.32</v>
      </c>
      <c r="P25" s="36" t="str">
        <f>[1]!b_clause_conversion_code(A25)</f>
        <v>128010</v>
      </c>
      <c r="Q25" s="38">
        <f ca="1">[1]!cb_clause_conversion2_conversionproportion(A25,$Q$3)</f>
        <v>10.729613733905579</v>
      </c>
      <c r="R25" s="36">
        <f ca="1">[1]!cb_clause_conversion2_bondlot(A25,$R$3)/10000</f>
        <v>50979.199999999997</v>
      </c>
      <c r="S25" s="36">
        <f ca="1">[1]!cb_clause_conversion2_bondproportion(A25,$S$3)</f>
        <v>99.959215686274518</v>
      </c>
      <c r="T25" s="36" t="str">
        <f>[1]!cb_clause_conversion_2_conversionproportion(A25)</f>
        <v>是</v>
      </c>
      <c r="U25" s="36" t="str">
        <f>[1]!cb_clause_conversion2_tosharepriceadjustitem(A25)</f>
        <v>在本次发行之后，当公司因派送股票股利、转增股本、增发新股或配股、派送现金股利等情况（不包括因可转债转股而增加的股本），将按下述公式进行转股价格的调整（保留小数点后两位，最后一位四舍五入）：派送股票股利或转增股本：P1＝P0/（1+n）;增发新股或配股：P1＝（P0+A×K）/（1+K）；上述两项同时进行：P1＝（P0+A×k）/（1+n+k）;派送现金股利：P1＝P0-D;上述三项同时进行：P1＝（P0-D+A×k）/（1+n+k）.其中：P1为调整后转股价，P0为调整前转股价，n为送股或转增股本率，A为增发新股价或配股价，k为增发新股或配股率，D为每股派送现金股利。</v>
      </c>
      <c r="V25" s="36" t="str">
        <f>[1]!cb_clause_reset_item(A25)</f>
        <v>在本次发行的可转债存续期间，当公司股票在任意连续三十个交易日中至少有二十个交易日的收盘价低于当期转股价格的85%时，公司董事会有权提出转股价格向下修正方案并提交公司股东大会审议表决。上述方案须经出席会议的股东所持表决权的三分之二以上通过方可实施。股东大会进行表决时，持有公司本次发行的可转债的股东应当回避。修正后的转股价格应不低于该次股东大会召开日前二十个交易日公司股票交易均价和前一交易日公司股票交易均价较高者。同时，修正后的转股价格不得低于最近一期经审计的每股净资产值和股票面值。若在前述二十个交易日内发生过转股价格调整的情形，则在调整前的交易日按调整前的转股价格和收盘价格计算，调整后的交易日按调整后的转股价格和收盘价格计算。</v>
      </c>
      <c r="W25" s="36" t="str">
        <f xml:space="preserve"> [1]!cb_clause_reset_isexitreset(A25)</f>
        <v>是</v>
      </c>
      <c r="X25" s="36" t="str">
        <f xml:space="preserve"> [1]!cb_clause_reset_resetstartdate(A25)</f>
        <v>2016-01-22</v>
      </c>
      <c r="Y25" s="36" t="str">
        <f xml:space="preserve"> [1]!cb_clause_reset_resetperiodenddate(A25)</f>
        <v>2022-01-22</v>
      </c>
      <c r="Z25" s="36">
        <f>[1]!cb_clause_reset_resetmaxtimespan(A25)</f>
        <v>30</v>
      </c>
      <c r="AA25" s="36">
        <f>[1]!cb_clause_reset_resettimespan(A25)</f>
        <v>20</v>
      </c>
      <c r="AB25" s="36">
        <f>[1]!cb_clause_reset_resettriggerratio(A25)</f>
        <v>85</v>
      </c>
      <c r="AC25" s="36" t="str">
        <f>[1]!cb_clause_reset_referencepriceisanverage(A25)</f>
        <v>否</v>
      </c>
      <c r="AD25" s="36">
        <f>[1]!cb_clause_reset_resetrange(A25)</f>
        <v>0</v>
      </c>
      <c r="AE25" s="36" t="str">
        <f>[1]!cb_clause_reset_stockpricelowestlimit(A25)</f>
        <v>不低于该次股东大会召开日前二十个交易日公司股票交易均价和前一交易日公司股票交易均价较高者</v>
      </c>
      <c r="AF25" s="36">
        <f>[1]!cb_clause_reset_resettimeslimit(A25)</f>
        <v>0</v>
      </c>
      <c r="AG25" s="36">
        <f xml:space="preserve">  [1]!cb_clause_reset_timepointclause(A25)</f>
        <v>0</v>
      </c>
      <c r="AH25" s="36">
        <f xml:space="preserve"> [1]!cb_clause_calloption_relativecalloptionperiod(A25)</f>
        <v>6</v>
      </c>
      <c r="AI25" s="36" t="str">
        <f xml:space="preserve"> [1]!cb_clause_calloption_redemptiontimesperyear(A25)</f>
        <v>不限次数</v>
      </c>
      <c r="AJ25" s="36" t="str">
        <f>[1]!cb_clause_calloption_conditionalredeemstartdate(A25)</f>
        <v>2016-07-29</v>
      </c>
      <c r="AK25" s="36">
        <f>[1]!cb_clause_calloption_redeemmaxspan(A25)</f>
        <v>30</v>
      </c>
      <c r="AL25" s="36">
        <f>[1]!cb_clause_calloption_redeemspan(A25)</f>
        <v>15</v>
      </c>
      <c r="AM25" s="36">
        <f>[1]!cb_clause_calloption_triggerproportion(A25)</f>
        <v>130</v>
      </c>
      <c r="AN25" s="36">
        <f xml:space="preserve"> [1]!cb_clause_calloption_redemptionprice(A25)</f>
        <v>0</v>
      </c>
      <c r="AO25" s="36" t="str">
        <f>[1]!cb_clause_calloption_redemptionmemo(A25)</f>
        <v>公司有权决定按照债券面值加当期应计利息的价格赎回全部或部分未转股的可转债</v>
      </c>
      <c r="AP25" s="36" t="str">
        <f>[1]!cb_clause_calloption_redeemitem(A25)</f>
        <v>在本次发行的可转债转股期内，当下述两种情形的任意一种出现时，公司有权决定按照债券面值加当期应计利息的价格赎回全部或部分未转股的可转债：①在本次发行的可转债转股期内，如果公司A股股票连续三十个交易日中至少有十五个交易日的收盘价格不低于当期转股价格的130%（含130%）；②当本次发行的可转债未转股余额不足3,000万元时。当期应计利息的计算公式为。IA：指当期应计利息；B：指本次发行的可转债持有人持有的可转债票面总金额；i：指可转债当年票面利率；t：指计息天数，即从上一个付息日起至本计息年度赎回日止的实际日历天数（算头不算尾）。若在前述三十个交易日内发生过转股价格调整的情形，则在调整前的交易日按调整前的转股价格和收盘价格计算，调整后的交易日按调整后的转股价格和收盘价格计算。</v>
      </c>
      <c r="AQ25" s="36" t="str">
        <f xml:space="preserve"> [1]!cb_clause_calloption_iswithtimeredemptionclause(A25)</f>
        <v>否</v>
      </c>
      <c r="AR25" s="36">
        <f>[1]!cb_clause_calloption_timeredemptiontimes(A25)</f>
        <v>0</v>
      </c>
      <c r="AS25" s="36">
        <f>[1]!cb_clause_calloption_redeemclause(A25)</f>
        <v>0</v>
      </c>
      <c r="AT25" s="36">
        <f xml:space="preserve"> [1]!cb_clause_putoption_putbackperiodobs(A25)</f>
        <v>48</v>
      </c>
      <c r="AU25" s="36" t="str">
        <f>[1]!cb_clause_putoption_conditionalputbackstartenddate(A25)</f>
        <v>2020-01-22</v>
      </c>
      <c r="AV25" s="36">
        <f xml:space="preserve"> [1]!cb_clause_putoption_conditionalputbackenddate(A25)</f>
        <v>0</v>
      </c>
      <c r="AW25" s="36">
        <f xml:space="preserve"> [1]!cb_clause_putoption_putbacktriggermaxspan(A25)</f>
        <v>30</v>
      </c>
      <c r="AX25" s="36">
        <f>[1]!cb_clause_putoption_redeem_triggerproportion(A25)</f>
        <v>70</v>
      </c>
      <c r="AY25" s="36">
        <f>[1]!cb_clause_putoption_resellingprice(A25)</f>
        <v>0</v>
      </c>
      <c r="AZ25" s="36" t="str">
        <f xml:space="preserve"> [1]!cb_clause_putoption_resellingpriceexplaination(A25)</f>
        <v>持有人有权将其持有的可转债全部或部分按债券面值加上当期应计利息的价格回售给公司</v>
      </c>
      <c r="BA25" s="36">
        <f>[1]!cb_clause_putoption_interestdisposing(A25)</f>
        <v>0</v>
      </c>
      <c r="BB25" s="36" t="str">
        <f xml:space="preserve"> [1]!cb_clause_putoption_sellbackitem(A25)</f>
        <v>本次发行的可转债最后两个计息年度，如果公司股票在任何连续三十个交易日的收盘价格低于当期转股价格的70%时，可转债持有人有权将其持有的可转债全部或部分按债券面值加上当期应计利息的价格回售给公司。若在上述交易日内发生过转股价格因发生送股票股利、转增股本、增发新股（不包括因本次发行的可转债转股而增加的股本）、配股以及派发现金股利等情况而调整的情形，则在调整前的交易日按调整前的转股价格和收盘价格计算，在调整后的交易日按调整后的转股价格和收盘价格计算。如果出现转股价格向下修正的情况，则上述三十个交易日须从转股价格调整之后的第一个交易日起重新计算。本次发行的可转债最后两个计息年度，可转债持有人在每年回售条件首次满足后可按上述约定条件行使回售权一次，若在首次满足回售条件而可转债持有人未在公司届时公告的回售申报期内申报并实施回售的，该计息年度不应再行使回售权，可转债持有人不能多次行使部分回售权。</v>
      </c>
      <c r="BC25" s="36">
        <f>[1]!cb_clause_putoption_putbackperiod(A25)</f>
        <v>0</v>
      </c>
      <c r="BD25" s="36">
        <f>[1]!cb_clause_putoption_putbackstartdate(A25)</f>
        <v>0</v>
      </c>
      <c r="BE25" s="36">
        <f>[1]!cb_clause_putoption_putbackenddate(A25)</f>
        <v>0</v>
      </c>
      <c r="BF25" s="36">
        <f xml:space="preserve"> [1]!cb_clause_putoption_putbackprice(A25)</f>
        <v>0</v>
      </c>
      <c r="BG25" s="36">
        <f>[1]!cb_clause_putoption_putbackclause(A25)</f>
        <v>0</v>
      </c>
      <c r="BH25" s="36">
        <f>[1]!cb_clause_putoption_timeputbacktimes(A25)</f>
        <v>0</v>
      </c>
      <c r="BI25" s="36">
        <f>[1]!cb_clause_putoption_timeputbackclause(A25)</f>
        <v>0</v>
      </c>
      <c r="BJ25" s="36" t="str">
        <f>[1]!cb_clause_putoption_additionalpricememo(A25)</f>
        <v>可转债持有人有权将其持有的可转债全部或部分按债券面值加当期应计利息的价格回售给公司。</v>
      </c>
      <c r="BK25" s="36" t="str">
        <f>[1]!cb_clause_putoption_putbackadditionalcondition(A25)</f>
        <v>根据中国证监会的相关规定被视作改变募集资金用途或被中国证监会认定为改变募集资金用途的，可转债持有人享有一次回售的权利。</v>
      </c>
    </row>
    <row r="26" spans="1:63" x14ac:dyDescent="0.15">
      <c r="A26" s="34" t="s">
        <v>104</v>
      </c>
      <c r="B26" s="35" t="str">
        <f xml:space="preserve"> [1]!cb_info_name(A26)</f>
        <v>辉丰转债</v>
      </c>
      <c r="C26" s="36" t="str">
        <f>[1]!cb_clause_interest(A26,5)</f>
        <v>否</v>
      </c>
      <c r="D26" s="36" t="str">
        <f>[1]!cb_clause_interest(A26,8)</f>
        <v>是</v>
      </c>
      <c r="E26" s="36">
        <f>[1]!cb_clause_interest(A26,3)</f>
        <v>1.3</v>
      </c>
      <c r="F26" s="36" t="str">
        <f xml:space="preserve"> [1]!cb_clause_interest(A26,6)</f>
        <v>本次发行的可转债到期后5个交易日内，公司将按债券面值的103%（含最后一期利息）的价格赎回未转股的可转债</v>
      </c>
      <c r="G26" s="36" t="str">
        <f>[1]!cb_clause_interest(A26,4)</f>
        <v>票面利率：第一年为0.5%，第二年为0.7%，第三年为1.0%，第四年为1.3%，第五年为1.3%，第六年为1.6%。</v>
      </c>
      <c r="H26" s="36" t="str">
        <f>[1]!cb_clause_interest(A26,7)</f>
        <v>1）年利息计算年利息指可转换公司债券持有人按持有的可转换公司债券票面总金额自可转换公司债券发行首日起每满一年可享受的当期利息。年利息的计算公式为：I=B×iI：指年利息额；B：指本次发行的可转换公司债券持有人在计息年度（以下简称“当年”或“每年”）付息债权登记日持有的可转换公司债券票面总金额；i：指可转换公司债券当年票面利率。2）付息方式A、本次发行的可转换公司债券采用每年付息一次的付息方式，计息起始日为可转换公司债券发行首日。可转债持有人所获得利息收入的应付税项由可转债持有人负担。B、付息日：每年的付息日为本次可转债发行首日起每满一年的当日。如该日为法定节假日或休息日，则顺延至下一个工作日，顺延期间不另付息。每相邻的两个付息日之间为一个计息年度。转股年度有关利息和股利的归属等事项，由本公司董事会根据相关法律法规及深圳证券交易所的规定确定。C、付息债权登记日：每年的付息债权登记日为每年付息日的前一交易日，公司将在每年付息日之后的五个交易日内支付当年利息。在付息债权登记日前（包括付息债权登记日）转换成股票的可转债不享受当年度及以后计息年度利息。</v>
      </c>
      <c r="I26" s="36">
        <f>[1]!cb_clause_conversion_2_relativeswapsharemonth(A26)</f>
        <v>6</v>
      </c>
      <c r="J26" s="36" t="str">
        <f>[1]!cb_clause_conversion_2_swapsharestartdate(A26)</f>
        <v>2016-10-28</v>
      </c>
      <c r="K26" s="36" t="str">
        <f>[1]!cb_clause_conversion_2_swapshareenddate(A26)</f>
        <v>2022-04-21</v>
      </c>
      <c r="L26" s="36" t="str">
        <f>[1]!cb_clause_conversion_2_isforced(A26)</f>
        <v>否</v>
      </c>
      <c r="M26" s="36">
        <f xml:space="preserve"> [1]!cb_clause_conversion_2_forceconvertdate(A26)</f>
        <v>0</v>
      </c>
      <c r="N26" s="36">
        <f>[1]!cb_clause_conversion_2_forceconvertprice(A26)</f>
        <v>0</v>
      </c>
      <c r="O26" s="37">
        <f ca="1">[1]!cb_clause_conversion2_swapshareprice(A26,$O$3)</f>
        <v>7.74</v>
      </c>
      <c r="P26" s="36" t="str">
        <f>[1]!b_clause_conversion_code(A26)</f>
        <v>128012</v>
      </c>
      <c r="Q26" s="38">
        <f ca="1">[1]!cb_clause_conversion2_conversionproportion(A26,$Q$3)</f>
        <v>12.919896640826874</v>
      </c>
      <c r="R26" s="36">
        <f ca="1">[1]!cb_clause_conversion2_bondlot(A26,$R$3)/10000</f>
        <v>84497.48</v>
      </c>
      <c r="S26" s="36">
        <f ca="1">[1]!cb_clause_conversion2_bondproportion(A26,$S$3)</f>
        <v>99.997017751479305</v>
      </c>
      <c r="T26" s="36" t="str">
        <f>[1]!cb_clause_conversion_2_conversionproportion(A26)</f>
        <v>是</v>
      </c>
      <c r="U26" s="36" t="str">
        <f>[1]!cb_clause_conversion2_tosharepriceadjustitem(A26)</f>
        <v>在本次发行之后，当公司发生派送股票股利、转增股本、增发新股或配股、派送现金股利等情况（不包括因可转债转股而增加的股本），将按下述公式进行转股价格的调整（保留小数点后两位，最后一位四舍五入）：派送股票股利或转增股本：P1=P0/（1+n）；增发新股或配股：P1=（P0+A×k）/（1+k）；两项同时进行：P1=（P0+A×k）/（1+n+k）；派送现金股利：P1=P0－D；上述三项同时进行：P1＝（P0－D+A×k）/（1+n+k）。其中：P0为调整前转股价，n为送股或转增股本率，k为增发新股或配股率，A为增发新股价或配股价，D为每股派送现金股利，P1为调整后转股价。当公司出现上述股份和/或股东权益变化情况时，将依次进行转股价格调整，并在中国证监会指定的上市公司信息披露媒体上刊登董事会决议公告，并于公告中载明转股价格调整日、调整办法及暂停转股期间（如需）；当转股价格调整日为本次发行的可转债持有人转股申请日或之后，转换股份登记日之前，则该持有人的转股申请按公司调整后的转股价格执行。20170621:辉丰转债的初始转股价格将于2017年6月27日起由原来的7.79元/股调整为7.74元/股。</v>
      </c>
      <c r="V26" s="36" t="str">
        <f>[1]!cb_clause_reset_item(A26)</f>
        <v>在本次发行的可转债存续期间，当公司股票在任意连续三十个交易日中至少有二十个交易日的收盘价低于当期转股价格的90%时，公司董事会有权提出转股价格向下修正方案并提交公司股东大会表决。上述方案须经出席会议的股东所持表决权的三分之二以上通过方可实施。股东大会进行表决时，持有本次发行的可转债的股东应当回避。修正后的转股价格应不低于本次股东大会召开日前二十个交易日公司股票交易均价和前一交易日均价，同时，修正后的转股价格不得低于公司最近一期经审计的每股净资产值和股票面值。若在前述三十个交易日内发生过转股价格调整的情形，则在转股价格调整日前的交易日按调整前的转股价格和收盘价计算，在转股价格调整日及之后的交易日按调整后的转股价格和收盘价计算。</v>
      </c>
      <c r="W26" s="36" t="str">
        <f xml:space="preserve"> [1]!cb_clause_reset_isexitreset(A26)</f>
        <v>是</v>
      </c>
      <c r="X26" s="36" t="str">
        <f xml:space="preserve"> [1]!cb_clause_reset_resetstartdate(A26)</f>
        <v>2016-04-21</v>
      </c>
      <c r="Y26" s="36" t="str">
        <f xml:space="preserve"> [1]!cb_clause_reset_resetperiodenddate(A26)</f>
        <v>2022-04-21</v>
      </c>
      <c r="Z26" s="36">
        <f>[1]!cb_clause_reset_resetmaxtimespan(A26)</f>
        <v>30</v>
      </c>
      <c r="AA26" s="36">
        <f>[1]!cb_clause_reset_resettimespan(A26)</f>
        <v>20</v>
      </c>
      <c r="AB26" s="36">
        <f>[1]!cb_clause_reset_resettriggerratio(A26)</f>
        <v>90</v>
      </c>
      <c r="AC26" s="36" t="str">
        <f>[1]!cb_clause_reset_referencepriceisanverage(A26)</f>
        <v>否</v>
      </c>
      <c r="AD26" s="36">
        <f>[1]!cb_clause_reset_resetrange(A26)</f>
        <v>0</v>
      </c>
      <c r="AE26" s="36" t="str">
        <f>[1]!cb_clause_reset_stockpricelowestlimit(A26)</f>
        <v>不低于本次股东大会召开日前二十个交易日公司股票交易均价和前一交易日均价</v>
      </c>
      <c r="AF26" s="36">
        <f>[1]!cb_clause_reset_resettimeslimit(A26)</f>
        <v>0</v>
      </c>
      <c r="AG26" s="36">
        <f xml:space="preserve">  [1]!cb_clause_reset_timepointclause(A26)</f>
        <v>0</v>
      </c>
      <c r="AH26" s="36">
        <f xml:space="preserve"> [1]!cb_clause_calloption_relativecalloptionperiod(A26)</f>
        <v>6</v>
      </c>
      <c r="AI26" s="36" t="str">
        <f xml:space="preserve"> [1]!cb_clause_calloption_redemptiontimesperyear(A26)</f>
        <v>不限次数</v>
      </c>
      <c r="AJ26" s="36" t="str">
        <f>[1]!cb_clause_calloption_conditionalredeemstartdate(A26)</f>
        <v>2016-10-28</v>
      </c>
      <c r="AK26" s="36">
        <f>[1]!cb_clause_calloption_redeemmaxspan(A26)</f>
        <v>30</v>
      </c>
      <c r="AL26" s="36">
        <f>[1]!cb_clause_calloption_redeemspan(A26)</f>
        <v>15</v>
      </c>
      <c r="AM26" s="36">
        <f>[1]!cb_clause_calloption_triggerproportion(A26)</f>
        <v>130</v>
      </c>
      <c r="AN26" s="36">
        <f xml:space="preserve"> [1]!cb_clause_calloption_redemptionprice(A26)</f>
        <v>103</v>
      </c>
      <c r="AO26" s="36" t="str">
        <f>[1]!cb_clause_calloption_redemptionmemo(A26)</f>
        <v>不低于债券面值103%（含当期利息）的赎回价格赎回全部或部分未转股的可转债</v>
      </c>
      <c r="AP26" s="36" t="str">
        <f>[1]!cb_clause_calloption_redeemitem(A26)</f>
        <v>转股期内，当下述两种情形的任意一种出现时，公司有权决定按照不低于债券面值103%（含当期利息）的赎回价格赎回全部或部分未转股的可转债：A.在本次发行的可转债转股期内，如果公司股票任意连续三十个交易日中至少有十五个交易日的收盘价不低于当期转股价格的130%（含130%）；B.当本次发行的可转债未转股余额不足3,000万元时。若在上述交易日内发生过转股价格调整的情形，则在转股价格调整前的交易日按调整前的转股价格和收盘价计算，在转股价格调整后的交易日按调整后的转股价格和收盘价计算。</v>
      </c>
      <c r="AQ26" s="36" t="str">
        <f xml:space="preserve"> [1]!cb_clause_calloption_iswithtimeredemptionclause(A26)</f>
        <v>否</v>
      </c>
      <c r="AR26" s="36">
        <f>[1]!cb_clause_calloption_timeredemptiontimes(A26)</f>
        <v>0</v>
      </c>
      <c r="AS26" s="36">
        <f>[1]!cb_clause_calloption_redeemclause(A26)</f>
        <v>0</v>
      </c>
      <c r="AT26" s="36">
        <f xml:space="preserve"> [1]!cb_clause_putoption_putbackperiodobs(A26)</f>
        <v>48</v>
      </c>
      <c r="AU26" s="36" t="str">
        <f>[1]!cb_clause_putoption_conditionalputbackstartenddate(A26)</f>
        <v>2020-04-21</v>
      </c>
      <c r="AV26" s="36">
        <f xml:space="preserve"> [1]!cb_clause_putoption_conditionalputbackenddate(A26)</f>
        <v>0</v>
      </c>
      <c r="AW26" s="36">
        <f xml:space="preserve"> [1]!cb_clause_putoption_putbacktriggermaxspan(A26)</f>
        <v>30</v>
      </c>
      <c r="AX26" s="36">
        <f>[1]!cb_clause_putoption_redeem_triggerproportion(A26)</f>
        <v>70</v>
      </c>
      <c r="AY26" s="36">
        <f>[1]!cb_clause_putoption_resellingprice(A26)</f>
        <v>103</v>
      </c>
      <c r="AZ26" s="36" t="str">
        <f xml:space="preserve"> [1]!cb_clause_putoption_resellingpriceexplaination(A26)</f>
        <v>将其持有的可转债全部或部分按债券面值的103%(含当期利息)的价格回售给公司</v>
      </c>
      <c r="BA26" s="36">
        <f>[1]!cb_clause_putoption_interestdisposing(A26)</f>
        <v>0</v>
      </c>
      <c r="BB26" s="36" t="str">
        <f xml:space="preserve"> [1]!cb_clause_putoption_sellbackitem(A26)</f>
        <v>本次发行的可转债最后两个计息年度，如果公司股票在任何连续三十个交易日的收盘价格低于当期转股价格的70%时，可转债持有人有权将其持有的可转债全部或部分按债券面值的103%（含当期利息）的价格回售给公司。若在上述交易日内发生过转股价格因发生派送股票股利、转增股本、增发新股（不包括因本次发行的可转债转股而增加的股本）、配股以及派发现金股利等情况而调整的情形，则在调整前的交易日按调整前的转股价格和收盘价格计算，在调整后的交易日按调整后的转股价格和收盘价格计算。如果出现转股价格向下修正的情况，则上述三十个交易日须从转股价格调整之后的第一个交易日起重新计算。</v>
      </c>
      <c r="BC26" s="36">
        <f>[1]!cb_clause_putoption_putbackperiod(A26)</f>
        <v>0</v>
      </c>
      <c r="BD26" s="36">
        <f>[1]!cb_clause_putoption_putbackstartdate(A26)</f>
        <v>0</v>
      </c>
      <c r="BE26" s="36">
        <f>[1]!cb_clause_putoption_putbackenddate(A26)</f>
        <v>0</v>
      </c>
      <c r="BF26" s="36">
        <f xml:space="preserve"> [1]!cb_clause_putoption_putbackprice(A26)</f>
        <v>0</v>
      </c>
      <c r="BG26" s="36">
        <f>[1]!cb_clause_putoption_putbackclause(A26)</f>
        <v>0</v>
      </c>
      <c r="BH26" s="36">
        <f>[1]!cb_clause_putoption_timeputbacktimes(A26)</f>
        <v>0</v>
      </c>
      <c r="BI26" s="36">
        <f>[1]!cb_clause_putoption_timeputbackclause(A26)</f>
        <v>0</v>
      </c>
      <c r="BJ26" s="36" t="str">
        <f>[1]!cb_clause_putoption_additionalpricememo(A26)</f>
        <v>可转债持有人有权将其持有的可转债全部或部分按债券面值加当期应计利息的价格回售给公司。</v>
      </c>
      <c r="BK26" s="36" t="str">
        <f>[1]!cb_clause_putoption_putbackadditionalcondition(A26)</f>
        <v>根据中国证监会的相关规定被视作改变募集资金用途或被中国证监会认定为改变募集资金用途的，可转债持有人享有一次回售的权利。</v>
      </c>
    </row>
    <row r="27" spans="1:63" x14ac:dyDescent="0.15">
      <c r="A27" s="34" t="s">
        <v>105</v>
      </c>
      <c r="B27" s="35" t="str">
        <f xml:space="preserve"> [1]!cb_info_name(A27)</f>
        <v>洪涛转债</v>
      </c>
      <c r="C27" s="36" t="str">
        <f>[1]!cb_clause_interest(A27,5)</f>
        <v>否</v>
      </c>
      <c r="D27" s="36" t="str">
        <f>[1]!cb_clause_interest(A27,8)</f>
        <v>是</v>
      </c>
      <c r="E27" s="36">
        <f>[1]!cb_clause_interest(A27,3)</f>
        <v>2.2166999999999999</v>
      </c>
      <c r="F27" s="36" t="str">
        <f xml:space="preserve"> [1]!cb_clause_interest(A27,6)</f>
        <v>在本次发行的可转债期满后五个交易日内，发行人将以本次发行的可转债的票面面值的108%（含最后一期年度利息）的价格向投资者兑付全部未转股的可转债。</v>
      </c>
      <c r="G27" s="36" t="str">
        <f>[1]!cb_clause_interest(A27,4)</f>
        <v>本次发行的可转债票面利率为第一年0.4%、第二年0.6%、第三年1%、第四年1.5%、第五年1.8%、第六年2%。</v>
      </c>
      <c r="H27" s="36" t="str">
        <f>[1]!cb_clause_interest(A27,7)</f>
        <v>①本次发行的可转债采用每年付息一次的付息方式，计息起始日为可转债发行首日。②付息日：每年的付息日为本次发行的可转债发行首日起每满一年的当日。如该日为法定节假日或休息日，则顺延至下一个工作日，顺延期间不另付息。每相邻的两个付息日之间为一个计息年度。③付息债权登记日：每年的付息债权登记日为每年付息日的前一交易日，公司将在每年付息日之后的5个交易日内支付当年利息。在付息债权登记日前（包括付息债权登记日）申请转换成公司股票的可转债，公司不再向其持有人支付本计息年度及以后计息年度的利息。④可转债持有人所获得利息收入的应付税项由持有人承担。</v>
      </c>
      <c r="I27" s="36">
        <f>[1]!cb_clause_conversion_2_relativeswapsharemonth(A27)</f>
        <v>6</v>
      </c>
      <c r="J27" s="36" t="str">
        <f>[1]!cb_clause_conversion_2_swapsharestartdate(A27)</f>
        <v>2017-02-06</v>
      </c>
      <c r="K27" s="36" t="str">
        <f>[1]!cb_clause_conversion_2_swapshareenddate(A27)</f>
        <v>2022-07-28</v>
      </c>
      <c r="L27" s="36" t="str">
        <f>[1]!cb_clause_conversion_2_isforced(A27)</f>
        <v>否</v>
      </c>
      <c r="M27" s="36">
        <f xml:space="preserve"> [1]!cb_clause_conversion_2_forceconvertdate(A27)</f>
        <v>0</v>
      </c>
      <c r="N27" s="36">
        <f>[1]!cb_clause_conversion_2_forceconvertprice(A27)</f>
        <v>0</v>
      </c>
      <c r="O27" s="37">
        <f ca="1">[1]!cb_clause_conversion2_swapshareprice(A27,$O$3)</f>
        <v>10.029999999999999</v>
      </c>
      <c r="P27" s="36" t="str">
        <f>[1]!b_clause_conversion_code(A27)</f>
        <v>128013</v>
      </c>
      <c r="Q27" s="38">
        <f ca="1">[1]!cb_clause_conversion2_conversionproportion(A27,$Q$3)</f>
        <v>9.9700897308075778</v>
      </c>
      <c r="R27" s="36">
        <f ca="1">[1]!cb_clause_conversion2_bondlot(A27,$R$3)/10000</f>
        <v>119998.87</v>
      </c>
      <c r="S27" s="36">
        <f ca="1">[1]!cb_clause_conversion2_bondproportion(A27,$S$3)</f>
        <v>99.999058333333323</v>
      </c>
      <c r="T27" s="36" t="str">
        <f>[1]!cb_clause_conversion_2_conversionproportion(A27)</f>
        <v>是</v>
      </c>
      <c r="U27" s="36" t="str">
        <f>[1]!cb_clause_conversion2_tosharepriceadjustitem(A27)</f>
        <v>在本次发行之后，若公司发生派送红股、转增股本、增发新股（不包括因本次发行的可转债转股而增加的股本）、配股以及派发现金股利等情况，将按下述公式进行转股价格的调整（保留小数点后两位，最后一位四舍五入）：派送红股或转增股本：P1＝P0/（1+n）；增发新股或配股：P1＝（P0+A×k）/（1+k）；上述两项同时进行：P1＝（P0+A×k）/（1+n+k）；派送现金股利：P1＝P0-D；上述三项同时进行：P1＝（P0-D+A×k）/（1+n+k）。其中：P1为调整后转股价，P0为调整前转股价，n为送股或转增股本率，A为增发新股价或配股价，k为增发新股或配股率，D为每股派送现金股利。20170704:洪涛转债的转股价格于2017年5月9日起由原来的10.28元/股调整为10.06元/股。20170707：20170710“洪涛转债”转股价格为：10.05元/股.20170715:转股价格将于2017年7月21日起由原来的10.05元/股调整为10.03元/股</v>
      </c>
      <c r="V27" s="36" t="str">
        <f>[1]!cb_clause_reset_item(A27)</f>
        <v>在本次发行的可转换公司债券存续期间，当公司股票在任意连续三十个交易日中至少有十五个交易日的收盘价低于当期转股价格的80%时，公司董事会有权提出转股价格向下修正方案并提交公司股东大会表决。上述方案须经出席会议的股东所持表决权的三分之二以上通过方可实施。股东大会进行表决时，持有本次发行的可转换公司债券的股东应当回避。修正后的转股价格应不低于本次股东大会召开日前二十个交易日公司股票交易均价和前一交易日均价之间的较高者。若在前述三十个交易日内发生过转股价格调整的情形，则在转股价格调整日前的交易日按调整前的转股价格和收盘价计算，在转股价格调整日及之后的交易日按调整后的转股价格和收盘价计算。如公司决定向下修正转股价格时，公司将在中国证监会指定的信息披露报刊及互联网网站上刊登股东大会决议公告，公告修正幅度和股权登记日及暂停转股期间。从股权登记日后的第一个交易日（即转股价格修正日），开始恢复转股申请并执行修正后的转股价格。若转股价格修正日为转股申请日或之后，转换股份登记日之前，该类转股申请应按修正后的转股价格执行。</v>
      </c>
      <c r="W27" s="36" t="str">
        <f xml:space="preserve"> [1]!cb_clause_reset_isexitreset(A27)</f>
        <v>是</v>
      </c>
      <c r="X27" s="36" t="str">
        <f xml:space="preserve"> [1]!cb_clause_reset_resetstartdate(A27)</f>
        <v>2016-07-29</v>
      </c>
      <c r="Y27" s="36" t="str">
        <f xml:space="preserve"> [1]!cb_clause_reset_resetperiodenddate(A27)</f>
        <v>2022-07-29</v>
      </c>
      <c r="Z27" s="36">
        <f>[1]!cb_clause_reset_resetmaxtimespan(A27)</f>
        <v>30</v>
      </c>
      <c r="AA27" s="36">
        <f>[1]!cb_clause_reset_resettimespan(A27)</f>
        <v>15</v>
      </c>
      <c r="AB27" s="36">
        <f>[1]!cb_clause_reset_resettriggerratio(A27)</f>
        <v>80</v>
      </c>
      <c r="AC27" s="36" t="str">
        <f>[1]!cb_clause_reset_referencepriceisanverage(A27)</f>
        <v>否</v>
      </c>
      <c r="AD27" s="36">
        <f>[1]!cb_clause_reset_resetrange(A27)</f>
        <v>0</v>
      </c>
      <c r="AE27" s="36" t="str">
        <f>[1]!cb_clause_reset_stockpricelowestlimit(A27)</f>
        <v>不低于本次股东大会召开日前二十个交易日公司股票交易均价和前一交易日均价之间的较高者。</v>
      </c>
      <c r="AF27" s="36">
        <f>[1]!cb_clause_reset_resettimeslimit(A27)</f>
        <v>0</v>
      </c>
      <c r="AG27" s="36">
        <f xml:space="preserve">  [1]!cb_clause_reset_timepointclause(A27)</f>
        <v>0</v>
      </c>
      <c r="AH27" s="36">
        <f xml:space="preserve"> [1]!cb_clause_calloption_relativecalloptionperiod(A27)</f>
        <v>6</v>
      </c>
      <c r="AI27" s="36" t="str">
        <f xml:space="preserve"> [1]!cb_clause_calloption_redemptiontimesperyear(A27)</f>
        <v>不限次数</v>
      </c>
      <c r="AJ27" s="36" t="str">
        <f>[1]!cb_clause_calloption_conditionalredeemstartdate(A27)</f>
        <v>2017-02-06</v>
      </c>
      <c r="AK27" s="36">
        <f>[1]!cb_clause_calloption_redeemmaxspan(A27)</f>
        <v>30</v>
      </c>
      <c r="AL27" s="36">
        <f>[1]!cb_clause_calloption_redeemspan(A27)</f>
        <v>15</v>
      </c>
      <c r="AM27" s="36">
        <f>[1]!cb_clause_calloption_triggerproportion(A27)</f>
        <v>130</v>
      </c>
      <c r="AN27" s="36">
        <f xml:space="preserve"> [1]!cb_clause_calloption_redemptionprice(A27)</f>
        <v>0</v>
      </c>
      <c r="AO27" s="36" t="str">
        <f>[1]!cb_clause_calloption_redemptionmemo(A27)</f>
        <v>公司董事会有权决定按照债券面值加当期应计利息的价格赎回全部或部分未转股的可转债</v>
      </c>
      <c r="AP27" s="36" t="str">
        <f>[1]!cb_clause_calloption_redeemitem(A27)</f>
        <v>（1）到期赎回条款在本次发行的可转债期满后五个交易日内，发行人将以本次发行的可转债的票面面值的108%（含最后一期年度利息）的价格向投资者兑付全部未转股的可转债。（2）有条件赎回条款在本次发行的可转债转股期内，当下述两种情形的任意一种出现时，公司董事会有权决定按照债券面值加当期应计利息的价格赎回全部或部分未转股的可转债：①在本次发行的可转债转股期内，如果公司A股股票连续30个交易日中至少有15个交易日的收盘价格不低于当期转股价格的130%（含130%）。②当本次发行的可转债未转股余额不足3,000万元时。当期应计利息的计算公式为：IA=B×i×t/365IA：指当期应计利息；B：指本次发行的可转债持有人持有的可转债票面总金额；i：指可转债当年票面利率；t：指计息天数，即从上一个付息日起至本计息年度赎回日止的实际日历天数（算头不算尾）。若在前述30个交易日内发生过转股价格调整的情形，则在调整前的交易日按调整前的转股价格和收盘价格计算，调整后的交易日按调整后的转股价格和收盘价格计算。</v>
      </c>
      <c r="AQ27" s="36" t="str">
        <f xml:space="preserve"> [1]!cb_clause_calloption_iswithtimeredemptionclause(A27)</f>
        <v>否</v>
      </c>
      <c r="AR27" s="36">
        <f>[1]!cb_clause_calloption_timeredemptiontimes(A27)</f>
        <v>0</v>
      </c>
      <c r="AS27" s="36">
        <f>[1]!cb_clause_calloption_redeemclause(A27)</f>
        <v>0</v>
      </c>
      <c r="AT27" s="36">
        <f xml:space="preserve"> [1]!cb_clause_putoption_putbackperiodobs(A27)</f>
        <v>48</v>
      </c>
      <c r="AU27" s="36" t="str">
        <f>[1]!cb_clause_putoption_conditionalputbackstartenddate(A27)</f>
        <v>2020-07-29</v>
      </c>
      <c r="AV27" s="36">
        <f xml:space="preserve"> [1]!cb_clause_putoption_conditionalputbackenddate(A27)</f>
        <v>0</v>
      </c>
      <c r="AW27" s="36">
        <f xml:space="preserve"> [1]!cb_clause_putoption_putbacktriggermaxspan(A27)</f>
        <v>30</v>
      </c>
      <c r="AX27" s="36">
        <f>[1]!cb_clause_putoption_redeem_triggerproportion(A27)</f>
        <v>70</v>
      </c>
      <c r="AY27" s="36">
        <f>[1]!cb_clause_putoption_resellingprice(A27)</f>
        <v>0</v>
      </c>
      <c r="AZ27" s="36" t="str">
        <f xml:space="preserve"> [1]!cb_clause_putoption_resellingpriceexplaination(A27)</f>
        <v>持有人有权将其持有的可转换公司债券全部或部分按面值加上当期应计利息的价格回售给公司</v>
      </c>
      <c r="BA27" s="36">
        <f>[1]!cb_clause_putoption_interestdisposing(A27)</f>
        <v>0</v>
      </c>
      <c r="BB27" s="36" t="str">
        <f xml:space="preserve"> [1]!cb_clause_putoption_sellbackitem(A27)</f>
        <v>（1）有条件回售条款在本次发行的可转换公司债券最后两个计息年度，如果公司股票在任何连续三十个交易日的收盘价格低于当期转股价的70%时，可转换公司债券持有人有权将其持有的可转换公司债券全部或部分按面值加上当期应计利息的价格回售给公司。若在上述交易日内发生过转股价格因发生送红股、转增股本、增发新股（不包括因本次发行的可转换公司债券转股而增加的股本）、配股以及派发现金股利等情况而调整的情形，则在调整前的交易日按调整前的转股价格和收盘价格计算，在调整后的交易日按调整后的转股价格和收盘价格计算。如果出现转股价格向下修正的情况，则上述“连续三十个交易日”须从转股价格调整之后的第一个交易日起重新计算。最后两个计息年度可转换公司债券持有人在每年回售条件首次满足后可按上述约定条件行使回售权一次，若在首次满足回售条件而可转换公司债券持有人未在公司届时公告的回售申报期内申报并实施回售的，该计息年度不能再行使回售权，可转换公司债券持有人不能多次行使部分回售权。</v>
      </c>
      <c r="BC27" s="36">
        <f>[1]!cb_clause_putoption_putbackperiod(A27)</f>
        <v>0</v>
      </c>
      <c r="BD27" s="36">
        <f>[1]!cb_clause_putoption_putbackstartdate(A27)</f>
        <v>0</v>
      </c>
      <c r="BE27" s="36">
        <f>[1]!cb_clause_putoption_putbackenddate(A27)</f>
        <v>0</v>
      </c>
      <c r="BF27" s="36">
        <f xml:space="preserve"> [1]!cb_clause_putoption_putbackprice(A27)</f>
        <v>0</v>
      </c>
      <c r="BG27" s="36">
        <f>[1]!cb_clause_putoption_putbackclause(A27)</f>
        <v>0</v>
      </c>
      <c r="BH27" s="36">
        <f>[1]!cb_clause_putoption_timeputbacktimes(A27)</f>
        <v>0</v>
      </c>
      <c r="BI27" s="36">
        <f>[1]!cb_clause_putoption_timeputbackclause(A27)</f>
        <v>0</v>
      </c>
      <c r="BJ27" s="36" t="str">
        <f>[1]!cb_clause_putoption_additionalpricememo(A27)</f>
        <v>若公司本次发行的可转债募集资金投资项目的实施情况与公司在募集说明书中的承诺情况相比出现重大变化，持有人有权将其持有的可转债全部或部分按债券面值加当期应计利息的价格回售给公司。</v>
      </c>
      <c r="BK27" s="36" t="str">
        <f>[1]!cb_clause_putoption_putbackadditionalcondition(A27)</f>
        <v>根据中国证监会的相关规定被视作改变募集资金用途或被中国证监会认定为改变募集资金用途的，可转换公司债券持有人享有一次回售的权利。</v>
      </c>
    </row>
    <row r="28" spans="1:63" x14ac:dyDescent="0.15">
      <c r="A28" s="34" t="s">
        <v>106</v>
      </c>
      <c r="B28" s="35" t="str">
        <f xml:space="preserve"> [1]!cb_info_name(A28)</f>
        <v>永东转债</v>
      </c>
      <c r="C28" s="36" t="str">
        <f>[1]!cb_clause_interest(A28,5)</f>
        <v>否</v>
      </c>
      <c r="D28" s="36" t="str">
        <f>[1]!cb_clause_interest(A28,8)</f>
        <v>是</v>
      </c>
      <c r="E28" s="36">
        <f>[1]!cb_clause_interest(A28,3)</f>
        <v>2.25</v>
      </c>
      <c r="F28" s="36" t="str">
        <f xml:space="preserve"> [1]!cb_clause_interest(A28,6)</f>
        <v>本次发行的可转债到期后5个交易日内，公司将按债券面值的108%（含最后一期利息）的价格赎回未转股的可转债。</v>
      </c>
      <c r="G28" s="36" t="str">
        <f>[1]!cb_clause_interest(A28,4)</f>
        <v>第一年为0.5%，第二年为0.7%，第三年为1.0%，第四年为1.5%，第五年为1.8%，第六年为2%。</v>
      </c>
      <c r="H28" s="36" t="str">
        <f>[1]!cb_clause_interest(A28,7)</f>
        <v>A、本次发行的可转债采用每年付息一次的付息方式，计息起始日为可转债发行首日。B、付息日：每年的付息日为本次发行的可转债发行首日起每满一年的当日。如该日为法定节假日或休息日，则顺延至下一个工作日，顺延期间不另付息。每相邻的两个付息日之间为一个计息年度。转股年度有关利息和股利的归属等事项，由公司董事会根据相关法律法规及深圳证券交易所的规定确定。C、付息债权登记日：每年的付息债权登记日为每年付息日的前一交易日，公司将在每年付息日之后的五个交易日内支付当年利息。在付息债权登记日前（包括付息债权登记日）申请转换成公司股票的可转债，公司不再向其持有人支付本计息年度及以后计息年度的利息。D、可转债持有人所获得利息收入的应付税项由可转债持有人承担。</v>
      </c>
      <c r="I28" s="36">
        <f>[1]!cb_clause_conversion_2_relativeswapsharemonth(A28)</f>
        <v>6</v>
      </c>
      <c r="J28" s="36" t="str">
        <f>[1]!cb_clause_conversion_2_swapsharestartdate(A28)</f>
        <v>2017-10-23</v>
      </c>
      <c r="K28" s="36" t="str">
        <f>[1]!cb_clause_conversion_2_swapshareenddate(A28)</f>
        <v>2023-04-16</v>
      </c>
      <c r="L28" s="36" t="str">
        <f>[1]!cb_clause_conversion_2_isforced(A28)</f>
        <v>否</v>
      </c>
      <c r="M28" s="36">
        <f xml:space="preserve"> [1]!cb_clause_conversion_2_forceconvertdate(A28)</f>
        <v>0</v>
      </c>
      <c r="N28" s="36">
        <f>[1]!cb_clause_conversion_2_forceconvertprice(A28)</f>
        <v>0</v>
      </c>
      <c r="O28" s="37">
        <f ca="1">[1]!cb_clause_conversion2_swapshareprice(A28,$O$3)</f>
        <v>20.46</v>
      </c>
      <c r="P28" s="36" t="str">
        <f>[1]!b_clause_conversion_code(A28)</f>
        <v>128014</v>
      </c>
      <c r="Q28" s="38">
        <f ca="1">[1]!cb_clause_conversion2_conversionproportion(A28,$Q$3)</f>
        <v>4.8875855327468232</v>
      </c>
      <c r="R28" s="36">
        <f ca="1">[1]!cb_clause_conversion2_bondlot(A28,$R$3)/10000</f>
        <v>33997.67</v>
      </c>
      <c r="S28" s="36">
        <f ca="1">[1]!cb_clause_conversion2_bondproportion(A28,$S$3)</f>
        <v>99.993147058823524</v>
      </c>
      <c r="T28" s="36" t="str">
        <f>[1]!cb_clause_conversion_2_conversionproportion(A28)</f>
        <v>是</v>
      </c>
      <c r="U28" s="36" t="str">
        <f>[1]!cb_clause_conversion2_tosharepriceadjustitem(A28)</f>
        <v>在本次发行之后，当公司因派送股票股利、转增股本、增发新股或配股、派送现金股利等情况（不包括因可转债转股而增加的股本），将按下述公式进行转股价格的调整（保留小数点后两位，最后一位四舍五入）：派送股票股利或转增股本：P1=P0/(1+n)；增发新股或配股：P1=(P0+A*K)/(1+k)；上述两项同时进行：P1=(P0+A*k)/(1+n+k)；派送现金股利：P1=P0-D；上述三项同时进行：P1=(P0-D+A*k)/(1+n+k)。其中：P1为调整后转股价，P0为调整前转股价，n为送股或转增股本率，A为增发新股价或配股价，k为增发新股或配股率，D为每股派送现金股利。</v>
      </c>
      <c r="V28" s="36" t="str">
        <f>[1]!cb_clause_reset_item(A28)</f>
        <v>在本次发行的可转债存续期间，当公司股票在任意连续二十个交易日中至少有十个交易日的收盘价低于当期转股价格的90%时，公司董事会有权提出转股价格向下修正方案并提交公司股东大会审议表决。上述方案须经出席会议的股东所持表决权的三分之二以上通过方可实施。股东大会进行表决时，持有公司本次发行的可转债的股东应当回避。修正后的转股价格应不低于该次股东大会召开日前二十个交易日公司股票交易均价和前一交易日公司股票交易均价较高者。同时，修正后的转股价格不得低于最近一期经审计的每股净资产值和股票面值。若在前述二十个交易日内发生过转股价格调整的情形，则在调整前的交易日按调整前的转股价格和收盘价格计算，调整后的交易日按调整后的转股价格和收盘价格计算。</v>
      </c>
      <c r="W28" s="36" t="str">
        <f xml:space="preserve"> [1]!cb_clause_reset_isexitreset(A28)</f>
        <v>是</v>
      </c>
      <c r="X28" s="36" t="str">
        <f xml:space="preserve"> [1]!cb_clause_reset_resetstartdate(A28)</f>
        <v>2017-04-17</v>
      </c>
      <c r="Y28" s="36" t="str">
        <f xml:space="preserve"> [1]!cb_clause_reset_resetperiodenddate(A28)</f>
        <v>2023-04-17</v>
      </c>
      <c r="Z28" s="36">
        <f>[1]!cb_clause_reset_resetmaxtimespan(A28)</f>
        <v>20</v>
      </c>
      <c r="AA28" s="36">
        <f>[1]!cb_clause_reset_resettimespan(A28)</f>
        <v>10</v>
      </c>
      <c r="AB28" s="36">
        <f>[1]!cb_clause_reset_resettriggerratio(A28)</f>
        <v>90</v>
      </c>
      <c r="AC28" s="36" t="str">
        <f>[1]!cb_clause_reset_referencepriceisanverage(A28)</f>
        <v>否</v>
      </c>
      <c r="AD28" s="36">
        <f>[1]!cb_clause_reset_resetrange(A28)</f>
        <v>0</v>
      </c>
      <c r="AE28" s="36" t="str">
        <f>[1]!cb_clause_reset_stockpricelowestlimit(A28)</f>
        <v>不低于该次股东大会召开日前二十个交易日均价和前一交易日交易均价较高者,每股净资产值和股票面值</v>
      </c>
      <c r="AF28" s="36">
        <f>[1]!cb_clause_reset_resettimeslimit(A28)</f>
        <v>0</v>
      </c>
      <c r="AG28" s="36">
        <f xml:space="preserve">  [1]!cb_clause_reset_timepointclause(A28)</f>
        <v>0</v>
      </c>
      <c r="AH28" s="36">
        <f xml:space="preserve"> [1]!cb_clause_calloption_relativecalloptionperiod(A28)</f>
        <v>6</v>
      </c>
      <c r="AI28" s="36" t="str">
        <f xml:space="preserve"> [1]!cb_clause_calloption_redemptiontimesperyear(A28)</f>
        <v>不限次数</v>
      </c>
      <c r="AJ28" s="36" t="str">
        <f>[1]!cb_clause_calloption_conditionalredeemstartdate(A28)</f>
        <v>2017-10-23</v>
      </c>
      <c r="AK28" s="36">
        <f>[1]!cb_clause_calloption_redeemmaxspan(A28)</f>
        <v>30</v>
      </c>
      <c r="AL28" s="36">
        <f>[1]!cb_clause_calloption_redeemspan(A28)</f>
        <v>15</v>
      </c>
      <c r="AM28" s="36">
        <f>[1]!cb_clause_calloption_triggerproportion(A28)</f>
        <v>130</v>
      </c>
      <c r="AN28" s="36">
        <f xml:space="preserve"> [1]!cb_clause_calloption_redemptionprice(A28)</f>
        <v>0</v>
      </c>
      <c r="AO28" s="36" t="str">
        <f>[1]!cb_clause_calloption_redemptionmemo(A28)</f>
        <v>公司有权决定按照债券面值加应计利息的价格赎回全部或部分未转股的可转债：</v>
      </c>
      <c r="AP28" s="36" t="str">
        <f>[1]!cb_clause_calloption_redeemitem(A28)</f>
        <v>在本次发行的可转债转股期内，当下述两种情形的任意一种出现时，公司有权决定按照债券面值加应计利息的价格赎回全部或部分未转股的可转债：（1）在本次发行的可转债转股期内，如果公司A股股票连续三十个交易日中至少有十五个交易日的收盘价格不低于当期转股价格的130%（含130%）；（2）当本次发行的可转债未转股余额不足3,000万元时。当期应计利息的计算公式为:IA=B*i*t/365。IA：指当期应计利息；B：指本次发行的可转债持有人持有的将赎回的可转债票面总金额；i：指可转债当年票面利率；t：指计息天数，即从上一个付息日起至本计息年度赎回日止的实际日历天数（算头不算尾）。若在前述三十个交易日内发生过转股价格调整的情形，则在调整前的交易日按调整前的转股价格和收盘价格计算，调整后的交易日按调整后的转股价格和收盘价格计算。</v>
      </c>
      <c r="AQ28" s="36" t="str">
        <f xml:space="preserve"> [1]!cb_clause_calloption_iswithtimeredemptionclause(A28)</f>
        <v>否</v>
      </c>
      <c r="AR28" s="36">
        <f>[1]!cb_clause_calloption_timeredemptiontimes(A28)</f>
        <v>0</v>
      </c>
      <c r="AS28" s="36">
        <f>[1]!cb_clause_calloption_redeemclause(A28)</f>
        <v>0</v>
      </c>
      <c r="AT28" s="36">
        <f xml:space="preserve"> [1]!cb_clause_putoption_putbackperiodobs(A28)</f>
        <v>48</v>
      </c>
      <c r="AU28" s="36" t="str">
        <f>[1]!cb_clause_putoption_conditionalputbackstartenddate(A28)</f>
        <v>2021-04-17</v>
      </c>
      <c r="AV28" s="36">
        <f xml:space="preserve"> [1]!cb_clause_putoption_conditionalputbackenddate(A28)</f>
        <v>0</v>
      </c>
      <c r="AW28" s="36">
        <f xml:space="preserve"> [1]!cb_clause_putoption_putbacktriggermaxspan(A28)</f>
        <v>30</v>
      </c>
      <c r="AX28" s="36">
        <f>[1]!cb_clause_putoption_redeem_triggerproportion(A28)</f>
        <v>70</v>
      </c>
      <c r="AY28" s="36">
        <f>[1]!cb_clause_putoption_resellingprice(A28)</f>
        <v>0</v>
      </c>
      <c r="AZ28" s="36" t="str">
        <f xml:space="preserve"> [1]!cb_clause_putoption_resellingpriceexplaination(A28)</f>
        <v>可转债持有人有权将其持有的可转债全部或部分按债券面值加上当期应计利息的价格回售给公司.</v>
      </c>
      <c r="BA28" s="36">
        <f>[1]!cb_clause_putoption_interestdisposing(A28)</f>
        <v>0</v>
      </c>
      <c r="BB28" s="36" t="str">
        <f xml:space="preserve"> [1]!cb_clause_putoption_sellbackitem(A28)</f>
        <v>（1）有条件回售条款本次发行的可转债最后两个计息年度，如果公司股票在任何连续三十个交易日的收盘价格低于当期转股价格的70%时，可转债持有人有权将其持有的可转债全部或部分按债券面值加上当期应计利息的价格回售给公司。若在上述交易日内发生过转股价格因发生送股票股利、转增股本、增发新股（不包括因本次发行的可转债转股而增加的股本）、配股以及派发现金股利等情况而调整的情形，则在调整前的交易日按调整前的转股价格和收盘价格计算，在调整后的交易日按调整后的转股价格和收盘价格计算。如果出现转股价格向下修正的情况，则上述三十个交易日须从转股价格调整之后的第一个交易日起重新计算。本次发行的可转债最后两个计息年度，可转债持有人在每年回售条件首次满足后可按上述约定条件行使回售权一次，若在首次满足回售条件而可转债持有人未在公司届时公告的回售申报期内申报并实施回售的，该计息年度不应再行使回售权，可转债持有人不能多次行使部分回售权。</v>
      </c>
      <c r="BC28" s="36">
        <f>[1]!cb_clause_putoption_putbackperiod(A28)</f>
        <v>0</v>
      </c>
      <c r="BD28" s="36">
        <f>[1]!cb_clause_putoption_putbackstartdate(A28)</f>
        <v>0</v>
      </c>
      <c r="BE28" s="36">
        <f>[1]!cb_clause_putoption_putbackenddate(A28)</f>
        <v>0</v>
      </c>
      <c r="BF28" s="36">
        <f xml:space="preserve"> [1]!cb_clause_putoption_putbackprice(A28)</f>
        <v>0</v>
      </c>
      <c r="BG28" s="36">
        <f>[1]!cb_clause_putoption_putbackclause(A28)</f>
        <v>0</v>
      </c>
      <c r="BH28" s="36">
        <f>[1]!cb_clause_putoption_timeputbacktimes(A28)</f>
        <v>0</v>
      </c>
      <c r="BI28" s="36">
        <f>[1]!cb_clause_putoption_timeputbackclause(A28)</f>
        <v>0</v>
      </c>
      <c r="BJ28" s="36" t="str">
        <f>[1]!cb_clause_putoption_additionalpricememo(A28)</f>
        <v>可转债持有人有权将其持有的可转债全部或部分按债券面值加当期应计利息的价格回售给公司。</v>
      </c>
      <c r="BK28" s="36" t="str">
        <f>[1]!cb_clause_putoption_putbackadditionalcondition(A28)</f>
        <v>若公司本次发行的可转债募集资金投资项目的事实情况与公司在募集说明书中的承诺情况相比出现重大变化,可转债持有人享有一次回售的权利。</v>
      </c>
    </row>
    <row r="29" spans="1:63" x14ac:dyDescent="0.15">
      <c r="A29" s="34" t="s">
        <v>107</v>
      </c>
      <c r="B29" s="35" t="str">
        <f xml:space="preserve"> [1]!cb_info_name(A29)</f>
        <v>久其转债</v>
      </c>
      <c r="C29" s="36" t="str">
        <f>[1]!cb_clause_interest(A29,5)</f>
        <v>否</v>
      </c>
      <c r="D29" s="36" t="str">
        <f>[1]!cb_clause_interest(A29,8)</f>
        <v>是</v>
      </c>
      <c r="E29" s="36">
        <f>[1]!cb_clause_interest(A29,3)</f>
        <v>2.1</v>
      </c>
      <c r="F29" s="36" t="str">
        <f xml:space="preserve"> [1]!cb_clause_interest(A29,6)</f>
        <v>在本次发行的可转换公司债券期满5个交易日内，公司将按债券面值的108%（含最后一期利息）的价格赎回全部未转股的可转换公司债券。</v>
      </c>
      <c r="G29" s="36" t="str">
        <f>[1]!cb_clause_interest(A29,4)</f>
        <v>第一年为0.3%，第二年为0.5%，第三年为1.0%，第四年为1.3%，第五年为1.5%，第六年为1.8%。</v>
      </c>
      <c r="H29" s="36" t="str">
        <f>[1]!cb_clause_interest(A29,7)</f>
        <v>①本次发行的可转换公司债券采用每年付息一次的付息方式，计息起始日为可转换公司债券发行首日。②付息日：每年的付息日为本次发行的可转换公司债券发行首日起每满一年的当日。如该日为法定节假日或休息日，则顺延至下一个工作日，顺延期间不另付息。每相邻的两个付息日之间为一个计息年度。③付息债权登记日：每年的付息债权登记日为每年付息日的前一交易日，公司将在每年付息日之后的五个交易日内支付当年利息。在付息债权登记日前（包括付息债权登记日）申请转换成公司股票的可转换公司债券，公司不再向其持有人支付本计息年度及以后计息年度的利息。④可转换公司债券持有人所获得利息收入的应付税项由持有人承担。</v>
      </c>
      <c r="I29" s="36">
        <f>[1]!cb_clause_conversion_2_relativeswapsharemonth(A29)</f>
        <v>6</v>
      </c>
      <c r="J29" s="36" t="str">
        <f>[1]!cb_clause_conversion_2_swapsharestartdate(A29)</f>
        <v>2017-12-15</v>
      </c>
      <c r="K29" s="36" t="str">
        <f>[1]!cb_clause_conversion_2_swapshareenddate(A29)</f>
        <v>2023-06-07</v>
      </c>
      <c r="L29" s="36" t="str">
        <f>[1]!cb_clause_conversion_2_isforced(A29)</f>
        <v>否</v>
      </c>
      <c r="M29" s="36">
        <f xml:space="preserve"> [1]!cb_clause_conversion_2_forceconvertdate(A29)</f>
        <v>0</v>
      </c>
      <c r="N29" s="36">
        <f>[1]!cb_clause_conversion_2_forceconvertprice(A29)</f>
        <v>0</v>
      </c>
      <c r="O29" s="37">
        <f ca="1">[1]!cb_clause_conversion2_swapshareprice(A29,$O$3)</f>
        <v>12.9</v>
      </c>
      <c r="P29" s="36" t="str">
        <f>[1]!b_clause_conversion_code(A29)</f>
        <v>128015</v>
      </c>
      <c r="Q29" s="38">
        <f ca="1">[1]!cb_clause_conversion2_conversionproportion(A29,$Q$3)</f>
        <v>7.7519379844961236</v>
      </c>
      <c r="R29" s="36">
        <f ca="1">[1]!cb_clause_conversion2_bondlot(A29,$R$3)/10000</f>
        <v>78000</v>
      </c>
      <c r="S29" s="36">
        <f ca="1">[1]!cb_clause_conversion2_bondproportion(A29,$S$3)</f>
        <v>100</v>
      </c>
      <c r="T29" s="36" t="str">
        <f>[1]!cb_clause_conversion_2_conversionproportion(A29)</f>
        <v>是</v>
      </c>
      <c r="U29" s="36" t="str">
        <f>[1]!cb_clause_conversion2_tosharepriceadjustitem(A29)</f>
        <v>在本次发行之后，若公司发生派送红股、转增股本、增发新股（不包括因本次发行的可转换公司债券转股而增加的股本）、配股以及派发现金股利等情况，则转股价格相应调整。</v>
      </c>
      <c r="V29" s="36" t="str">
        <f>[1]!cb_clause_reset_item(A29)</f>
        <v>在本次发行的可转换公司债券存续期间，当公司股票在任意连续三十个交易日中至少有十五个交易日的收盘价低于当期转股价格的90%时，公司董事会有权提出转股价格向下修正方案并提交公司股东大会表决。上述方案须经出席会议的股东所持表决权的三分之二以上通过方可实施。股东大会进行表决时，持有本次发行的可转换公司债券的股东应当回避。修正后的转股价格应不低于本次股东大会召开日前二十个交易日公司股票交易均价和前一交易日均价之间的较高者。若在前述三十个交易日内发生过转股价格调整的情形，则在转股价格调整日前的交易日按调整前的转股价格和收盘价计算，在转股价格调整日及之后的交易日按调整后的转股价格和收盘价计算。</v>
      </c>
      <c r="W29" s="36" t="str">
        <f xml:space="preserve"> [1]!cb_clause_reset_isexitreset(A29)</f>
        <v>是</v>
      </c>
      <c r="X29" s="36" t="str">
        <f xml:space="preserve"> [1]!cb_clause_reset_resetstartdate(A29)</f>
        <v>2017-06-08</v>
      </c>
      <c r="Y29" s="36" t="str">
        <f xml:space="preserve"> [1]!cb_clause_reset_resetperiodenddate(A29)</f>
        <v>2023-06-08</v>
      </c>
      <c r="Z29" s="36">
        <f>[1]!cb_clause_reset_resetmaxtimespan(A29)</f>
        <v>30</v>
      </c>
      <c r="AA29" s="36">
        <f>[1]!cb_clause_reset_resettimespan(A29)</f>
        <v>15</v>
      </c>
      <c r="AB29" s="36">
        <f>[1]!cb_clause_reset_resettriggerratio(A29)</f>
        <v>90</v>
      </c>
      <c r="AC29" s="36" t="str">
        <f>[1]!cb_clause_reset_referencepriceisanverage(A29)</f>
        <v>否</v>
      </c>
      <c r="AD29" s="36">
        <f>[1]!cb_clause_reset_resetrange(A29)</f>
        <v>0</v>
      </c>
      <c r="AE29" s="36" t="str">
        <f>[1]!cb_clause_reset_stockpricelowestlimit(A29)</f>
        <v>不低于本次股东大会召开日前二十个交易日公司股票交易均价和前一交易日均价之间的较高者</v>
      </c>
      <c r="AF29" s="36">
        <f>[1]!cb_clause_reset_resettimeslimit(A29)</f>
        <v>0</v>
      </c>
      <c r="AG29" s="36">
        <f xml:space="preserve">  [1]!cb_clause_reset_timepointclause(A29)</f>
        <v>0</v>
      </c>
      <c r="AH29" s="36">
        <f xml:space="preserve"> [1]!cb_clause_calloption_relativecalloptionperiod(A29)</f>
        <v>6</v>
      </c>
      <c r="AI29" s="36" t="str">
        <f xml:space="preserve"> [1]!cb_clause_calloption_redemptiontimesperyear(A29)</f>
        <v>不限次数</v>
      </c>
      <c r="AJ29" s="36" t="str">
        <f>[1]!cb_clause_calloption_conditionalredeemstartdate(A29)</f>
        <v>2017-12-15</v>
      </c>
      <c r="AK29" s="36">
        <f>[1]!cb_clause_calloption_redeemmaxspan(A29)</f>
        <v>30</v>
      </c>
      <c r="AL29" s="36">
        <f>[1]!cb_clause_calloption_redeemspan(A29)</f>
        <v>15</v>
      </c>
      <c r="AM29" s="36">
        <f>[1]!cb_clause_calloption_triggerproportion(A29)</f>
        <v>130</v>
      </c>
      <c r="AN29" s="36">
        <f xml:space="preserve"> [1]!cb_clause_calloption_redemptionprice(A29)</f>
        <v>0</v>
      </c>
      <c r="AO29" s="36" t="str">
        <f>[1]!cb_clause_calloption_redemptionmemo(A29)</f>
        <v>公司有权决定按照债券面值加当期应计利息的价格赎回全部或部分未转股的可转换公司债券</v>
      </c>
      <c r="AP29" s="36" t="str">
        <f>[1]!cb_clause_calloption_redeemitem(A29)</f>
        <v>在本次发行的可转换公司债券转股期内，当下述两种情形的任意一种出现时，公司董事会有权决定按照债券面值加当期应计利息的价格赎回全部或部分未转股的可转换公司债券：①在本次发行的可转换公司债券转股期内，如果公司A股股票连续30个交易日中至少有15个交易日的收盘价格不低于当期转股价格的130%（含130%）。②当本次发行的可转换公司债券未转股余额不足3,000万元时。</v>
      </c>
      <c r="AQ29" s="36" t="str">
        <f xml:space="preserve"> [1]!cb_clause_calloption_iswithtimeredemptionclause(A29)</f>
        <v>否</v>
      </c>
      <c r="AR29" s="36">
        <f>[1]!cb_clause_calloption_timeredemptiontimes(A29)</f>
        <v>0</v>
      </c>
      <c r="AS29" s="36">
        <f>[1]!cb_clause_calloption_redeemclause(A29)</f>
        <v>0</v>
      </c>
      <c r="AT29" s="36">
        <f xml:space="preserve"> [1]!cb_clause_putoption_putbackperiodobs(A29)</f>
        <v>48</v>
      </c>
      <c r="AU29" s="36" t="str">
        <f>[1]!cb_clause_putoption_conditionalputbackstartenddate(A29)</f>
        <v>2021-06-08</v>
      </c>
      <c r="AV29" s="36">
        <f xml:space="preserve"> [1]!cb_clause_putoption_conditionalputbackenddate(A29)</f>
        <v>0</v>
      </c>
      <c r="AW29" s="36">
        <f xml:space="preserve"> [1]!cb_clause_putoption_putbacktriggermaxspan(A29)</f>
        <v>30</v>
      </c>
      <c r="AX29" s="36">
        <f>[1]!cb_clause_putoption_redeem_triggerproportion(A29)</f>
        <v>70</v>
      </c>
      <c r="AY29" s="36">
        <f>[1]!cb_clause_putoption_resellingprice(A29)</f>
        <v>0</v>
      </c>
      <c r="AZ29" s="36" t="str">
        <f xml:space="preserve"> [1]!cb_clause_putoption_resellingpriceexplaination(A29)</f>
        <v>可转换公司债券持有人有权将其持有的可转换公司债券全部或部分按面值加上当期应计利息的价格回售给公司</v>
      </c>
      <c r="BA29" s="36">
        <f>[1]!cb_clause_putoption_interestdisposing(A29)</f>
        <v>0</v>
      </c>
      <c r="BB29" s="36" t="str">
        <f xml:space="preserve"> [1]!cb_clause_putoption_sellbackitem(A29)</f>
        <v>在本次发行的可转换公司债券最后两个计息年度，如果公司股票在任何连续三十个交易日的收盘价格低于当期转股价的70%时，可转换公司债券持有人有权将其持有的可转换公司债券全部或部分按面值加上当期应计利息的价格回售给公司。若在上述交易日内发生过转股价格因发生送红股、转增股本、增发新股（不包括因本次发行的可转换公司债券转股而增加的股本）、配股以及派发现金股利等情况而调整的情形，则在调整前的交易日按调整前的转股价格和收盘价格计算，在调整后的交易日按调整后的转股价格和收盘价格计算。如果出现转股价格向下修正的情况，则上述“连续三十个交易日”须从转股价格调整之后的第一个交易日起重新计算。最后两个计息年度可转换公司债券持有人在每年回售条件首次满足后可按上述约定条件行使回售权一次，若在首次满足回售条件而可转换公司债券持有人未在公司届时公告的回售申报期内申报并实施回售的，该计息年度不能再行使回售权，可转换公司债券持有人不能多次行使部分回售权。</v>
      </c>
      <c r="BC29" s="36">
        <f>[1]!cb_clause_putoption_putbackperiod(A29)</f>
        <v>0</v>
      </c>
      <c r="BD29" s="36">
        <f>[1]!cb_clause_putoption_putbackstartdate(A29)</f>
        <v>0</v>
      </c>
      <c r="BE29" s="36">
        <f>[1]!cb_clause_putoption_putbackenddate(A29)</f>
        <v>0</v>
      </c>
      <c r="BF29" s="36">
        <f xml:space="preserve"> [1]!cb_clause_putoption_putbackprice(A29)</f>
        <v>0</v>
      </c>
      <c r="BG29" s="36">
        <f>[1]!cb_clause_putoption_putbackclause(A29)</f>
        <v>0</v>
      </c>
      <c r="BH29" s="36">
        <f>[1]!cb_clause_putoption_timeputbacktimes(A29)</f>
        <v>0</v>
      </c>
      <c r="BI29" s="36">
        <f>[1]!cb_clause_putoption_timeputbackclause(A29)</f>
        <v>0</v>
      </c>
      <c r="BJ29" s="36" t="str">
        <f>[1]!cb_clause_putoption_additionalpricememo(A29)</f>
        <v>可转换公司债券持有人有权将其持有的可转换公司债券全部或部分按债券面值加上当期应计利息价格回售给公司</v>
      </c>
      <c r="BK29" s="36" t="str">
        <f>[1]!cb_clause_putoption_putbackadditionalcondition(A29)</f>
        <v>若公司本次发行的可转债募集资金投资项目的事实情况与公司在募集说明书中的承诺情况相比出现重大变化,可转债持有人享有一次回售的权利。</v>
      </c>
    </row>
    <row r="30" spans="1:63" x14ac:dyDescent="0.15">
      <c r="A30" s="34" t="s">
        <v>108</v>
      </c>
      <c r="B30" s="35" t="str">
        <f xml:space="preserve"> [1]!cb_info_name(A30)</f>
        <v>雨虹转债</v>
      </c>
      <c r="C30" s="36" t="str">
        <f>[1]!cb_clause_interest(A30,5)</f>
        <v>否</v>
      </c>
      <c r="D30" s="36" t="str">
        <f>[1]!cb_clause_interest(A30,8)</f>
        <v>是</v>
      </c>
      <c r="E30" s="36">
        <f>[1]!cb_clause_interest(A30,3)</f>
        <v>1.7666999999999999</v>
      </c>
      <c r="F30" s="36" t="str">
        <f xml:space="preserve"> [1]!cb_clause_interest(A30,6)</f>
        <v>在本次发行的可转债期满后五个交易日内，公司将以本次可转债票面面值上浮6%（含最后一期利息）的价格向投资者赎回全部未转股的可转债。</v>
      </c>
      <c r="G30" s="36" t="str">
        <f>[1]!cb_clause_interest(A30,4)</f>
        <v>本次发行的可转换公司债券票面利率：第一年0.3%、第二年0.5%、第三年1.0%、第四年1.3%、第五年1.5%、第六年1.8%。</v>
      </c>
      <c r="H30" s="36" t="str">
        <f>[1]!cb_clause_interest(A30,7)</f>
        <v>（ 1）本次发行的可转换公司债券采用每年付息一次的付息方式，计息起始日为可转换公司债券发行首日。（ 2）付息日：每年的付息日为本次发行的可转换公司债券发行首日起每满一年的当日。如该日为法定节假日或休息日，则顺延至下一个工作日，顺延期间不另付息。每相邻的两个付息日之间为一个计息年度。（ 3）付息债权登记日：每年的付息债权登记日为每年付息日的前一交易日，公司将在每年付息日之后的五个交易日内支付当年利息。在付息债权登记日前（包括付息债权登记日）申请转换成公司股票的可转换公司债券，公司不再向其持有人支付本计息年度及以后计息年度的利息。（ 4）可转换公司债券持有人所获得利息收入的应付税项由持有人承担。</v>
      </c>
      <c r="I30" s="36">
        <f>[1]!cb_clause_conversion_2_relativeswapsharemonth(A30)</f>
        <v>6</v>
      </c>
      <c r="J30" s="36" t="str">
        <f>[1]!cb_clause_conversion_2_swapsharestartdate(A30)</f>
        <v>2018-03-29</v>
      </c>
      <c r="K30" s="36" t="str">
        <f>[1]!cb_clause_conversion_2_swapshareenddate(A30)</f>
        <v>2023-09-25</v>
      </c>
      <c r="L30" s="36" t="str">
        <f>[1]!cb_clause_conversion_2_isforced(A30)</f>
        <v>否</v>
      </c>
      <c r="M30" s="36">
        <f xml:space="preserve"> [1]!cb_clause_conversion_2_forceconvertdate(A30)</f>
        <v>0</v>
      </c>
      <c r="N30" s="36">
        <f>[1]!cb_clause_conversion_2_forceconvertprice(A30)</f>
        <v>0</v>
      </c>
      <c r="O30" s="37">
        <f ca="1">[1]!cb_clause_conversion2_swapshareprice(A30,$O$3)</f>
        <v>38.479999999999997</v>
      </c>
      <c r="P30" s="36" t="str">
        <f>[1]!b_clause_conversion_code(A30)</f>
        <v>128016</v>
      </c>
      <c r="Q30" s="38">
        <f ca="1">[1]!cb_clause_conversion2_conversionproportion(A30,$Q$3)</f>
        <v>2.5987525987525988</v>
      </c>
      <c r="R30" s="36">
        <f ca="1">[1]!cb_clause_conversion2_bondlot(A30,$R$3)/10000</f>
        <v>184000</v>
      </c>
      <c r="S30" s="36">
        <f ca="1">[1]!cb_clause_conversion2_bondproportion(A30,$S$3)</f>
        <v>100.00000000000001</v>
      </c>
      <c r="T30" s="36" t="str">
        <f>[1]!cb_clause_conversion_2_conversionproportion(A30)</f>
        <v>是</v>
      </c>
      <c r="U30" s="36" t="str">
        <f>[1]!cb_clause_conversion2_tosharepriceadjustitem(A30)</f>
        <v>在本次发行之后，当公司发生派送股票股利、转增股本、增发新股或配股、派送现金股利等情况（不包括因本次发行的可转换公司债券转股而增加的股本），使公司股份发生变化时，将按下述公式进行转股价格的调整（保留小数点后两位，最后一位四舍五入）：派送股票股利或转增股本：P1=P0/（1+n）；增发新股或配股：P1=（P0+A×k）/（1+k）；上述两项同时进行：P1=（P0+A×k）/（1+n+k）；派送现金股利：P1=P0－D；上述三项同时进行：P1＝（P0－D+A×k）/（1+n+k）其中：P0为调整前转股价，n为送股或转增股本率，k为增发新股或配股率，A为增发新股价或配股价，D为每股派送现金股利，P1为调整后转股价。</v>
      </c>
      <c r="V30" s="36" t="str">
        <f>[1]!cb_clause_reset_item(A30)</f>
        <v>在本次发行的可转换公司债券存续期间，当公司股票在任意连续三十个交易日中至少有十五个交易日的收盘价低于当期转股价格的80%时，公司董事会有权提出转股价格向下修正方案并提交公司股东大会表决。上述方案须经出席会议的股东所持表决权的三分之二以上通过方可实施。股东大会进行表决时，持有本次发行的可转换公司债券的股东应当回避。修正后的转股价格应不低于本次股东大会召开日前二十个交易日公司股票交易均价和前一交易日均价之间的较高者。若在前述三十个交易日内发生过转股价格调整的情形，则在转股价格调整日前的交易日按调整前的转股价格和收盘价计算，在转股价格调整日及之后的交易日按调整后的转股价格和收盘价计算。</v>
      </c>
      <c r="W30" s="36" t="str">
        <f xml:space="preserve"> [1]!cb_clause_reset_isexitreset(A30)</f>
        <v>是</v>
      </c>
      <c r="X30" s="36" t="str">
        <f xml:space="preserve"> [1]!cb_clause_reset_resetstartdate(A30)</f>
        <v>2017-09-25</v>
      </c>
      <c r="Y30" s="36" t="str">
        <f xml:space="preserve"> [1]!cb_clause_reset_resetperiodenddate(A30)</f>
        <v>2023-09-25</v>
      </c>
      <c r="Z30" s="36">
        <f>[1]!cb_clause_reset_resetmaxtimespan(A30)</f>
        <v>30</v>
      </c>
      <c r="AA30" s="36">
        <f>[1]!cb_clause_reset_resettimespan(A30)</f>
        <v>15</v>
      </c>
      <c r="AB30" s="36">
        <f>[1]!cb_clause_reset_resettriggerratio(A30)</f>
        <v>80</v>
      </c>
      <c r="AC30" s="36" t="str">
        <f>[1]!cb_clause_reset_referencepriceisanverage(A30)</f>
        <v>否</v>
      </c>
      <c r="AD30" s="36">
        <f>[1]!cb_clause_reset_resetrange(A30)</f>
        <v>0</v>
      </c>
      <c r="AE30" s="36" t="str">
        <f>[1]!cb_clause_reset_stockpricelowestlimit(A30)</f>
        <v>应不低于本次股东大会召开日前二十个交易日公司股票交易均价和前一交易日均价之间的较高者</v>
      </c>
      <c r="AF30" s="36">
        <f>[1]!cb_clause_reset_resettimeslimit(A30)</f>
        <v>0</v>
      </c>
      <c r="AG30" s="36">
        <f xml:space="preserve">  [1]!cb_clause_reset_timepointclause(A30)</f>
        <v>0</v>
      </c>
      <c r="AH30" s="36">
        <f xml:space="preserve"> [1]!cb_clause_calloption_relativecalloptionperiod(A30)</f>
        <v>6</v>
      </c>
      <c r="AI30" s="36" t="str">
        <f xml:space="preserve"> [1]!cb_clause_calloption_redemptiontimesperyear(A30)</f>
        <v>不限次数</v>
      </c>
      <c r="AJ30" s="36" t="str">
        <f>[1]!cb_clause_calloption_conditionalredeemstartdate(A30)</f>
        <v>2018-03-29</v>
      </c>
      <c r="AK30" s="36">
        <f>[1]!cb_clause_calloption_redeemmaxspan(A30)</f>
        <v>30</v>
      </c>
      <c r="AL30" s="36">
        <f>[1]!cb_clause_calloption_redeemspan(A30)</f>
        <v>15</v>
      </c>
      <c r="AM30" s="36">
        <f>[1]!cb_clause_calloption_triggerproportion(A30)</f>
        <v>130</v>
      </c>
      <c r="AN30" s="36">
        <f xml:space="preserve"> [1]!cb_clause_calloption_redemptionprice(A30)</f>
        <v>0</v>
      </c>
      <c r="AO30" s="36" t="str">
        <f>[1]!cb_clause_calloption_redemptionmemo(A30)</f>
        <v>公司有权决定按照债券面值加当期应计利息的价格赎回全部或部分未转股的可转换公司债券</v>
      </c>
      <c r="AP30" s="36" t="str">
        <f>[1]!cb_clause_calloption_redeemitem(A30)</f>
        <v>（1）到期赎回条款在本次发行的可转债期满后五个交易日内，公司将以本次可转债票面面值上浮6%（含最后一期利息）的价格向投资者赎回全部未转股的可转债。（2）有条件赎回条款转股期内，当下述两种情形的任意一种出现时，公司有权决定按照债券面值加当期应计利息的价格赎回全部或部分未转股的可转换公司债券：1）在转股期内，如果公司股票在任何连续三十个交易日中至少十五个交易日的收盘价格不低于当期转股价格的130%（含130%）；2）当本次发行的可转换公司债券未转股余额不足3,000万元时。当期应计利息的计算公式为：IA=B×i×t/365IA：指当期应计利息；B：指本次发行的可转换公司债券持有人持有的将赎回的可转换公司债券票面总金额；i：指可转换公司债券当年票面利率；t：指计息天数，即从上一个付息日起至本计息年度赎回日止的实际日历天数（算头不算尾）。若在前述三十个交易日内发生过转股价格调整的情形，则在调整前的交易日按调整前的转股价格和收盘价计算，调整后的交易日按调整后的转股价格和收盘价计算。</v>
      </c>
      <c r="AQ30" s="36" t="str">
        <f xml:space="preserve"> [1]!cb_clause_calloption_iswithtimeredemptionclause(A30)</f>
        <v>否</v>
      </c>
      <c r="AR30" s="36">
        <f>[1]!cb_clause_calloption_timeredemptiontimes(A30)</f>
        <v>0</v>
      </c>
      <c r="AS30" s="36">
        <f>[1]!cb_clause_calloption_redeemclause(A30)</f>
        <v>0</v>
      </c>
      <c r="AT30" s="36">
        <f xml:space="preserve"> [1]!cb_clause_putoption_putbackperiodobs(A30)</f>
        <v>48</v>
      </c>
      <c r="AU30" s="36" t="str">
        <f>[1]!cb_clause_putoption_conditionalputbackstartenddate(A30)</f>
        <v>2021-09-25</v>
      </c>
      <c r="AV30" s="36">
        <f xml:space="preserve"> [1]!cb_clause_putoption_conditionalputbackenddate(A30)</f>
        <v>0</v>
      </c>
      <c r="AW30" s="36">
        <f xml:space="preserve"> [1]!cb_clause_putoption_putbacktriggermaxspan(A30)</f>
        <v>30</v>
      </c>
      <c r="AX30" s="36">
        <f>[1]!cb_clause_putoption_redeem_triggerproportion(A30)</f>
        <v>70</v>
      </c>
      <c r="AY30" s="36">
        <f>[1]!cb_clause_putoption_resellingprice(A30)</f>
        <v>0</v>
      </c>
      <c r="AZ30" s="36" t="str">
        <f xml:space="preserve"> [1]!cb_clause_putoption_resellingpriceexplaination(A30)</f>
        <v>可转换公司债券持有人有权将其持有的可转换公司债券全部或部分按面值加上当期应计利息的价格回售给公司</v>
      </c>
      <c r="BA30" s="36">
        <f>[1]!cb_clause_putoption_interestdisposing(A30)</f>
        <v>0</v>
      </c>
      <c r="BB30" s="36" t="str">
        <f xml:space="preserve"> [1]!cb_clause_putoption_sellbackitem(A30)</f>
        <v>（1）有条件回售条款:在本次发行的可转换公司债券最后两个计息年度，如果公司股票在任何连续三十个交易日的收盘价格低于当期转股价格的70%时，可转换公司债券持有人有权将其持有的可转换公司债券全部或部分按面值加上当期应计利息的价格回售给公司。若在上述交易日内发生过转股价格因发生送红股、转增股本、增发新股（不包括因本次发行的可转换公司债券转股而增加的股本）、配股以及派发现金股利等情况而调整的情形，则在调整前的交易日按调整前的转股价格和收盘价格计算，在调整后的交易日按调整后的转股价格和收盘价格计算。如果出现转股价格向下修正的情况，则上述“连续三十个交易日”须从转股价格调整之后的第一个交易日起重新计算。最后两个计息年度可转换公司债券持有人在每年回售条件首次满足后可按上述约定条件行使回售权一次.（2）附加回售条款:若公司本次发行的可转换公司债券募集资金投资项目的实施情况与公司在募集说明书中的承诺情况相比出现重大变化，且该变化被中国证监会认定为改变募集资金用途的，可转换公司债券持有人享有一次回售的权利。持有人在附加回售条件满足后而未实施回售的，不再行使附加回售权。</v>
      </c>
      <c r="BC30" s="36">
        <f>[1]!cb_clause_putoption_putbackperiod(A30)</f>
        <v>0</v>
      </c>
      <c r="BD30" s="36">
        <f>[1]!cb_clause_putoption_putbackstartdate(A30)</f>
        <v>0</v>
      </c>
      <c r="BE30" s="36">
        <f>[1]!cb_clause_putoption_putbackenddate(A30)</f>
        <v>0</v>
      </c>
      <c r="BF30" s="36">
        <f xml:space="preserve"> [1]!cb_clause_putoption_putbackprice(A30)</f>
        <v>0</v>
      </c>
      <c r="BG30" s="36">
        <f>[1]!cb_clause_putoption_putbackclause(A30)</f>
        <v>0</v>
      </c>
      <c r="BH30" s="36">
        <f>[1]!cb_clause_putoption_timeputbacktimes(A30)</f>
        <v>0</v>
      </c>
      <c r="BI30" s="36">
        <f>[1]!cb_clause_putoption_timeputbackclause(A30)</f>
        <v>0</v>
      </c>
      <c r="BJ30" s="36" t="str">
        <f>[1]!cb_clause_putoption_additionalpricememo(A30)</f>
        <v>可转换公司债券持有人有权将其持有的可转换公司债券全部或部分按债券面值加上当期应计利息价格回售给公司。</v>
      </c>
      <c r="BK30" s="36" t="str">
        <f>[1]!cb_clause_putoption_putbackadditionalcondition(A30)</f>
        <v>若公司本次发行的可转换公司债券募集资金投资项目的实施情况与公司在募集说明书中的承诺情况相比出现重大变化，且该变化被中国证监会认定为改变募集资金用途的，可转换公司债券持有人享有一次回售的权利。</v>
      </c>
    </row>
    <row r="31" spans="1:63" x14ac:dyDescent="0.15">
      <c r="A31" s="34" t="s">
        <v>109</v>
      </c>
      <c r="B31" s="35" t="str">
        <f xml:space="preserve"> [1]!cb_info_name(A31)</f>
        <v>金禾转债</v>
      </c>
      <c r="C31" s="36" t="str">
        <f>[1]!cb_clause_interest(A31,5)</f>
        <v>否</v>
      </c>
      <c r="D31" s="36" t="str">
        <f>[1]!cb_clause_interest(A31,8)</f>
        <v>是</v>
      </c>
      <c r="E31" s="36">
        <f>[1]!cb_clause_interest(A31,3)</f>
        <v>1.7666999999999999</v>
      </c>
      <c r="F31" s="36" t="str">
        <f xml:space="preserve"> [1]!cb_clause_interest(A31,6)</f>
        <v>在本次发行的可转债期满后五个交易日内，公司将以本次可转债票面面值上浮6%（含最后一期利息）的价格向投资者赎回全部未转股的可转债。</v>
      </c>
      <c r="G31" s="36" t="str">
        <f>[1]!cb_clause_interest(A31,4)</f>
        <v>第一年0.3%、第二年0.5%、第三年1.0%、第四年1.3%、第五年1.5%、第六年1.8%</v>
      </c>
      <c r="H31" s="36" t="str">
        <f>[1]!cb_clause_interest(A31,7)</f>
        <v>（ 1）本次可转债采用每年付息一次的付息方式，计息起始日为可转债发行首日。可转债持有人所获得利息收入的应付税项由可转债持有人负担。（ 2）付息日：每年的付息日为本次可转债发行首日起每满一年的当日。如该日为法定节假日或休息日，则顺延至下一个工作日，顺延期间不另付息。每相邻的两个付息日之间为一个计息年度。转股年度有关利息和股利的归属等事项，由公司董事会根据相关法律法规及深圳证券交易所的规定确定。（ 3）付息债权登记日：每年的付息债权登记日为每年付息日的前一交易日，公司将在每年付息日之后的五个交易日内支付当年利息。在付息债权登记日前（包括付息债权登记日）转换成股票的可转债不享受当年度及以后计息年度利息。</v>
      </c>
      <c r="I31" s="36">
        <f>[1]!cb_clause_conversion_2_relativeswapsharemonth(A31)</f>
        <v>9</v>
      </c>
      <c r="J31" s="36" t="str">
        <f>[1]!cb_clause_conversion_2_swapsharestartdate(A31)</f>
        <v>2018-08-07</v>
      </c>
      <c r="K31" s="36" t="str">
        <f>[1]!cb_clause_conversion_2_swapshareenddate(A31)</f>
        <v>2023-11-01</v>
      </c>
      <c r="L31" s="36" t="str">
        <f>[1]!cb_clause_conversion_2_isforced(A31)</f>
        <v>否</v>
      </c>
      <c r="M31" s="36">
        <f xml:space="preserve"> [1]!cb_clause_conversion_2_forceconvertdate(A31)</f>
        <v>0</v>
      </c>
      <c r="N31" s="36">
        <f>[1]!cb_clause_conversion_2_forceconvertprice(A31)</f>
        <v>0</v>
      </c>
      <c r="O31" s="37">
        <f ca="1">[1]!cb_clause_conversion2_swapshareprice(A31,$O$3)</f>
        <v>23.92</v>
      </c>
      <c r="P31" s="36" t="str">
        <f>[1]!b_clause_conversion_code(A31)</f>
        <v>128017</v>
      </c>
      <c r="Q31" s="38">
        <f ca="1">[1]!cb_clause_conversion2_conversionproportion(A31,$Q$3)</f>
        <v>4.1806020066889626</v>
      </c>
      <c r="R31" s="36">
        <f ca="1">[1]!cb_clause_conversion2_bondlot(A31,$R$3)/10000</f>
        <v>60000</v>
      </c>
      <c r="S31" s="36">
        <f ca="1">[1]!cb_clause_conversion2_bondproportion(A31,$S$3)</f>
        <v>100</v>
      </c>
      <c r="T31" s="36" t="str">
        <f>[1]!cb_clause_conversion_2_conversionproportion(A31)</f>
        <v>是</v>
      </c>
      <c r="U31" s="36" t="str">
        <f>[1]!cb_clause_conversion2_tosharepriceadjustitem(A31)</f>
        <v>在本次发行之后，当公司发生送红股、转增股本、增发新股（不包括因本次发行的可转债转股而增加的股本）、配股以及派发现金股利等情况时，公司将按上述条件出现的先后顺序，依次对转股价格进行累积调整，具体调整办法如下：送红股或转增股本：P1=P0/（1+n）；增发新股或配股：P1=（P0+A×k）/（1+k）；上述两项同时进行：P1=（P0+A×k）/（1+n+k）；派发现金股利：P1=P0-D；上述三项同时进行：P1＝（P0－D＋A×k）/（1+n+k）。其中：P0为调整前有效的转股价，n为该次送股率或转增股本率，k为该次增发新股率或配股率，A为该次增发新股价或配股价，D为该次每股派送现金股利，P1为调整后有效的转股价。公司出现上述股份和/或股东权益变化时，将依次进行转股价格调整，并在中国证券监督管理委员会指定的上市公司信息披露媒体上刊登董事会决议公告，并于公告中载明转股价格调整日、调整办法及暂停转股期间（如需）。当转股价格调整日为本次发行的可转债持有人转股申请日或之后，转换股份登记日之前，则该持有人的转股申请按公司调整后的转股价格执行。</v>
      </c>
      <c r="V31" s="36" t="str">
        <f>[1]!cb_clause_reset_item(A31)</f>
        <v>在本可转债存续期间，当公司股票在任意三十个连续交易日中至少十五个交易日的收盘价格低于当期转股价格90%时，公司董事会有权提出转股价格向下修正方案并提交公司股东大会表决，该方案须经出席会议的股东所持表决权的三分之二以上通过方可实施。股东大会进行表决时，持有公司本次发行可转债的股东应当回避；修正后的转股价格应不低于该次股东大会召开日前二十个交易日公司股票交易均价和前一交易日的公司股票交易均价，同时，修正后的转股价格不得低于最近一期经审计的每股净资产值和股票面值。若在前述三十个交易日内发生过转股价格调整的情形，则在调整前的交易日按调整前的转股价格和收盘价格计算，调整后的交易日按调整后的转股价格和收盘价格计算。</v>
      </c>
      <c r="W31" s="36" t="str">
        <f xml:space="preserve"> [1]!cb_clause_reset_isexitreset(A31)</f>
        <v>是</v>
      </c>
      <c r="X31" s="36" t="str">
        <f xml:space="preserve"> [1]!cb_clause_reset_resetstartdate(A31)</f>
        <v>2017-11-01</v>
      </c>
      <c r="Y31" s="36" t="str">
        <f xml:space="preserve"> [1]!cb_clause_reset_resetperiodenddate(A31)</f>
        <v>2023-11-01</v>
      </c>
      <c r="Z31" s="36">
        <f>[1]!cb_clause_reset_resetmaxtimespan(A31)</f>
        <v>30</v>
      </c>
      <c r="AA31" s="36">
        <f>[1]!cb_clause_reset_resettimespan(A31)</f>
        <v>15</v>
      </c>
      <c r="AB31" s="36">
        <f>[1]!cb_clause_reset_resettriggerratio(A31)</f>
        <v>90</v>
      </c>
      <c r="AC31" s="36" t="str">
        <f>[1]!cb_clause_reset_referencepriceisanverage(A31)</f>
        <v>否</v>
      </c>
      <c r="AD31" s="36">
        <f>[1]!cb_clause_reset_resetrange(A31)</f>
        <v>0</v>
      </c>
      <c r="AE31" s="36" t="str">
        <f>[1]!cb_clause_reset_stockpricelowestlimit(A31)</f>
        <v>应不低于该次股东大会召开日前1，20交易日的公司股票交易均价，和最近一期经审计的每股净资产值和股票面值</v>
      </c>
      <c r="AF31" s="36">
        <f>[1]!cb_clause_reset_resettimeslimit(A31)</f>
        <v>0</v>
      </c>
      <c r="AG31" s="36">
        <f xml:space="preserve">  [1]!cb_clause_reset_timepointclause(A31)</f>
        <v>0</v>
      </c>
      <c r="AH31" s="36">
        <f xml:space="preserve"> [1]!cb_clause_calloption_relativecalloptionperiod(A31)</f>
        <v>9</v>
      </c>
      <c r="AI31" s="36" t="str">
        <f xml:space="preserve"> [1]!cb_clause_calloption_redemptiontimesperyear(A31)</f>
        <v>不限次数</v>
      </c>
      <c r="AJ31" s="36" t="str">
        <f>[1]!cb_clause_calloption_conditionalredeemstartdate(A31)</f>
        <v>2018-08-07</v>
      </c>
      <c r="AK31" s="36">
        <f>[1]!cb_clause_calloption_redeemmaxspan(A31)</f>
        <v>30</v>
      </c>
      <c r="AL31" s="36">
        <f>[1]!cb_clause_calloption_redeemspan(A31)</f>
        <v>15</v>
      </c>
      <c r="AM31" s="36">
        <f>[1]!cb_clause_calloption_triggerproportion(A31)</f>
        <v>130</v>
      </c>
      <c r="AN31" s="36">
        <f xml:space="preserve"> [1]!cb_clause_calloption_redemptionprice(A31)</f>
        <v>0</v>
      </c>
      <c r="AO31" s="36" t="str">
        <f>[1]!cb_clause_calloption_redemptionmemo(A31)</f>
        <v>有权决定按照以面值加当期应计利息的价格赎回全部或部分未转股的可转债</v>
      </c>
      <c r="AP31" s="36" t="str">
        <f>[1]!cb_clause_calloption_redeemitem(A31)</f>
        <v>（1）到期赎回条款在本次发行的可转债期满后五个交易日内，公司将以本次可转债票面面值上浮6%（含最后一期利息）的价格向投资者赎回全部未转股的可转债。（2）有条件赎回条款在转股期内，当下述情形的任意一种出现时，公司有权决定按照以面值加当期应计利息的价格赎回全部或部分未转股的可转债：A、在转股期内，如果公司股票在任何连续三十个交易日中至少十五个交易日的收盘价格不低于当期转股价格的130%（含130%）；B.当本次发行的可转债未转股余额不足3,000万元时。若在前述三十个交易日内发生过转股价格调整的情形，则在调整前的交易日按调整前的转股价格和收盘价格计算，调整后的交易日按调整后的转股价格和收盘价格计算。</v>
      </c>
      <c r="AQ31" s="36" t="str">
        <f xml:space="preserve"> [1]!cb_clause_calloption_iswithtimeredemptionclause(A31)</f>
        <v>否</v>
      </c>
      <c r="AR31" s="36">
        <f>[1]!cb_clause_calloption_timeredemptiontimes(A31)</f>
        <v>0</v>
      </c>
      <c r="AS31" s="36">
        <f>[1]!cb_clause_calloption_redeemclause(A31)</f>
        <v>0</v>
      </c>
      <c r="AT31" s="36">
        <f xml:space="preserve"> [1]!cb_clause_putoption_putbackperiodobs(A31)</f>
        <v>48</v>
      </c>
      <c r="AU31" s="36" t="str">
        <f>[1]!cb_clause_putoption_conditionalputbackstartenddate(A31)</f>
        <v>2021-11-01</v>
      </c>
      <c r="AV31" s="36">
        <f xml:space="preserve"> [1]!cb_clause_putoption_conditionalputbackenddate(A31)</f>
        <v>0</v>
      </c>
      <c r="AW31" s="36">
        <f xml:space="preserve"> [1]!cb_clause_putoption_putbacktriggermaxspan(A31)</f>
        <v>30</v>
      </c>
      <c r="AX31" s="36">
        <f>[1]!cb_clause_putoption_redeem_triggerproportion(A31)</f>
        <v>70</v>
      </c>
      <c r="AY31" s="36">
        <f>[1]!cb_clause_putoption_resellingprice(A31)</f>
        <v>0</v>
      </c>
      <c r="AZ31" s="36" t="str">
        <f xml:space="preserve"> [1]!cb_clause_putoption_resellingpriceexplaination(A31)</f>
        <v>将其持有的可转债全部或部分按债券面值加当期应计利息回售给公司</v>
      </c>
      <c r="BA31" s="36">
        <f>[1]!cb_clause_putoption_interestdisposing(A31)</f>
        <v>0</v>
      </c>
      <c r="BB31" s="36" t="str">
        <f xml:space="preserve"> [1]!cb_clause_putoption_sellbackitem(A31)</f>
        <v>自本次可转债第五个计息年度起，如果公司股票在任何连续三十个交易日的收盘价格低于当期转股价格的70%，可转债持有人有权将其持有的可转债全部或部分按债券面值加当期应计利息回售给公司。若在上述交易日内发生过转股价格因发生送红股、转增股本、增发新股（不包括因本次发行的可转债转股而增加的股本）、配股以及派发现金股利等情况而调整的情形，则在调整前的交易日按调整前的转股价格和收盘价格计算，在调整后的交易日按调整后的转股价格和收盘价格计算。如果出现转股价格向下修正的情况，则上述连续三十个交易日须从转股价格调整之后的第一个交易日起重新计算。自本次可转债第五个计息年度起，可转债持有人在每年回售条件首次满足后可按上述约定条件行使回售权一次，若在首次满足回售条件而可转债持有人未在公司届时公告的回售申报期内申报并实施回售的，该计息年度不应再行使回售权，可转债持有人不能多次行使部分回售权。</v>
      </c>
      <c r="BC31" s="36">
        <f>[1]!cb_clause_putoption_putbackperiod(A31)</f>
        <v>0</v>
      </c>
      <c r="BD31" s="36">
        <f>[1]!cb_clause_putoption_putbackstartdate(A31)</f>
        <v>0</v>
      </c>
      <c r="BE31" s="36">
        <f>[1]!cb_clause_putoption_putbackenddate(A31)</f>
        <v>0</v>
      </c>
      <c r="BF31" s="36">
        <f xml:space="preserve"> [1]!cb_clause_putoption_putbackprice(A31)</f>
        <v>0</v>
      </c>
      <c r="BG31" s="36">
        <f>[1]!cb_clause_putoption_putbackclause(A31)</f>
        <v>0</v>
      </c>
      <c r="BH31" s="36">
        <f>[1]!cb_clause_putoption_timeputbacktimes(A31)</f>
        <v>0</v>
      </c>
      <c r="BI31" s="36">
        <f>[1]!cb_clause_putoption_timeputbackclause(A31)</f>
        <v>0</v>
      </c>
      <c r="BJ31" s="36" t="str">
        <f>[1]!cb_clause_putoption_additionalpricememo(A31)</f>
        <v>将全部或部分其持有的可转债按照债券面值加当期应计利息回售给公司</v>
      </c>
      <c r="BK31" s="36" t="str">
        <f>[1]!cb_clause_putoption_putbackadditionalcondition(A31)</f>
        <v>若公司本次发行的可转债募集资金投资项目的实施情况与公司在募集说明书中的承诺情况相比出现重大变化,根据中国证监会的相关规定被视作改变募集资金用途或被中国证监会认定为改变募集资金用途的.</v>
      </c>
    </row>
    <row r="32" spans="1:63" x14ac:dyDescent="0.15">
      <c r="A32" s="34" t="s">
        <v>110</v>
      </c>
      <c r="B32" s="35" t="str">
        <f xml:space="preserve"> [1]!cb_info_name(A32)</f>
        <v>时达转债</v>
      </c>
      <c r="C32" s="36" t="str">
        <f>[1]!cb_clause_interest(A32,5)</f>
        <v>否</v>
      </c>
      <c r="D32" s="36" t="str">
        <f>[1]!cb_clause_interest(A32,8)</f>
        <v>是</v>
      </c>
      <c r="E32" s="36">
        <f>[1]!cb_clause_interest(A32,3)</f>
        <v>1.85</v>
      </c>
      <c r="F32" s="36" t="str">
        <f xml:space="preserve"> [1]!cb_clause_interest(A32,6)</f>
        <v>在本次发行的可转换公司债券期满后5个交易日内，公司将以本次可转债票面面值上浮 6%（含最后一期利息）的价格向投资者赎回全部未转股的可转债。</v>
      </c>
      <c r="G32" s="36" t="str">
        <f>[1]!cb_clause_interest(A32,4)</f>
        <v>第一年为0.3%，第二年为0.5%，第三年为1.0%，第四年为1.5%，第五年为1.8%，第六年为2.0%</v>
      </c>
      <c r="H32" s="36" t="str">
        <f>[1]!cb_clause_interest(A32,7)</f>
        <v>本次发行的可转换公司债券采用每年付息一次的付息方式，到期归还本金和最后一年利息。1、 年利息计算年利息指可转换公司债券持有人按持有的可转换公司债券票面总金额自可转换公司债券发行首日起每满一年可享受的当期利息。年利息的计算公式为：I=B×iI：年利息额；B：本次发行的可转换公司债券持有人在计息年度（以下简称“ 当年” 或“ 每年” ）付息债权登记日持有的可转换公司债券票面总金额；i：可转换公司债券的当年票面利率。2、 付息方式①本次发行的可转换公司债券采用每年付息一次的付息方式，计息起始日为可转换公司债券发行首日。②付息日：每年的付息日为本次发行的可转换公司债券发行首日起每满一年的当日。如该日为法定节假日或休息日，则顺延至下一个工作日，顺延期间不另付息。每相邻的两个付息日之间为一个计息年度。③付息债权登记日：每年的付息债权登记日为每年付息日的前一交易日，公司将在每年付息日之后的 5 个交易日内支付当年利息。在付息债权登记日前（包括付息债权登记日）申请转换成公司股票的可转换公司债券，公司不再向其持有人支付本计息年度及以后计息年度的利息。④可转换公司债券持有人所获得利息收入的应付税项由持有人承担。</v>
      </c>
      <c r="I32" s="36">
        <f>[1]!cb_clause_conversion_2_relativeswapsharemonth(A32)</f>
        <v>6</v>
      </c>
      <c r="J32" s="36" t="str">
        <f>[1]!cb_clause_conversion_2_swapsharestartdate(A32)</f>
        <v>2018-05-10</v>
      </c>
      <c r="K32" s="36" t="str">
        <f>[1]!cb_clause_conversion_2_swapshareenddate(A32)</f>
        <v>2023-11-06</v>
      </c>
      <c r="L32" s="36" t="str">
        <f>[1]!cb_clause_conversion_2_isforced(A32)</f>
        <v>否</v>
      </c>
      <c r="M32" s="36">
        <f xml:space="preserve"> [1]!cb_clause_conversion_2_forceconvertdate(A32)</f>
        <v>0</v>
      </c>
      <c r="N32" s="36">
        <f>[1]!cb_clause_conversion_2_forceconvertprice(A32)</f>
        <v>0</v>
      </c>
      <c r="O32" s="37">
        <f ca="1">[1]!cb_clause_conversion2_swapshareprice(A32,$O$3)</f>
        <v>11.9</v>
      </c>
      <c r="P32" s="36" t="str">
        <f>[1]!b_clause_conversion_code(A32)</f>
        <v>128018</v>
      </c>
      <c r="Q32" s="38">
        <f ca="1">[1]!cb_clause_conversion2_conversionproportion(A32,$Q$3)</f>
        <v>8.4033613445378155</v>
      </c>
      <c r="R32" s="36">
        <f ca="1">[1]!cb_clause_conversion2_bondlot(A32,$R$3)/10000</f>
        <v>88250.57</v>
      </c>
      <c r="S32" s="36">
        <f ca="1">[1]!cb_clause_conversion2_bondproportion(A32,$S$3)</f>
        <v>100.00000000000001</v>
      </c>
      <c r="T32" s="36" t="str">
        <f>[1]!cb_clause_conversion_2_conversionproportion(A32)</f>
        <v>是</v>
      </c>
      <c r="U32" s="36" t="str">
        <f>[1]!cb_clause_conversion2_tosharepriceadjustitem(A32)</f>
        <v>在本次发行之后，若公司发生派送红股、转增股本、增发新股（不包括因本次发行的可转换公司债券转股而增加的股本）、配股以及派发现金股利等情况，将按下述公式进行转股价格的调整（保留小数点后两位，最后一位四舍五入）：派送红股或转增股本：P1＝P0/（1+n）；增发新股或配股：P1＝（P0+A×k）/（1+k）；上述两项同时进行：P1＝（P0+A×k）/（1+n+k）；派送现金股利：P1＝P0-D；上述三项同时进行：P1＝（P0-D+A×k）/（1+n+k）。其中：P1为调整后转股价，P0为调整前转股价，n为送股或转增股本率，A为增发新股价或配股价，k为增发新股或配股率，D为每股派送现金股利。</v>
      </c>
      <c r="V32" s="36" t="str">
        <f>[1]!cb_clause_reset_item(A32)</f>
        <v>在本次发行的可转换公司债券存续期间，当公司A股股票在任意连续30个交易日中至少有15个交易日的收盘价低于当期转股价格的90%时，公司董事会有权提出转股价格向下修正方案并提交公司股东大会审议表决。上述方案须经出席会议的股东所持表决权的三分之二以上通过方可实施。股东大会进行表决时，持有公司本次发行的可转换公司债券的股东应当回避。修正后的转股价格应不低于该次股东大会召开日前20个交易日公司A股股票交易均价和前一交易日公司A股股票的交易均价，同时，修正后的转股价格不得低于最近一期经审计的每股净资产值和股票面值。若在前述30个交易日内发生过转股价格调整的情形，则在调整前的交易日按调整前的转股价格和收盘价格计算，调整后的交易日按调整后的转股价格和收盘价格计算。</v>
      </c>
      <c r="W32" s="36" t="str">
        <f xml:space="preserve"> [1]!cb_clause_reset_isexitreset(A32)</f>
        <v>是</v>
      </c>
      <c r="X32" s="36" t="str">
        <f xml:space="preserve"> [1]!cb_clause_reset_resetstartdate(A32)</f>
        <v>2017-11-06</v>
      </c>
      <c r="Y32" s="36" t="str">
        <f xml:space="preserve"> [1]!cb_clause_reset_resetperiodenddate(A32)</f>
        <v>2023-11-06</v>
      </c>
      <c r="Z32" s="36">
        <f>[1]!cb_clause_reset_resetmaxtimespan(A32)</f>
        <v>30</v>
      </c>
      <c r="AA32" s="36">
        <f>[1]!cb_clause_reset_resettimespan(A32)</f>
        <v>15</v>
      </c>
      <c r="AB32" s="36">
        <f>[1]!cb_clause_reset_resettriggerratio(A32)</f>
        <v>90</v>
      </c>
      <c r="AC32" s="36" t="str">
        <f>[1]!cb_clause_reset_referencepriceisanverage(A32)</f>
        <v>否</v>
      </c>
      <c r="AD32" s="36">
        <f>[1]!cb_clause_reset_resetrange(A32)</f>
        <v>0</v>
      </c>
      <c r="AE32" s="36" t="str">
        <f>[1]!cb_clause_reset_stockpricelowestlimit(A32)</f>
        <v>不低不低于该次股东大会召开日前20，1个交易日公司A股股票的交易均价，每股净资产值和股票面值</v>
      </c>
      <c r="AF32" s="36">
        <f>[1]!cb_clause_reset_resettimeslimit(A32)</f>
        <v>0</v>
      </c>
      <c r="AG32" s="36">
        <f xml:space="preserve">  [1]!cb_clause_reset_timepointclause(A32)</f>
        <v>0</v>
      </c>
      <c r="AH32" s="36">
        <f xml:space="preserve"> [1]!cb_clause_calloption_relativecalloptionperiod(A32)</f>
        <v>6</v>
      </c>
      <c r="AI32" s="36" t="str">
        <f xml:space="preserve"> [1]!cb_clause_calloption_redemptiontimesperyear(A32)</f>
        <v>不限次数</v>
      </c>
      <c r="AJ32" s="36" t="str">
        <f>[1]!cb_clause_calloption_conditionalredeemstartdate(A32)</f>
        <v>2018-05-10</v>
      </c>
      <c r="AK32" s="36">
        <f>[1]!cb_clause_calloption_redeemmaxspan(A32)</f>
        <v>30</v>
      </c>
      <c r="AL32" s="36">
        <f>[1]!cb_clause_calloption_redeemspan(A32)</f>
        <v>15</v>
      </c>
      <c r="AM32" s="36">
        <f>[1]!cb_clause_calloption_triggerproportion(A32)</f>
        <v>130</v>
      </c>
      <c r="AN32" s="36">
        <f xml:space="preserve"> [1]!cb_clause_calloption_redemptionprice(A32)</f>
        <v>0</v>
      </c>
      <c r="AO32" s="36" t="str">
        <f>[1]!cb_clause_calloption_redemptionmemo(A32)</f>
        <v>按照债券面值加当期应计利息的价格赎回全部或部分未转股的可转换公司债券</v>
      </c>
      <c r="AP32" s="36" t="str">
        <f>[1]!cb_clause_calloption_redeemitem(A32)</f>
        <v>（1）到期赎回条款在本次发行的可转换公司债券期满后5个交易日内，公司将以本次可转债票面面值上浮6%（含最后一期利息）的价格向投资者赎回全部未转股的可转债。（2）有条件赎回条款在本次发行的可转换公司债券转股期内，当下述两种情形的任意一种出现时，公司董事会有权决定按照债券面值加当期应计利息的价格赎回全部或部分未转股的可转换公司债券：①在本次发行的可转换公司债券转股期内，如果公司A股股票连续30个交易日中至少有15个交易日的收盘价格不低于当期转股价格的130%（含130%）。②当本次发行的可转换公司债券未转股余额不足3,000万元时。若在前述30个交易日内发生过转股价格调整的情形，则在调整前的交易日按调整前的转股价格和收盘价格计算，调整后的交易日按调整后的转股价格和收盘价格计算。</v>
      </c>
      <c r="AQ32" s="36" t="str">
        <f xml:space="preserve"> [1]!cb_clause_calloption_iswithtimeredemptionclause(A32)</f>
        <v>否</v>
      </c>
      <c r="AR32" s="36">
        <f>[1]!cb_clause_calloption_timeredemptiontimes(A32)</f>
        <v>0</v>
      </c>
      <c r="AS32" s="36">
        <f>[1]!cb_clause_calloption_redeemclause(A32)</f>
        <v>0</v>
      </c>
      <c r="AT32" s="36">
        <f xml:space="preserve"> [1]!cb_clause_putoption_putbackperiodobs(A32)</f>
        <v>48</v>
      </c>
      <c r="AU32" s="36" t="str">
        <f>[1]!cb_clause_putoption_conditionalputbackstartenddate(A32)</f>
        <v>2021-11-06</v>
      </c>
      <c r="AV32" s="36">
        <f xml:space="preserve"> [1]!cb_clause_putoption_conditionalputbackenddate(A32)</f>
        <v>0</v>
      </c>
      <c r="AW32" s="36">
        <f xml:space="preserve"> [1]!cb_clause_putoption_putbacktriggermaxspan(A32)</f>
        <v>30</v>
      </c>
      <c r="AX32" s="36">
        <f>[1]!cb_clause_putoption_redeem_triggerproportion(A32)</f>
        <v>70</v>
      </c>
      <c r="AY32" s="36">
        <f>[1]!cb_clause_putoption_resellingprice(A32)</f>
        <v>0</v>
      </c>
      <c r="AZ32" s="36" t="str">
        <f xml:space="preserve"> [1]!cb_clause_putoption_resellingpriceexplaination(A32)</f>
        <v>将其持有的可转换公司债券全部或部分按债券面值加上当期应计利息的价格回售给公司</v>
      </c>
      <c r="BA32" s="36">
        <f>[1]!cb_clause_putoption_interestdisposing(A32)</f>
        <v>0</v>
      </c>
      <c r="BB32" s="36" t="str">
        <f xml:space="preserve"> [1]!cb_clause_putoption_sellbackitem(A32)</f>
        <v>本次发行的可转换公司债券最后两个计息年度，如果公司A股股票在任何连续30个交易日的收盘价格低于当期转股价格的70%时，可转换公司债券持有人有权将其持有的可转换公司债券全部或部分按债券面值加上当期应计利息的价格回售给公司。若在上述交易日内发生过转股价格因发生派送红股、转增股本、增发新股（不包括因本次发行的可转换公司债券转股而增加的股本）、配股以及派发现金股利等情况而调整的情形，则在调整前的交易日按调整前的转股价格和收盘价格计算，在调整后的交易日按调整后的转股价格和收盘价格计算。如果出现转股价格向下修正的情况，则上述30个交易日须从转股价格调整之后的第一个交易日起重新计算。本次发行的可转换公司债券最后两个计息年度，可转换公司债券持有人在每年回售条件首次满足后可按上述约定条件行使回售权一次，若在首次满足回售条件而可转换公司债券持有人未在公司届时公告的回售申报期内申报并实施回售的，该计息年度不应再行使回售权，可转换公司债券持有人不能多次行使部分回售权。</v>
      </c>
      <c r="BC32" s="36">
        <f>[1]!cb_clause_putoption_putbackperiod(A32)</f>
        <v>0</v>
      </c>
      <c r="BD32" s="36">
        <f>[1]!cb_clause_putoption_putbackstartdate(A32)</f>
        <v>0</v>
      </c>
      <c r="BE32" s="36">
        <f>[1]!cb_clause_putoption_putbackenddate(A32)</f>
        <v>0</v>
      </c>
      <c r="BF32" s="36">
        <f xml:space="preserve"> [1]!cb_clause_putoption_putbackprice(A32)</f>
        <v>0</v>
      </c>
      <c r="BG32" s="36">
        <f>[1]!cb_clause_putoption_putbackclause(A32)</f>
        <v>0</v>
      </c>
      <c r="BH32" s="36">
        <f>[1]!cb_clause_putoption_timeputbacktimes(A32)</f>
        <v>0</v>
      </c>
      <c r="BI32" s="36">
        <f>[1]!cb_clause_putoption_timeputbackclause(A32)</f>
        <v>0</v>
      </c>
      <c r="BJ32" s="36" t="str">
        <f>[1]!cb_clause_putoption_additionalpricememo(A32)</f>
        <v>可转换公司债券持有人有权将其持有的可转换公司债券全部或部分按债券面值加当期应计利息的价格回售给公司</v>
      </c>
      <c r="BK32" s="36" t="str">
        <f>[1]!cb_clause_putoption_putbackadditionalcondition(A32)</f>
        <v>在本次发行的可转换公司债券存续期内，若公司根据中国证监会的相关规定被视作改变募集资金用途或被中国证监会认定为改变募集资金用途的，可转换公司债券持有人享有一次回售的权利。</v>
      </c>
    </row>
    <row r="33" spans="1:63" x14ac:dyDescent="0.15">
      <c r="A33" s="34" t="s">
        <v>111</v>
      </c>
      <c r="B33" s="35" t="str">
        <f xml:space="preserve"> [1]!cb_info_name(A33)</f>
        <v>久立转2</v>
      </c>
      <c r="C33" s="36" t="str">
        <f>[1]!cb_clause_interest(A33,5)</f>
        <v>否</v>
      </c>
      <c r="D33" s="36" t="str">
        <f>[1]!cb_clause_interest(A33,8)</f>
        <v>是</v>
      </c>
      <c r="E33" s="36">
        <f>[1]!cb_clause_interest(A33,3)</f>
        <v>1.7666999999999999</v>
      </c>
      <c r="F33" s="36" t="str">
        <f xml:space="preserve"> [1]!cb_clause_interest(A33,6)</f>
        <v>债券到期赎回：在本次发行的可转换公司债券期满后五个交易日内，公司将按债券面值的106%（含最后一期利息）的价格赎回未转股的可转换公司债券。</v>
      </c>
      <c r="G33" s="36" t="str">
        <f>[1]!cb_clause_interest(A33,4)</f>
        <v>第一年0.3%、第二年0.5%、第三年1%、第四年1.3%、第五年1.5%、第六年1.8%</v>
      </c>
      <c r="H33" s="36" t="str">
        <f>[1]!cb_clause_interest(A33,7)</f>
        <v>（1）本可转债采用每年付息一次的付息方式，计息起始日为本可转债发行首日。（2）付息登记日：每年的付息登记日为每年付息日的前一交易日，公司将在每年付息日之后的五个交易日内支付当年利息。在付息债权登记日前（包括付息债权登记日）已转换或已申请转换为公司股票的可转债，公司不再向其支付利息。（3）付息日：每年的付息日为本可转债发行首日起每满一年的当日。如该日为法定节假日或休息日，则顺延至下一个工作日，顺延期间不另付息。每相邻的两个付息日之间为一个计息年度。可转债持有人所获得利息收入的应付税项由持有人负担。在本次发行的可转债到期日之后的5 个工作日内，公司将偿还所有到期未转股的可转债本金及最后一年利息。转股年度有关利息和股利的归属等事项，由公司董事会根据相关法律法规及深圳证券交易所的规定确定。</v>
      </c>
      <c r="I33" s="36">
        <f>[1]!cb_clause_conversion_2_relativeswapsharemonth(A33)</f>
        <v>6</v>
      </c>
      <c r="J33" s="36" t="str">
        <f>[1]!cb_clause_conversion_2_swapsharestartdate(A33)</f>
        <v>2018-05-14</v>
      </c>
      <c r="K33" s="36" t="str">
        <f>[1]!cb_clause_conversion_2_swapshareenddate(A33)</f>
        <v>2023-11-08</v>
      </c>
      <c r="L33" s="36" t="str">
        <f>[1]!cb_clause_conversion_2_isforced(A33)</f>
        <v>否</v>
      </c>
      <c r="M33" s="36">
        <f xml:space="preserve"> [1]!cb_clause_conversion_2_forceconvertdate(A33)</f>
        <v>0</v>
      </c>
      <c r="N33" s="36">
        <f>[1]!cb_clause_conversion_2_forceconvertprice(A33)</f>
        <v>0</v>
      </c>
      <c r="O33" s="37">
        <f ca="1">[1]!cb_clause_conversion2_swapshareprice(A33,$O$3)</f>
        <v>8.3699999999999992</v>
      </c>
      <c r="P33" s="36" t="str">
        <f>[1]!b_clause_conversion_code(A33)</f>
        <v>128019</v>
      </c>
      <c r="Q33" s="38">
        <f ca="1">[1]!cb_clause_conversion2_conversionproportion(A33,$Q$3)</f>
        <v>11.947431302270013</v>
      </c>
      <c r="R33" s="36">
        <f ca="1">[1]!cb_clause_conversion2_bondlot(A33,$R$3)/10000</f>
        <v>104000</v>
      </c>
      <c r="S33" s="36">
        <f ca="1">[1]!cb_clause_conversion2_bondproportion(A33,$S$3)</f>
        <v>100</v>
      </c>
      <c r="T33" s="36" t="str">
        <f>[1]!cb_clause_conversion_2_conversionproportion(A33)</f>
        <v>是</v>
      </c>
      <c r="U33" s="36" t="str">
        <f>[1]!cb_clause_conversion2_tosharepriceadjustitem(A33)</f>
        <v>在本次发行之后，当本公司因送红股、转增股本、增发新股或配股、派息等情况(不包括因可转债转股增加的股本)使公司股份发生变化时，将按下述公式进行转股价格的调整：送股或转增股本：P1=P/(1+n)；增发新股或配股：P1=(P+A×k)/(1+k)；两项同时进行：P1=(P+A×k)/(1+n+k)；派息：P1=P－D；上述三项同时进行：P1＝(P－D＋A×k)/(1+n+k)。其中：P为调整前转股价，n为送股率，k为增发新股或配股率，A为增发新股价或配股价，D为每股派息，P1为调整后的转股价格。当本公司出现上述股份和/或股东权益变化情况时，将依次进行转股价格调整，并在中国证监会指定的上市公司信息披露媒体上刊登董事会决议公告，并于公告中载明转股价格调整日、调整办法及暂停转股时期（如需）。当转股价格调整日为本可转债持有人转股申请日或之后，转换股票登记日之前，则该持有人的转股申请按本公司调整后的转股价格执行。</v>
      </c>
      <c r="V33" s="36" t="str">
        <f>[1]!cb_clause_reset_item(A33)</f>
        <v>在本次发行的可转换公司债券存续期间，当公司股票在任意连续三十个交易日中至少有十五个交易日的收盘价低于当期转股价格的80%时，公司董事会有权提出转股价格向下修正方案并提交公司股东大会表决。上述方案须经出席会议的股东所持表决权的三分之二以上通过方可实施。股东大会进行表决时，持有本次发行的可转换公司债券的股东应当回避。修正后的转股价格应不低于本次股东大会召开日前二十个交易日公司股票交易均价和前一交易日均价之间的较高者，同时修正后的转股价格不低于最近一期经审计的每股净资产和股票面值。若在前述二十个交易日内发生过转股价格调整的情形，则在转股价格调整日前的交易日按调整前的转股价格和收盘价计算，在转股价格调整日及之后的交易日按调整后的转股价格和收盘价计算。</v>
      </c>
      <c r="W33" s="36" t="str">
        <f xml:space="preserve"> [1]!cb_clause_reset_isexitreset(A33)</f>
        <v>是</v>
      </c>
      <c r="X33" s="36" t="str">
        <f xml:space="preserve"> [1]!cb_clause_reset_resetstartdate(A33)</f>
        <v>2017-11-08</v>
      </c>
      <c r="Y33" s="36" t="str">
        <f xml:space="preserve"> [1]!cb_clause_reset_resetperiodenddate(A33)</f>
        <v>2023-11-08</v>
      </c>
      <c r="Z33" s="36">
        <f>[1]!cb_clause_reset_resetmaxtimespan(A33)</f>
        <v>30</v>
      </c>
      <c r="AA33" s="36">
        <f>[1]!cb_clause_reset_resettimespan(A33)</f>
        <v>15</v>
      </c>
      <c r="AB33" s="36">
        <f>[1]!cb_clause_reset_resettriggerratio(A33)</f>
        <v>80</v>
      </c>
      <c r="AC33" s="36" t="str">
        <f>[1]!cb_clause_reset_referencepriceisanverage(A33)</f>
        <v>否</v>
      </c>
      <c r="AD33" s="36">
        <f>[1]!cb_clause_reset_resetrange(A33)</f>
        <v>0</v>
      </c>
      <c r="AE33" s="36" t="str">
        <f>[1]!cb_clause_reset_stockpricelowestlimit(A33)</f>
        <v>应不低于本次股东大会召开日前20，1个交易日公司股票交易均价之间的较高者，每股净资产和股票面值</v>
      </c>
      <c r="AF33" s="36">
        <f>[1]!cb_clause_reset_resettimeslimit(A33)</f>
        <v>0</v>
      </c>
      <c r="AG33" s="36">
        <f xml:space="preserve">  [1]!cb_clause_reset_timepointclause(A33)</f>
        <v>0</v>
      </c>
      <c r="AH33" s="36">
        <f xml:space="preserve"> [1]!cb_clause_calloption_relativecalloptionperiod(A33)</f>
        <v>6</v>
      </c>
      <c r="AI33" s="36" t="str">
        <f xml:space="preserve"> [1]!cb_clause_calloption_redemptiontimesperyear(A33)</f>
        <v>一年一次</v>
      </c>
      <c r="AJ33" s="36" t="str">
        <f>[1]!cb_clause_calloption_conditionalredeemstartdate(A33)</f>
        <v>2018-05-14</v>
      </c>
      <c r="AK33" s="36">
        <f>[1]!cb_clause_calloption_redeemmaxspan(A33)</f>
        <v>30</v>
      </c>
      <c r="AL33" s="36">
        <f>[1]!cb_clause_calloption_redeemspan(A33)</f>
        <v>20</v>
      </c>
      <c r="AM33" s="36">
        <f>[1]!cb_clause_calloption_triggerproportion(A33)</f>
        <v>130</v>
      </c>
      <c r="AN33" s="36">
        <f xml:space="preserve"> [1]!cb_clause_calloption_redemptionprice(A33)</f>
        <v>0</v>
      </c>
      <c r="AO33" s="36" t="str">
        <f>[1]!cb_clause_calloption_redemptionmemo(A33)</f>
        <v>按照可转换公司债券面值加当期应计利息赎回价格赎回全部或部分未转股的可转债</v>
      </c>
      <c r="AP33" s="36" t="str">
        <f>[1]!cb_clause_calloption_redeemitem(A33)</f>
        <v>（1）到期赎回条款在本次发行的可转换公司债券期满后五个交易日内，公司将按债券面值的106%（含最后一期利息）的价格赎回未转股的可转换公司债券。（2）有条件赎回条款①在本可转债转股期内，如果本公司股票任意连续30个交易日中至少有20个交易日的收盘价不低于当期转股价格的130%（含130%），有权按照可转换公司债券面值加当期应计利息赎回价格赎回全部或部分未转股的可转债。任一计息年度本公司在赎回条件首次满足后可以进行赎回，首次不实施赎回的，该计息年度不应再行使赎回权。②在本可转债转股期内，当本次发行的可转债未转股的票面金额少于3,000万元（含3,000万元）时，公司有权按可转换公司债券面值加当期应计利息赎回价格赎回全部或部分未转股的可转换公司债券。</v>
      </c>
      <c r="AQ33" s="36" t="str">
        <f xml:space="preserve"> [1]!cb_clause_calloption_iswithtimeredemptionclause(A33)</f>
        <v>否</v>
      </c>
      <c r="AR33" s="36">
        <f>[1]!cb_clause_calloption_timeredemptiontimes(A33)</f>
        <v>0</v>
      </c>
      <c r="AS33" s="36">
        <f>[1]!cb_clause_calloption_redeemclause(A33)</f>
        <v>0</v>
      </c>
      <c r="AT33" s="36">
        <f xml:space="preserve"> [1]!cb_clause_putoption_putbackperiodobs(A33)</f>
        <v>48</v>
      </c>
      <c r="AU33" s="36" t="str">
        <f>[1]!cb_clause_putoption_conditionalputbackstartenddate(A33)</f>
        <v>2021-11-08</v>
      </c>
      <c r="AV33" s="36">
        <f xml:space="preserve"> [1]!cb_clause_putoption_conditionalputbackenddate(A33)</f>
        <v>0</v>
      </c>
      <c r="AW33" s="36">
        <f xml:space="preserve"> [1]!cb_clause_putoption_putbacktriggermaxspan(A33)</f>
        <v>30</v>
      </c>
      <c r="AX33" s="36">
        <f>[1]!cb_clause_putoption_redeem_triggerproportion(A33)</f>
        <v>70</v>
      </c>
      <c r="AY33" s="36">
        <f>[1]!cb_clause_putoption_resellingprice(A33)</f>
        <v>0</v>
      </c>
      <c r="AZ33" s="36" t="str">
        <f xml:space="preserve"> [1]!cb_clause_putoption_resellingpriceexplaination(A33)</f>
        <v>将其持有的可转债全部或部分按面值加当期应计利息回售给本公司</v>
      </c>
      <c r="BA33" s="36">
        <f>[1]!cb_clause_putoption_interestdisposing(A33)</f>
        <v>0</v>
      </c>
      <c r="BB33" s="36" t="str">
        <f xml:space="preserve"> [1]!cb_clause_putoption_sellbackitem(A33)</f>
        <v>（1）有条件回售条款在本可转债最后两个计息年度，如果公司股票收盘价连续30个交易日低于当期转股价格的70%时，可转债持有人有权将其持有的可转债全部或部分按面值加当期应计利息回售给本公司。若在上述交易日内发生过转股价格调整的情形，则在调整前的交易日按调整前的转股价格和收盘价格计算，在调整后的交易日按调整后的转股价格和收盘价格计算。如果出现转股价格向下修正的情况，则上述“连续30个交易日”须从转股价格调整之后的第一个交易日起重新计算。任一计息年度可转债持有人在回售条件首次满足后可以进行回售，但若首次不实施回售的，则该计息年度不应再行使回售权。</v>
      </c>
      <c r="BC33" s="36">
        <f>[1]!cb_clause_putoption_putbackperiod(A33)</f>
        <v>0</v>
      </c>
      <c r="BD33" s="36">
        <f>[1]!cb_clause_putoption_putbackstartdate(A33)</f>
        <v>0</v>
      </c>
      <c r="BE33" s="36">
        <f>[1]!cb_clause_putoption_putbackenddate(A33)</f>
        <v>0</v>
      </c>
      <c r="BF33" s="36">
        <f xml:space="preserve"> [1]!cb_clause_putoption_putbackprice(A33)</f>
        <v>0</v>
      </c>
      <c r="BG33" s="36">
        <f>[1]!cb_clause_putoption_putbackclause(A33)</f>
        <v>0</v>
      </c>
      <c r="BH33" s="36">
        <f>[1]!cb_clause_putoption_timeputbacktimes(A33)</f>
        <v>0</v>
      </c>
      <c r="BI33" s="36">
        <f>[1]!cb_clause_putoption_timeputbackclause(A33)</f>
        <v>0</v>
      </c>
      <c r="BJ33" s="36" t="str">
        <f>[1]!cb_clause_putoption_additionalpricememo(A33)</f>
        <v>按面值加当期应计利息的价格向本公司回售其持有的部分或全部可转换公司债券</v>
      </c>
      <c r="BK33" s="36" t="str">
        <f>[1]!cb_clause_putoption_putbackadditionalcondition(A33)</f>
        <v>在本可转债存续期间内，如果本次发行所募集资金的使用与本公司在募集说明书中的承诺相比出现重大变化，根据中国证监会的相关规定可被视作改变募集资金用途或者被中国证监会认定为改变募集资金用途的</v>
      </c>
    </row>
    <row r="34" spans="1:63" x14ac:dyDescent="0.15">
      <c r="A34" s="34" t="s">
        <v>267</v>
      </c>
      <c r="B34" s="35" t="str">
        <f xml:space="preserve"> [1]!cb_info_name(A34)</f>
        <v>水晶转债</v>
      </c>
      <c r="C34" s="36" t="str">
        <f>[1]!cb_clause_interest(A34,5)</f>
        <v>否</v>
      </c>
      <c r="D34" s="36" t="str">
        <f>[1]!cb_clause_interest(A34,8)</f>
        <v>是</v>
      </c>
      <c r="E34" s="36">
        <f>[1]!cb_clause_interest(A34,3)</f>
        <v>1.9833000000000001</v>
      </c>
      <c r="F34" s="36" t="str">
        <f xml:space="preserve"> [1]!cb_clause_interest(A34,6)</f>
        <v>在本次发行的可转债期满后五个交易日内，公司将以本次发行的可转债的票面面值的108%（含最后一期年度利息）的价格向投资者兑付全部未转股的可转债。</v>
      </c>
      <c r="G34" s="36" t="str">
        <f>[1]!cb_clause_interest(A34,4)</f>
        <v>票面利率：第一年0.3%、第二年0.5%、第三年0.8%、第四年1.0%、第五年1.3%、第六年1.8%</v>
      </c>
      <c r="H34" s="36" t="str">
        <f>[1]!cb_clause_interest(A34,7)</f>
        <v>① 本次发行的可转债采用每年付息一次的付息方式，计息起始日为可转债发行首日。② 付息日：每年的付息日为本次发行的可转债发行首日起每满一年的当日。如该日为法定节假日或休息日，则顺延至下一个工作日，顺延期间不另付息。每相邻的两个付息日之间为一个计息年度。③ 付息债权登记日：每年的付息债权登记日为每年付息日的前一交易日，公司将在每年付息日之后的五个交易日内支付当年利息。在付息债权登记日前（包括付息债权登记日）申请转换成公司股票的可转债，公司不再向其持有人支付本计息年度及以后计息年度的利息。④ 可转债持有人所获得利息收入的应付税项由可转债持有人承担。</v>
      </c>
      <c r="I34" s="36">
        <f>[1]!cb_clause_conversion_2_relativeswapsharemonth(A34)</f>
        <v>6</v>
      </c>
      <c r="J34" s="36" t="str">
        <f>[1]!cb_clause_conversion_2_swapsharestartdate(A34)</f>
        <v>2018-05-23</v>
      </c>
      <c r="K34" s="36" t="str">
        <f>[1]!cb_clause_conversion_2_swapshareenddate(A34)</f>
        <v>2023-11-16</v>
      </c>
      <c r="L34" s="36" t="str">
        <f>[1]!cb_clause_conversion_2_isforced(A34)</f>
        <v>否</v>
      </c>
      <c r="M34" s="36">
        <f xml:space="preserve"> [1]!cb_clause_conversion_2_forceconvertdate(A34)</f>
        <v>0</v>
      </c>
      <c r="N34" s="36">
        <f>[1]!cb_clause_conversion_2_forceconvertprice(A34)</f>
        <v>0</v>
      </c>
      <c r="O34" s="37">
        <f ca="1">[1]!cb_clause_conversion2_swapshareprice(A34,$O$3)</f>
        <v>29.9</v>
      </c>
      <c r="P34" s="36" t="str">
        <f>[1]!b_clause_conversion_code(A34)</f>
        <v>128020</v>
      </c>
      <c r="Q34" s="38">
        <f ca="1">[1]!cb_clause_conversion2_conversionproportion(A34,$Q$3)</f>
        <v>3.3444816053511706</v>
      </c>
      <c r="R34" s="36">
        <f ca="1">[1]!cb_clause_conversion2_bondlot(A34,$R$3)/10000</f>
        <v>118000</v>
      </c>
      <c r="S34" s="36">
        <f ca="1">[1]!cb_clause_conversion2_bondproportion(A34,$S$3)</f>
        <v>100</v>
      </c>
      <c r="T34" s="36" t="str">
        <f>[1]!cb_clause_conversion_2_conversionproportion(A34)</f>
        <v>是</v>
      </c>
      <c r="U34" s="36" t="str">
        <f>[1]!cb_clause_conversion2_tosharepriceadjustitem(A34)</f>
        <v>在本次发行之后，当公司因派送股票股利、转增股本、增发新股或配股、派送现金股利等情况（不包括因本次发行的可转债转股而增加的股本）使公司股份发生变化时，将按下述公式进行转股价格的调整：派送股票股利或转增股本：P1=P0/（1+n）；增发新股或配股：P1=（P0+A×k）/（1+k）；上述两项同时进行：P1=（P0+A×k）/（1+n+k）；派送现金股利：P1=P0-D；上述三项同时进行：P1＝（P0-D+A×k）/（1+n+k）。其中：P0为调整前转股价，n为派送股票股利或转增股本率，k为增发新股或配股率，A为增发新股价或配股价，D为每股派送现金股利，P1为调整后转股价。</v>
      </c>
      <c r="V34" s="36" t="str">
        <f>[1]!cb_clause_reset_item(A34)</f>
        <v>在本次发行的可转债存续期间，当公司股票在任意连续三十个交易日中至少有十五个交易日的收盘价低于当期转股价格的85%时，公司董事会有权提出转股价格向下修正方案并提交公司股东大会审议表决。上述方案须经出席会议的股东所持表决权的三分之二以上通过方可实施。股东大会进行表决时，持有本次发行的可转债的股东应当回避。修正后的转股价格应不低于前述的股东大会召开日前二十个交易日公司A股股票交易均价和前一个交易日公司A股股票交易均价。</v>
      </c>
      <c r="W34" s="36" t="str">
        <f xml:space="preserve"> [1]!cb_clause_reset_isexitreset(A34)</f>
        <v>是</v>
      </c>
      <c r="X34" s="36" t="str">
        <f xml:space="preserve"> [1]!cb_clause_reset_resetstartdate(A34)</f>
        <v>2017-11-17</v>
      </c>
      <c r="Y34" s="36" t="str">
        <f xml:space="preserve"> [1]!cb_clause_reset_resetperiodenddate(A34)</f>
        <v>2023-11-17</v>
      </c>
      <c r="Z34" s="36">
        <f>[1]!cb_clause_reset_resetmaxtimespan(A34)</f>
        <v>30</v>
      </c>
      <c r="AA34" s="36">
        <f>[1]!cb_clause_reset_resettimespan(A34)</f>
        <v>15</v>
      </c>
      <c r="AB34" s="36">
        <f>[1]!cb_clause_reset_resettriggerratio(A34)</f>
        <v>85</v>
      </c>
      <c r="AC34" s="36" t="str">
        <f>[1]!cb_clause_reset_referencepriceisanverage(A34)</f>
        <v>否</v>
      </c>
      <c r="AD34" s="36">
        <f>[1]!cb_clause_reset_resetrange(A34)</f>
        <v>0</v>
      </c>
      <c r="AE34" s="36" t="str">
        <f>[1]!cb_clause_reset_stockpricelowestlimit(A34)</f>
        <v>应不低于本次股东大会召开日前二十个交易日公司股票交易均价和前一交易日均价之间的较高者</v>
      </c>
      <c r="AF34" s="36">
        <f>[1]!cb_clause_reset_resettimeslimit(A34)</f>
        <v>0</v>
      </c>
      <c r="AG34" s="36">
        <f xml:space="preserve">  [1]!cb_clause_reset_timepointclause(A34)</f>
        <v>0</v>
      </c>
      <c r="AH34" s="36">
        <f xml:space="preserve"> [1]!cb_clause_calloption_relativecalloptionperiod(A34)</f>
        <v>6</v>
      </c>
      <c r="AI34" s="36" t="str">
        <f xml:space="preserve"> [1]!cb_clause_calloption_redemptiontimesperyear(A34)</f>
        <v>不限次数</v>
      </c>
      <c r="AJ34" s="36" t="str">
        <f>[1]!cb_clause_calloption_conditionalredeemstartdate(A34)</f>
        <v>2018-05-23</v>
      </c>
      <c r="AK34" s="36">
        <f>[1]!cb_clause_calloption_redeemmaxspan(A34)</f>
        <v>30</v>
      </c>
      <c r="AL34" s="36">
        <f>[1]!cb_clause_calloption_redeemspan(A34)</f>
        <v>15</v>
      </c>
      <c r="AM34" s="36">
        <f>[1]!cb_clause_calloption_triggerproportion(A34)</f>
        <v>130</v>
      </c>
      <c r="AN34" s="36">
        <f xml:space="preserve"> [1]!cb_clause_calloption_redemptionprice(A34)</f>
        <v>0</v>
      </c>
      <c r="AO34" s="36" t="str">
        <f>[1]!cb_clause_calloption_redemptionmemo(A34)</f>
        <v>按照债券面值加当期应计利息的价格赎回全部或部分未转股的可转债。</v>
      </c>
      <c r="AP34" s="36" t="str">
        <f>[1]!cb_clause_calloption_redeemitem(A34)</f>
        <v>在本次发行的可转债转股期内，如果公司A股股票连续三十个交易日中至少有十五个交易日的收盘价不低于当期转股价格的130%（含130%），或本次发行的可转债未转股余额不足人民币3,000万元时，公司有权按照债券面值加当期应计利息的价格赎回全部或部分未转股的可转债。</v>
      </c>
      <c r="AQ34" s="36" t="str">
        <f xml:space="preserve"> [1]!cb_clause_calloption_iswithtimeredemptionclause(A34)</f>
        <v>否</v>
      </c>
      <c r="AR34" s="36">
        <f>[1]!cb_clause_calloption_timeredemptiontimes(A34)</f>
        <v>0</v>
      </c>
      <c r="AS34" s="36">
        <f>[1]!cb_clause_calloption_redeemclause(A34)</f>
        <v>0</v>
      </c>
      <c r="AT34" s="36">
        <f xml:space="preserve"> [1]!cb_clause_putoption_putbackperiodobs(A34)</f>
        <v>48</v>
      </c>
      <c r="AU34" s="36" t="str">
        <f>[1]!cb_clause_putoption_conditionalputbackstartenddate(A34)</f>
        <v>2021-11-17</v>
      </c>
      <c r="AV34" s="36">
        <f xml:space="preserve"> [1]!cb_clause_putoption_conditionalputbackenddate(A34)</f>
        <v>0</v>
      </c>
      <c r="AW34" s="36">
        <f xml:space="preserve"> [1]!cb_clause_putoption_putbacktriggermaxspan(A34)</f>
        <v>30</v>
      </c>
      <c r="AX34" s="36">
        <f>[1]!cb_clause_putoption_redeem_triggerproportion(A34)</f>
        <v>70</v>
      </c>
      <c r="AY34" s="36">
        <f>[1]!cb_clause_putoption_resellingprice(A34)</f>
        <v>0</v>
      </c>
      <c r="AZ34" s="36" t="str">
        <f xml:space="preserve"> [1]!cb_clause_putoption_resellingpriceexplaination(A34)</f>
        <v>将其持有的可转换公司债券全部或部分按面值加上当期应计利息的价格回售给公司</v>
      </c>
      <c r="BA34" s="36">
        <f>[1]!cb_clause_putoption_interestdisposing(A34)</f>
        <v>0</v>
      </c>
      <c r="BB34" s="36" t="str">
        <f xml:space="preserve"> [1]!cb_clause_putoption_sellbackitem(A34)</f>
        <v>在本次发行的可转换公司债券最后两个计息年度，如果公司股票在任何连续30个交易日的收盘价格低于当期转股价的70%时，可转换公司债券持有人有权将其持有的可转换公司债券全部或部分按面值加上当期应计利息的价格回售给公司。若在上述交易日内发生过转股价格因发生送红股、转增股本、增发新股（不包括因本次发行的可转换公司债券转股而增加的股本）、配股以及派发现金股利等情况而调整的情形，则在调整前的交易日按调整前的转股价格和收盘价格计算，在调整后的交易日按调整后的转股价格和收盘价格计算。如果出现转股价格向下修正的情况，则上述“连续30个交易日”须从转股价格调整之后的第一个交易日起重新计算。</v>
      </c>
      <c r="BC34" s="36">
        <f>[1]!cb_clause_putoption_putbackperiod(A34)</f>
        <v>0</v>
      </c>
      <c r="BD34" s="36">
        <f>[1]!cb_clause_putoption_putbackstartdate(A34)</f>
        <v>0</v>
      </c>
      <c r="BE34" s="36">
        <f>[1]!cb_clause_putoption_putbackenddate(A34)</f>
        <v>0</v>
      </c>
      <c r="BF34" s="36">
        <f xml:space="preserve"> [1]!cb_clause_putoption_putbackprice(A34)</f>
        <v>0</v>
      </c>
      <c r="BG34" s="36">
        <f>[1]!cb_clause_putoption_putbackclause(A34)</f>
        <v>0</v>
      </c>
      <c r="BH34" s="36">
        <f>[1]!cb_clause_putoption_timeputbacktimes(A34)</f>
        <v>0</v>
      </c>
      <c r="BI34" s="36">
        <f>[1]!cb_clause_putoption_timeputbackclause(A34)</f>
        <v>0</v>
      </c>
      <c r="BJ34" s="36" t="str">
        <f>[1]!cb_clause_putoption_additionalpricememo(A34)</f>
        <v>可转换公司债券持有人有权将其持有的可转换公司债券全部或部分按面值加上当期应计利息的价格回售给公司.</v>
      </c>
      <c r="BK34" s="36" t="str">
        <f>[1]!cb_clause_putoption_putbackadditionalcondition(A34)</f>
        <v>若公司本次发行的可转换公司债券募集资金投资项目的实施情况与公司在募集说明书中的承诺情况相比出现重大变化，可转换公司债券持有人享有一次回售的权利。</v>
      </c>
    </row>
    <row r="35" spans="1:63" x14ac:dyDescent="0.15">
      <c r="O35" s="31"/>
    </row>
    <row r="36" spans="1:63" x14ac:dyDescent="0.15">
      <c r="O36" s="31"/>
    </row>
    <row r="37" spans="1:63" x14ac:dyDescent="0.15">
      <c r="O37" s="31"/>
    </row>
    <row r="38" spans="1:63" x14ac:dyDescent="0.15">
      <c r="O38" s="31"/>
    </row>
    <row r="39" spans="1:63" x14ac:dyDescent="0.15">
      <c r="O39" s="31"/>
    </row>
    <row r="40" spans="1:63" x14ac:dyDescent="0.15">
      <c r="O40" s="31"/>
    </row>
    <row r="41" spans="1:63" x14ac:dyDescent="0.15">
      <c r="O41" s="31"/>
    </row>
    <row r="42" spans="1:63" x14ac:dyDescent="0.15">
      <c r="O42" s="31"/>
    </row>
    <row r="43" spans="1:63" x14ac:dyDescent="0.15">
      <c r="O43" s="31"/>
    </row>
    <row r="44" spans="1:63" x14ac:dyDescent="0.15">
      <c r="O44" s="31"/>
    </row>
    <row r="45" spans="1:63" x14ac:dyDescent="0.15">
      <c r="O45" s="31"/>
    </row>
    <row r="46" spans="1:63" x14ac:dyDescent="0.15">
      <c r="O46" s="31"/>
    </row>
    <row r="47" spans="1:63" x14ac:dyDescent="0.15">
      <c r="O47" s="31"/>
    </row>
    <row r="48" spans="1:63" x14ac:dyDescent="0.15">
      <c r="O48" s="31"/>
    </row>
    <row r="49" spans="15:15" x14ac:dyDescent="0.15">
      <c r="O49" s="31"/>
    </row>
    <row r="50" spans="15:15" x14ac:dyDescent="0.15">
      <c r="O50" s="31"/>
    </row>
    <row r="51" spans="15:15" x14ac:dyDescent="0.15">
      <c r="O51" s="31"/>
    </row>
    <row r="52" spans="15:15" x14ac:dyDescent="0.15">
      <c r="O52" s="31"/>
    </row>
    <row r="53" spans="15:15" x14ac:dyDescent="0.15">
      <c r="O53" s="31"/>
    </row>
    <row r="54" spans="15:15" x14ac:dyDescent="0.15">
      <c r="O54" s="31"/>
    </row>
    <row r="55" spans="15:15" x14ac:dyDescent="0.15">
      <c r="O55" s="31"/>
    </row>
    <row r="56" spans="15:15" x14ac:dyDescent="0.15">
      <c r="O56" s="31"/>
    </row>
    <row r="57" spans="15:15" x14ac:dyDescent="0.15">
      <c r="O57" s="31"/>
    </row>
    <row r="58" spans="15:15" x14ac:dyDescent="0.15">
      <c r="O58" s="31"/>
    </row>
    <row r="59" spans="15:15" x14ac:dyDescent="0.15">
      <c r="O59" s="31"/>
    </row>
    <row r="60" spans="15:15" x14ac:dyDescent="0.15">
      <c r="O60" s="31"/>
    </row>
    <row r="61" spans="15:15" x14ac:dyDescent="0.15">
      <c r="O61" s="31"/>
    </row>
    <row r="62" spans="15:15" x14ac:dyDescent="0.15">
      <c r="O62" s="31"/>
    </row>
    <row r="63" spans="15:15" x14ac:dyDescent="0.15">
      <c r="O63" s="31"/>
    </row>
    <row r="64" spans="15:15" x14ac:dyDescent="0.15">
      <c r="O64" s="31"/>
    </row>
    <row r="65" spans="15:15" x14ac:dyDescent="0.15">
      <c r="O65" s="31"/>
    </row>
    <row r="66" spans="15:15" x14ac:dyDescent="0.15">
      <c r="O66" s="31"/>
    </row>
    <row r="67" spans="15:15" x14ac:dyDescent="0.15">
      <c r="O67" s="31"/>
    </row>
    <row r="68" spans="15:15" x14ac:dyDescent="0.15">
      <c r="O68" s="31"/>
    </row>
    <row r="69" spans="15:15" x14ac:dyDescent="0.15">
      <c r="O69" s="31"/>
    </row>
    <row r="70" spans="15:15" x14ac:dyDescent="0.15">
      <c r="O70" s="31"/>
    </row>
    <row r="71" spans="15:15" x14ac:dyDescent="0.15">
      <c r="O71" s="31"/>
    </row>
    <row r="72" spans="15:15" x14ac:dyDescent="0.15">
      <c r="O72" s="31"/>
    </row>
    <row r="73" spans="15:15" x14ac:dyDescent="0.15">
      <c r="O73" s="31"/>
    </row>
    <row r="74" spans="15:15" x14ac:dyDescent="0.15">
      <c r="O74" s="31"/>
    </row>
    <row r="75" spans="15:15" x14ac:dyDescent="0.15">
      <c r="O75" s="31"/>
    </row>
    <row r="76" spans="15:15" x14ac:dyDescent="0.15">
      <c r="O76" s="31"/>
    </row>
    <row r="77" spans="15:15" x14ac:dyDescent="0.15">
      <c r="O77" s="31"/>
    </row>
    <row r="78" spans="15:15" x14ac:dyDescent="0.15">
      <c r="O78" s="31"/>
    </row>
    <row r="79" spans="15:15" x14ac:dyDescent="0.15">
      <c r="O79" s="31"/>
    </row>
    <row r="80" spans="15:15" x14ac:dyDescent="0.15">
      <c r="O80" s="31"/>
    </row>
    <row r="81" spans="15:15" x14ac:dyDescent="0.15">
      <c r="O81" s="31"/>
    </row>
    <row r="82" spans="15:15" x14ac:dyDescent="0.15">
      <c r="O82" s="31"/>
    </row>
    <row r="83" spans="15:15" x14ac:dyDescent="0.15">
      <c r="O83" s="31"/>
    </row>
    <row r="84" spans="15:15" x14ac:dyDescent="0.15">
      <c r="O84" s="31"/>
    </row>
    <row r="85" spans="15:15" x14ac:dyDescent="0.15">
      <c r="O85" s="31"/>
    </row>
    <row r="86" spans="15:15" x14ac:dyDescent="0.15">
      <c r="O86" s="31"/>
    </row>
    <row r="87" spans="15:15" x14ac:dyDescent="0.15">
      <c r="O87" s="31"/>
    </row>
    <row r="88" spans="15:15" x14ac:dyDescent="0.15">
      <c r="O88" s="31"/>
    </row>
    <row r="89" spans="15:15" x14ac:dyDescent="0.15">
      <c r="O89" s="31"/>
    </row>
    <row r="90" spans="15:15" x14ac:dyDescent="0.15">
      <c r="O90" s="31"/>
    </row>
    <row r="91" spans="15:15" x14ac:dyDescent="0.15">
      <c r="O91" s="31"/>
    </row>
    <row r="92" spans="15:15" x14ac:dyDescent="0.15">
      <c r="O92" s="31"/>
    </row>
    <row r="93" spans="15:15" x14ac:dyDescent="0.15">
      <c r="O93" s="31"/>
    </row>
    <row r="94" spans="15:15" x14ac:dyDescent="0.15">
      <c r="O94" s="31"/>
    </row>
    <row r="95" spans="15:15" x14ac:dyDescent="0.15">
      <c r="O95" s="31"/>
    </row>
    <row r="96" spans="15:15" x14ac:dyDescent="0.15">
      <c r="O96" s="31"/>
    </row>
    <row r="97" spans="15:15" x14ac:dyDescent="0.15">
      <c r="O97" s="31"/>
    </row>
    <row r="98" spans="15:15" x14ac:dyDescent="0.15">
      <c r="O98" s="31"/>
    </row>
    <row r="99" spans="15:15" x14ac:dyDescent="0.15">
      <c r="O99" s="31"/>
    </row>
    <row r="100" spans="15:15" x14ac:dyDescent="0.15">
      <c r="O100" s="31"/>
    </row>
    <row r="101" spans="15:15" x14ac:dyDescent="0.15">
      <c r="O101" s="31"/>
    </row>
    <row r="102" spans="15:15" x14ac:dyDescent="0.15">
      <c r="O102" s="31"/>
    </row>
    <row r="103" spans="15:15" x14ac:dyDescent="0.15">
      <c r="O103" s="31"/>
    </row>
    <row r="104" spans="15:15" x14ac:dyDescent="0.15">
      <c r="O104" s="31"/>
    </row>
    <row r="105" spans="15:15" x14ac:dyDescent="0.15">
      <c r="O105" s="31"/>
    </row>
    <row r="106" spans="15:15" x14ac:dyDescent="0.15">
      <c r="O106" s="31"/>
    </row>
    <row r="107" spans="15:15" x14ac:dyDescent="0.15">
      <c r="O107" s="31"/>
    </row>
    <row r="108" spans="15:15" x14ac:dyDescent="0.15">
      <c r="O108" s="31"/>
    </row>
    <row r="109" spans="15:15" x14ac:dyDescent="0.15">
      <c r="O109" s="31"/>
    </row>
    <row r="110" spans="15:15" x14ac:dyDescent="0.15">
      <c r="O110" s="31"/>
    </row>
    <row r="111" spans="15:15" x14ac:dyDescent="0.15">
      <c r="O111" s="31"/>
    </row>
    <row r="112" spans="15:15" x14ac:dyDescent="0.15">
      <c r="O112" s="31"/>
    </row>
    <row r="113" spans="15:15" x14ac:dyDescent="0.15">
      <c r="O113" s="31"/>
    </row>
    <row r="114" spans="15:15" x14ac:dyDescent="0.15">
      <c r="O114" s="31"/>
    </row>
    <row r="115" spans="15:15" x14ac:dyDescent="0.15">
      <c r="O115" s="31"/>
    </row>
    <row r="116" spans="15:15" x14ac:dyDescent="0.15">
      <c r="O116" s="31"/>
    </row>
    <row r="117" spans="15:15" x14ac:dyDescent="0.15">
      <c r="O117" s="31"/>
    </row>
    <row r="118" spans="15:15" x14ac:dyDescent="0.15">
      <c r="O118" s="31"/>
    </row>
    <row r="119" spans="15:15" x14ac:dyDescent="0.15">
      <c r="O119" s="31"/>
    </row>
    <row r="120" spans="15:15" x14ac:dyDescent="0.15">
      <c r="O120" s="31"/>
    </row>
  </sheetData>
  <phoneticPr fontId="1" type="noConversion"/>
  <pageMargins left="0.7" right="0.7" top="0.75" bottom="0.75" header="0.3" footer="0.3"/>
  <pageSetup paperSize="9" orientation="portrait" verticalDpi="0"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AV121"/>
  <sheetViews>
    <sheetView workbookViewId="0">
      <pane xSplit="2" ySplit="4" topLeftCell="C5" activePane="bottomRight" state="frozen"/>
      <selection pane="topRight" activeCell="C1" sqref="C1"/>
      <selection pane="bottomLeft" activeCell="A6" sqref="A6"/>
      <selection pane="bottomRight" activeCell="G28" sqref="G28"/>
    </sheetView>
  </sheetViews>
  <sheetFormatPr defaultRowHeight="12" x14ac:dyDescent="0.15"/>
  <cols>
    <col min="1" max="1" width="9" style="31"/>
    <col min="2" max="2" width="14.625" style="31" customWidth="1"/>
    <col min="3" max="12" width="10" style="31" customWidth="1"/>
    <col min="13" max="25" width="9" style="31"/>
    <col min="26" max="26" width="9" style="49"/>
    <col min="27" max="34" width="9" style="31"/>
    <col min="35" max="36" width="9.875" style="31" customWidth="1"/>
    <col min="37" max="43" width="9" style="31"/>
    <col min="44" max="44" width="12" style="31" customWidth="1"/>
    <col min="45" max="46" width="9" style="31"/>
    <col min="47" max="47" width="9.875" style="31" customWidth="1"/>
    <col min="48" max="16384" width="9" style="31"/>
  </cols>
  <sheetData>
    <row r="1" spans="1:48" x14ac:dyDescent="0.15">
      <c r="A1" s="1" t="s">
        <v>0</v>
      </c>
      <c r="B1" s="35" t="str">
        <f>[1]!cb_info_name(A1)</f>
        <v>南化转债(退市)</v>
      </c>
      <c r="C1" s="42">
        <f xml:space="preserve"> [1]!s_refrmkd_preplandate(A1)</f>
        <v>0</v>
      </c>
      <c r="D1" s="42">
        <f>[1]!cb_war_annodatemeeting(A1)</f>
        <v>0</v>
      </c>
      <c r="E1" s="42">
        <f xml:space="preserve"> [1]!cb_list_permitdate(A1)</f>
        <v>0</v>
      </c>
      <c r="F1" s="42" t="str">
        <f>[1]!cb_list_announcedate(A1)</f>
        <v>1998-07-30</v>
      </c>
      <c r="G1" s="42">
        <f>[1]!cb_list_rationchkindate(A1)</f>
        <v>0</v>
      </c>
      <c r="H1" s="42">
        <f>[1]!cb_list_rationdate(A1)</f>
        <v>0</v>
      </c>
      <c r="I1" s="42">
        <f>[1]!cb_list_rationpaymtdate(A1)</f>
        <v>0</v>
      </c>
      <c r="J1" s="42">
        <f xml:space="preserve"> [1]!cb_list_dateinstoff(A1)</f>
        <v>0</v>
      </c>
      <c r="K1" s="42" t="str">
        <f>[1]!cb_list_dtonl(A1)</f>
        <v>1998-08-03</v>
      </c>
      <c r="L1" s="42" t="str">
        <f>[1]!cb_list_annocedate(A1)</f>
        <v>1998-08-06</v>
      </c>
      <c r="M1" s="42" t="str">
        <f>[1]!cb_list_type(A1)</f>
        <v>上网定价</v>
      </c>
      <c r="N1" s="42" t="str">
        <f>[1]!cb_result_explnration(A1)</f>
        <v>本次发行不安排向原股东配售</v>
      </c>
      <c r="O1" s="1" t="str">
        <f>IF([1]!cb_list_rationcode(A1)=0,"",[1]!cb_list_rationcode(A1))</f>
        <v/>
      </c>
      <c r="P1" s="1" t="str">
        <f>IF(O1="","",[1]!cb_list_rationname(A1))</f>
        <v/>
      </c>
      <c r="Q1" s="1" t="str">
        <f>IF(O1="","",[1]!cb_list_rationprice(A1))</f>
        <v/>
      </c>
      <c r="R1" s="1" t="str">
        <f>IF(O1="","",[1]!cb_list_rationratiode(A1))</f>
        <v/>
      </c>
      <c r="S1" s="43">
        <f>[1]!cb_result_rationamt(A1)</f>
        <v>0</v>
      </c>
      <c r="T1" s="44">
        <f>[1]!cb_list_rationvol(A1)/10000</f>
        <v>0</v>
      </c>
      <c r="U1" s="1">
        <f>[1]!cb_list_originals(A1)</f>
        <v>0</v>
      </c>
      <c r="V1" s="1" t="str">
        <f>IF([1]!cb_list_pchnameonl(A1)=0,"",[1]!cb_list_pchnameonl(A1))</f>
        <v>南化转债</v>
      </c>
      <c r="W1" s="1">
        <f>IF(V1="","",[1]!cb_list_pchpriceonl(A1))</f>
        <v>100</v>
      </c>
      <c r="X1" s="44">
        <f>IF(V1="","",[1]!cb_list_issuevolonl(A1)/10000)</f>
        <v>150</v>
      </c>
      <c r="Y1" s="44" t="str">
        <f>IF([1]!cb_list_volinstoff(A1)=0,"",[1]!cb_list_volinstoff(A1)/10000)</f>
        <v/>
      </c>
      <c r="Z1" s="45">
        <f>[1]!cb_result_rationcode(A1)</f>
        <v>0</v>
      </c>
      <c r="AA1" s="1">
        <f xml:space="preserve"> [1]!cb_result_efinvestornontrad(A1)</f>
        <v>0</v>
      </c>
      <c r="AB1" s="46">
        <f>[1]!cb_result_efamntnontrad(A1)/100000000</f>
        <v>0</v>
      </c>
      <c r="AC1" s="46">
        <f xml:space="preserve"> [1]!cb_result_rationamtnontrad(A1)/100000000</f>
        <v>0</v>
      </c>
      <c r="AD1" s="1">
        <f>[1]!cb_result_efinvestors(A1)</f>
        <v>0</v>
      </c>
      <c r="AE1" s="46">
        <f>[1]!cb_result_efsubscrpamt(A1)/100000000</f>
        <v>0</v>
      </c>
      <c r="AF1" s="46">
        <f xml:space="preserve"> [1]!cb_result_avairationamttrad(A1)/100000000</f>
        <v>0</v>
      </c>
      <c r="AG1" s="46">
        <f xml:space="preserve"> [1]!cb_result_placeamnttrad(A1)/100000000</f>
        <v>0</v>
      </c>
      <c r="AH1" s="46">
        <f>[1]!cb_result_efsubscrponl(A1)/10000</f>
        <v>121.92</v>
      </c>
      <c r="AI1" s="46">
        <f xml:space="preserve"> [1]!cb_result_efsubscrpamtonl(A1)/100000000</f>
        <v>1103.2848899999999</v>
      </c>
      <c r="AJ1" s="46">
        <f xml:space="preserve"> [1]!s_ipo_bfund(A1)/100000000</f>
        <v>0</v>
      </c>
      <c r="AK1" s="46">
        <f xml:space="preserve"> [1]!cb_result_rationamtonl(A1)/100000000</f>
        <v>1.5</v>
      </c>
      <c r="AL1" s="46">
        <f>[1]!cb_result_rationratioonl(A1)</f>
        <v>100</v>
      </c>
      <c r="AM1" s="46">
        <f>[1]!cb_list_excesspchonl(A1)</f>
        <v>735.52329999999995</v>
      </c>
      <c r="AN1" s="47">
        <f>[1]!cb_result_sucrateonl(A1)</f>
        <v>0.13595763</v>
      </c>
      <c r="AO1" s="1" t="str">
        <f>[1]!cb_result_issueonl(A1)</f>
        <v>是</v>
      </c>
      <c r="AP1" s="1">
        <f>[1]!cb_result_efsubscrpoff(A1)</f>
        <v>0</v>
      </c>
      <c r="AQ1" s="48">
        <f>[1]!cb_list_effectpchvoloff(A1)/100000000</f>
        <v>0</v>
      </c>
      <c r="AR1" s="48">
        <f>[1]!cb_result_efsubscrpamtoff(A1)/100000000</f>
        <v>0</v>
      </c>
      <c r="AS1" s="48">
        <f xml:space="preserve"> [1]!s_ipo_op_amount(A1)/100000000</f>
        <v>0</v>
      </c>
      <c r="AT1" s="48">
        <f xml:space="preserve"> [1]!cb_result_rationamtoff(A1)/100000000</f>
        <v>0</v>
      </c>
      <c r="AU1" s="48">
        <f xml:space="preserve"> [1]!cb_result_sucrateoff(A1)</f>
        <v>0</v>
      </c>
      <c r="AV1" s="48">
        <f xml:space="preserve"> [1]!cb_result_balance(A1)/10000</f>
        <v>0</v>
      </c>
    </row>
    <row r="2" spans="1:48" x14ac:dyDescent="0.15">
      <c r="A2" s="29" t="s">
        <v>205</v>
      </c>
    </row>
    <row r="3" spans="1:48" x14ac:dyDescent="0.15">
      <c r="A3" s="29" t="s">
        <v>206</v>
      </c>
      <c r="I3" s="40"/>
    </row>
    <row r="4" spans="1:48" s="12" customFormat="1" ht="42.75" customHeight="1" x14ac:dyDescent="0.15">
      <c r="A4" s="33" t="s">
        <v>112</v>
      </c>
      <c r="B4" s="3" t="s">
        <v>113</v>
      </c>
      <c r="C4" s="7" t="s">
        <v>185</v>
      </c>
      <c r="D4" s="7" t="s">
        <v>186</v>
      </c>
      <c r="E4" s="7" t="s">
        <v>187</v>
      </c>
      <c r="F4" s="7" t="s">
        <v>188</v>
      </c>
      <c r="G4" s="7" t="s">
        <v>189</v>
      </c>
      <c r="H4" s="7" t="s">
        <v>190</v>
      </c>
      <c r="I4" s="7" t="s">
        <v>191</v>
      </c>
      <c r="J4" s="7" t="s">
        <v>192</v>
      </c>
      <c r="K4" s="7" t="s">
        <v>193</v>
      </c>
      <c r="L4" s="7" t="s">
        <v>194</v>
      </c>
      <c r="M4" s="8" t="s">
        <v>195</v>
      </c>
      <c r="N4" s="8" t="s">
        <v>196</v>
      </c>
      <c r="O4" s="8" t="s">
        <v>197</v>
      </c>
      <c r="P4" s="8" t="s">
        <v>198</v>
      </c>
      <c r="Q4" s="9" t="s">
        <v>231</v>
      </c>
      <c r="R4" s="9" t="s">
        <v>199</v>
      </c>
      <c r="S4" s="9" t="s">
        <v>263</v>
      </c>
      <c r="T4" s="9" t="s">
        <v>232</v>
      </c>
      <c r="U4" s="9" t="s">
        <v>233</v>
      </c>
      <c r="V4" s="8" t="s">
        <v>200</v>
      </c>
      <c r="W4" s="9" t="s">
        <v>234</v>
      </c>
      <c r="X4" s="9" t="s">
        <v>251</v>
      </c>
      <c r="Y4" s="9" t="s">
        <v>252</v>
      </c>
      <c r="Z4" s="13" t="s">
        <v>201</v>
      </c>
      <c r="AA4" s="10" t="s">
        <v>253</v>
      </c>
      <c r="AB4" s="9" t="s">
        <v>235</v>
      </c>
      <c r="AC4" s="9" t="s">
        <v>236</v>
      </c>
      <c r="AD4" s="10" t="s">
        <v>237</v>
      </c>
      <c r="AE4" s="9" t="s">
        <v>238</v>
      </c>
      <c r="AF4" s="9" t="s">
        <v>239</v>
      </c>
      <c r="AG4" s="9" t="s">
        <v>240</v>
      </c>
      <c r="AH4" s="10" t="s">
        <v>202</v>
      </c>
      <c r="AI4" s="9" t="s">
        <v>241</v>
      </c>
      <c r="AJ4" s="9" t="s">
        <v>242</v>
      </c>
      <c r="AK4" s="9" t="s">
        <v>243</v>
      </c>
      <c r="AL4" s="9" t="s">
        <v>244</v>
      </c>
      <c r="AM4" s="9" t="s">
        <v>264</v>
      </c>
      <c r="AN4" s="11" t="s">
        <v>245</v>
      </c>
      <c r="AO4" s="8" t="s">
        <v>203</v>
      </c>
      <c r="AP4" s="10" t="s">
        <v>204</v>
      </c>
      <c r="AQ4" s="9" t="s">
        <v>265</v>
      </c>
      <c r="AR4" s="9" t="s">
        <v>246</v>
      </c>
      <c r="AS4" s="9" t="s">
        <v>247</v>
      </c>
      <c r="AT4" s="9" t="s">
        <v>248</v>
      </c>
      <c r="AU4" s="11" t="s">
        <v>249</v>
      </c>
      <c r="AV4" s="9" t="s">
        <v>250</v>
      </c>
    </row>
    <row r="5" spans="1:48" x14ac:dyDescent="0.15">
      <c r="A5" s="34" t="s">
        <v>84</v>
      </c>
      <c r="B5" s="35" t="str">
        <f>[1]!cb_info_name(A5)</f>
        <v>格力转债</v>
      </c>
      <c r="C5" s="42" t="str">
        <f xml:space="preserve"> [1]!s_refrmkd_preplandate(A5)</f>
        <v>2013-09-07</v>
      </c>
      <c r="D5" s="42" t="str">
        <f>[1]!cb_war_annodatemeeting(A5)</f>
        <v>2014-01-14</v>
      </c>
      <c r="E5" s="42" t="str">
        <f xml:space="preserve"> [1]!cb_list_permitdate(A5)</f>
        <v>2014-11-19</v>
      </c>
      <c r="F5" s="42" t="str">
        <f>[1]!cb_list_announcedate(A5)</f>
        <v>2014-12-23</v>
      </c>
      <c r="G5" s="42" t="str">
        <f>[1]!cb_list_rationchkindate(A5)</f>
        <v>2014-12-24</v>
      </c>
      <c r="H5" s="42" t="str">
        <f>[1]!cb_list_rationdate(A5)</f>
        <v>2014-12-25</v>
      </c>
      <c r="I5" s="42" t="str">
        <f>[1]!cb_list_rationpaymtdate(A5)</f>
        <v>2014-12-25</v>
      </c>
      <c r="J5" s="42" t="str">
        <f xml:space="preserve"> [1]!cb_list_dateinstoff(A5)</f>
        <v>2014-12-25</v>
      </c>
      <c r="K5" s="42" t="str">
        <f>[1]!cb_list_dtonl(A5)</f>
        <v>2014-12-25</v>
      </c>
      <c r="L5" s="42" t="str">
        <f>[1]!cb_list_annocedate(A5)</f>
        <v>2014-12-30</v>
      </c>
      <c r="M5" s="42" t="str">
        <f>[1]!cb_list_type(A5)</f>
        <v>优先配售，网上定价和网下配售</v>
      </c>
      <c r="N5" s="42" t="str">
        <f>[1]!cb_result_explnration(A5)</f>
        <v>原股东可优先配售的可转债数量为其在股权登记日收市后（2014年12月24日）登记在册的持有发行人股份数按每股配售1.696元面值可转债的比例计算可配售可转债的金额，并按1,000元/手的比例转换为手数，每1手（10张）为一个申购单位。</v>
      </c>
      <c r="O5" s="1" t="str">
        <f>IF([1]!cb_list_rationcode(A5)=0,"",[1]!cb_list_rationcode(A5))</f>
        <v>704185</v>
      </c>
      <c r="P5" s="1" t="str">
        <f>IF(O5="","",[1]!cb_list_rationname(A5))</f>
        <v>格力配债</v>
      </c>
      <c r="Q5" s="1">
        <f>IF(O5="","",[1]!cb_list_rationprice(A5))</f>
        <v>100</v>
      </c>
      <c r="R5" s="1">
        <f>IF(O5="","",[1]!cb_list_rationratiode(A5))</f>
        <v>1</v>
      </c>
      <c r="S5" s="43">
        <f>[1]!cb_result_rationamt(A5)</f>
        <v>1.696</v>
      </c>
      <c r="T5" s="44">
        <f>[1]!cb_list_rationvol(A5)/10000</f>
        <v>212.25</v>
      </c>
      <c r="U5" s="1">
        <f>[1]!cb_list_originals(A5)</f>
        <v>0</v>
      </c>
      <c r="V5" s="1" t="str">
        <f>IF([1]!cb_list_pchnameonl(A5)=0,"",[1]!cb_list_pchnameonl(A5))</f>
        <v>格力发债</v>
      </c>
      <c r="W5" s="1">
        <f>IF(V5="","",[1]!cb_list_pchpriceonl(A5))</f>
        <v>100</v>
      </c>
      <c r="X5" s="44">
        <f>IF(V5="","",[1]!cb_list_issuevolonl(A5)/10000)</f>
        <v>9.6110000000000007</v>
      </c>
      <c r="Y5" s="44">
        <f>IF([1]!cb_list_volinstoff(A5)=0,"",[1]!cb_list_volinstoff(A5)/10000)</f>
        <v>758.13900000000001</v>
      </c>
      <c r="Z5" s="45" t="str">
        <f>[1]!cb_result_rationcode(A5)</f>
        <v>20%</v>
      </c>
      <c r="AA5" s="1">
        <f xml:space="preserve"> [1]!cb_result_efinvestornontrad(A5)</f>
        <v>0</v>
      </c>
      <c r="AB5" s="46">
        <f>[1]!cb_result_efamntnontrad(A5)/100000000</f>
        <v>0</v>
      </c>
      <c r="AC5" s="46">
        <f xml:space="preserve"> [1]!cb_result_rationamtnontrad(A5)/100000000</f>
        <v>0</v>
      </c>
      <c r="AD5" s="1">
        <f>[1]!cb_result_efinvestors(A5)</f>
        <v>0</v>
      </c>
      <c r="AE5" s="46">
        <f>[1]!cb_result_efsubscrpamt(A5)/100000000</f>
        <v>2.1225000000000001</v>
      </c>
      <c r="AF5" s="46">
        <f xml:space="preserve"> [1]!cb_result_avairationamttrad(A5)/100000000</f>
        <v>9.7960010240000006</v>
      </c>
      <c r="AG5" s="46">
        <f xml:space="preserve"> [1]!cb_result_placeamnttrad(A5)/100000000</f>
        <v>2.1225000000000001</v>
      </c>
      <c r="AH5" s="46">
        <f>[1]!cb_result_efsubscrponl(A5)/10000</f>
        <v>0</v>
      </c>
      <c r="AI5" s="46">
        <f xml:space="preserve"> [1]!cb_result_efsubscrpamtonl(A5)/100000000</f>
        <v>33.754240000000003</v>
      </c>
      <c r="AJ5" s="46">
        <f xml:space="preserve"> [1]!s_ipo_bfund(A5)/100000000</f>
        <v>35.876739999999998</v>
      </c>
      <c r="AK5" s="46">
        <f xml:space="preserve"> [1]!cb_result_rationamtonl(A5)/100000000</f>
        <v>9.6110000000000001E-2</v>
      </c>
      <c r="AL5" s="46">
        <f>[1]!cb_result_rationratioonl(A5)</f>
        <v>0.98071428571428576</v>
      </c>
      <c r="AM5" s="46">
        <f>[1]!cb_list_excesspchonl(A5)</f>
        <v>351.20420000000001</v>
      </c>
      <c r="AN5" s="47">
        <f>[1]!cb_result_sucrateonl(A5)</f>
        <v>0.2847345993</v>
      </c>
      <c r="AO5" s="1" t="str">
        <f>[1]!cb_result_issueonl(A5)</f>
        <v>否</v>
      </c>
      <c r="AP5" s="1">
        <f>[1]!cb_result_efsubscrpoff(A5)</f>
        <v>937</v>
      </c>
      <c r="AQ5" s="48">
        <f>[1]!cb_list_effectpchvoloff(A5)/100000000</f>
        <v>2.6627900000000002</v>
      </c>
      <c r="AR5" s="48">
        <f>[1]!cb_result_efsubscrpamtoff(A5)/100000000</f>
        <v>2662.79</v>
      </c>
      <c r="AS5" s="48">
        <f xml:space="preserve"> [1]!s_ipo_op_amount(A5)/100000000</f>
        <v>532.55799999999999</v>
      </c>
      <c r="AT5" s="48">
        <f xml:space="preserve"> [1]!cb_result_rationamtoff(A5)/100000000</f>
        <v>7.5813899999999999</v>
      </c>
      <c r="AU5" s="48">
        <f xml:space="preserve"> [1]!cb_result_sucrateoff(A5)</f>
        <v>0.28470000000000001</v>
      </c>
      <c r="AV5" s="48">
        <f xml:space="preserve"> [1]!cb_result_balance(A5)/10000</f>
        <v>0</v>
      </c>
    </row>
    <row r="6" spans="1:48" x14ac:dyDescent="0.15">
      <c r="A6" s="34" t="s">
        <v>85</v>
      </c>
      <c r="B6" s="35" t="str">
        <f>[1]!cb_info_name(A6)</f>
        <v>航信转债</v>
      </c>
      <c r="C6" s="42" t="str">
        <f xml:space="preserve"> [1]!s_refrmkd_preplandate(A6)</f>
        <v>2014-07-17</v>
      </c>
      <c r="D6" s="42" t="str">
        <f>[1]!cb_war_annodatemeeting(A6)</f>
        <v>2014-08-19</v>
      </c>
      <c r="E6" s="42" t="str">
        <f xml:space="preserve"> [1]!cb_list_permitdate(A6)</f>
        <v>2015-04-29</v>
      </c>
      <c r="F6" s="42" t="str">
        <f>[1]!cb_list_announcedate(A6)</f>
        <v>2015-06-10</v>
      </c>
      <c r="G6" s="42" t="str">
        <f>[1]!cb_list_rationchkindate(A6)</f>
        <v>2015-06-11</v>
      </c>
      <c r="H6" s="42" t="str">
        <f>[1]!cb_list_rationdate(A6)</f>
        <v>2015-06-12</v>
      </c>
      <c r="I6" s="42" t="str">
        <f>[1]!cb_list_rationpaymtdate(A6)</f>
        <v>2015-06-12</v>
      </c>
      <c r="J6" s="42" t="str">
        <f xml:space="preserve"> [1]!cb_list_dateinstoff(A6)</f>
        <v>2015-06-12</v>
      </c>
      <c r="K6" s="42" t="str">
        <f>[1]!cb_list_dtonl(A6)</f>
        <v>2015-06-12</v>
      </c>
      <c r="L6" s="42" t="str">
        <f>[1]!cb_list_annocedate(A6)</f>
        <v>2015-06-17</v>
      </c>
      <c r="M6" s="42" t="str">
        <f>[1]!cb_list_type(A6)</f>
        <v>优先配售，网上定价和网下配售</v>
      </c>
      <c r="N6" s="42" t="str">
        <f>[1]!cb_result_explnration(A6)</f>
        <v>原A股股东可优先配售的航信转债数量为其在股权登记日（2015年6月11日）收市后登记在册的持有航天信息股份数量按每股配售2.599元面值可转债的比例计算可配售可转债金额，再按1,000元/手的比例转换为手数，每1手为一个申购单位。</v>
      </c>
      <c r="O6" s="1" t="str">
        <f>IF([1]!cb_list_rationcode(A6)=0,"",[1]!cb_list_rationcode(A6))</f>
        <v>704271</v>
      </c>
      <c r="P6" s="1" t="str">
        <f>IF(O6="","",[1]!cb_list_rationname(A6))</f>
        <v>航信配债</v>
      </c>
      <c r="Q6" s="1">
        <f>IF(O6="","",[1]!cb_list_rationprice(A6))</f>
        <v>100</v>
      </c>
      <c r="R6" s="1">
        <f>IF(O6="","",[1]!cb_list_rationratiode(A6))</f>
        <v>1</v>
      </c>
      <c r="S6" s="43">
        <f>[1]!cb_result_rationamt(A6)</f>
        <v>2.5990000000000002</v>
      </c>
      <c r="T6" s="44">
        <f>[1]!cb_list_rationvol(A6)/10000</f>
        <v>1931.973</v>
      </c>
      <c r="U6" s="1">
        <f>[1]!cb_list_originals(A6)</f>
        <v>0</v>
      </c>
      <c r="V6" s="1" t="str">
        <f>IF([1]!cb_list_pchnameonl(A6)=0,"",[1]!cb_list_pchnameonl(A6))</f>
        <v>航信发债</v>
      </c>
      <c r="W6" s="1">
        <f>IF(V6="","",[1]!cb_list_pchpriceonl(A6))</f>
        <v>100</v>
      </c>
      <c r="X6" s="44">
        <f>IF(V6="","",[1]!cb_list_issuevolonl(A6)/10000)</f>
        <v>8.4749999999999996</v>
      </c>
      <c r="Y6" s="44">
        <f>IF([1]!cb_list_volinstoff(A6)=0,"",[1]!cb_list_volinstoff(A6)/10000)</f>
        <v>459.55200000000002</v>
      </c>
      <c r="Z6" s="45" t="str">
        <f>[1]!cb_result_rationcode(A6)</f>
        <v>25%</v>
      </c>
      <c r="AA6" s="1">
        <f xml:space="preserve"> [1]!cb_result_efinvestornontrad(A6)</f>
        <v>0</v>
      </c>
      <c r="AB6" s="46">
        <f>[1]!cb_result_efamntnontrad(A6)/100000000</f>
        <v>0</v>
      </c>
      <c r="AC6" s="46">
        <f xml:space="preserve"> [1]!cb_result_rationamtnontrad(A6)/100000000</f>
        <v>0</v>
      </c>
      <c r="AD6" s="1">
        <f>[1]!cb_result_efinvestors(A6)</f>
        <v>0</v>
      </c>
      <c r="AE6" s="46">
        <f>[1]!cb_result_efsubscrpamt(A6)/100000000</f>
        <v>19.31973</v>
      </c>
      <c r="AF6" s="46">
        <f xml:space="preserve"> [1]!cb_result_avairationamttrad(A6)/100000000</f>
        <v>23.999166000000006</v>
      </c>
      <c r="AG6" s="46">
        <f xml:space="preserve"> [1]!cb_result_placeamnttrad(A6)/100000000</f>
        <v>19.31973</v>
      </c>
      <c r="AH6" s="46">
        <f>[1]!cb_result_efsubscrponl(A6)/10000</f>
        <v>1.8053999999999999</v>
      </c>
      <c r="AI6" s="46">
        <f xml:space="preserve"> [1]!cb_result_efsubscrpamtonl(A6)/100000000</f>
        <v>263.09087</v>
      </c>
      <c r="AJ6" s="46">
        <f xml:space="preserve"> [1]!s_ipo_bfund(A6)/100000000</f>
        <v>282.41059999999999</v>
      </c>
      <c r="AK6" s="46">
        <f xml:space="preserve"> [1]!cb_result_rationamtonl(A6)/100000000</f>
        <v>8.4750000000000006E-2</v>
      </c>
      <c r="AL6" s="46">
        <f>[1]!cb_result_rationratioonl(A6)</f>
        <v>0.35312500000000002</v>
      </c>
      <c r="AM6" s="46">
        <f>[1]!cb_list_excesspchonl(A6)</f>
        <v>3104.3171000000002</v>
      </c>
      <c r="AN6" s="47">
        <f>[1]!cb_result_sucrateonl(A6)</f>
        <v>3.2213204500000002E-2</v>
      </c>
      <c r="AO6" s="1" t="str">
        <f>[1]!cb_result_issueonl(A6)</f>
        <v>否</v>
      </c>
      <c r="AP6" s="1">
        <f>[1]!cb_result_efsubscrpoff(A6)</f>
        <v>2423</v>
      </c>
      <c r="AQ6" s="48">
        <f>[1]!cb_list_effectpchvoloff(A6)/100000000</f>
        <v>14.26666</v>
      </c>
      <c r="AR6" s="48">
        <f>[1]!cb_result_efsubscrpamtoff(A6)/100000000</f>
        <v>14266.66</v>
      </c>
      <c r="AS6" s="48">
        <f xml:space="preserve"> [1]!s_ipo_op_amount(A6)/100000000</f>
        <v>3566.665</v>
      </c>
      <c r="AT6" s="48">
        <f xml:space="preserve"> [1]!cb_result_rationamtoff(A6)/100000000</f>
        <v>4.5955199999999996</v>
      </c>
      <c r="AU6" s="48">
        <f xml:space="preserve"> [1]!cb_result_sucrateoff(A6)</f>
        <v>3.2199999999999999E-2</v>
      </c>
      <c r="AV6" s="48">
        <f xml:space="preserve"> [1]!cb_result_balance(A6)/10000</f>
        <v>0</v>
      </c>
    </row>
    <row r="7" spans="1:48" x14ac:dyDescent="0.15">
      <c r="A7" s="34" t="s">
        <v>86</v>
      </c>
      <c r="B7" s="35" t="str">
        <f>[1]!cb_info_name(A7)</f>
        <v>三一转债</v>
      </c>
      <c r="C7" s="42" t="str">
        <f xml:space="preserve"> [1]!s_refrmkd_preplandate(A7)</f>
        <v>2015-10-24</v>
      </c>
      <c r="D7" s="42" t="str">
        <f>[1]!cb_war_annodatemeeting(A7)</f>
        <v>2015-11-10</v>
      </c>
      <c r="E7" s="42" t="str">
        <f xml:space="preserve"> [1]!cb_list_permitdate(A7)</f>
        <v>2015-05-20</v>
      </c>
      <c r="F7" s="42" t="str">
        <f>[1]!cb_list_announcedate(A7)</f>
        <v>2015-12-30</v>
      </c>
      <c r="G7" s="42" t="str">
        <f>[1]!cb_list_rationchkindate(A7)</f>
        <v>2015-12-31</v>
      </c>
      <c r="H7" s="42" t="str">
        <f>[1]!cb_list_rationdate(A7)</f>
        <v>2016-01-04</v>
      </c>
      <c r="I7" s="42" t="str">
        <f>[1]!cb_list_rationpaymtdate(A7)</f>
        <v>2016-01-04</v>
      </c>
      <c r="J7" s="42" t="str">
        <f xml:space="preserve"> [1]!cb_list_dateinstoff(A7)</f>
        <v>2016-01-04</v>
      </c>
      <c r="K7" s="42" t="str">
        <f>[1]!cb_list_dtonl(A7)</f>
        <v>2016-01-04</v>
      </c>
      <c r="L7" s="42" t="str">
        <f>[1]!cb_list_annocedate(A7)</f>
        <v>2016-01-07</v>
      </c>
      <c r="M7" s="42" t="str">
        <f>[1]!cb_list_type(A7)</f>
        <v>优先配售，网上定价和网下配售</v>
      </c>
      <c r="N7" s="42" t="str">
        <f>[1]!cb_result_explnration(A7)</f>
        <v>原股东可优先配售的可转债数量为其在股权登记日收市后（2015年12月31日）登记在册的持有发行人股份数按每股配售0.59元面值可转债的比例计算可配售可转债的金额，并按1,000元/手的比例转换为手数，每1手（10张）为一个申购单位。</v>
      </c>
      <c r="O7" s="1" t="str">
        <f>IF([1]!cb_list_rationcode(A7)=0,"",[1]!cb_list_rationcode(A7))</f>
        <v>704031</v>
      </c>
      <c r="P7" s="1" t="str">
        <f>IF(O7="","",[1]!cb_list_rationname(A7))</f>
        <v>三一配债</v>
      </c>
      <c r="Q7" s="1">
        <f>IF(O7="","",[1]!cb_list_rationprice(A7))</f>
        <v>100</v>
      </c>
      <c r="R7" s="1">
        <f>IF(O7="","",[1]!cb_list_rationratiode(A7))</f>
        <v>1</v>
      </c>
      <c r="S7" s="43">
        <f>[1]!cb_result_rationamt(A7)</f>
        <v>0.59</v>
      </c>
      <c r="T7" s="44">
        <f>[1]!cb_list_rationvol(A7)/10000</f>
        <v>1001.037</v>
      </c>
      <c r="U7" s="1">
        <f>[1]!cb_list_originals(A7)</f>
        <v>0</v>
      </c>
      <c r="V7" s="1" t="str">
        <f>IF([1]!cb_list_pchnameonl(A7)=0,"",[1]!cb_list_pchnameonl(A7))</f>
        <v>三一发债</v>
      </c>
      <c r="W7" s="1">
        <f>IF(V7="","",[1]!cb_list_pchpriceonl(A7))</f>
        <v>100</v>
      </c>
      <c r="X7" s="44">
        <f>IF(V7="","",[1]!cb_list_issuevolonl(A7)/10000)</f>
        <v>9.673</v>
      </c>
      <c r="Y7" s="44">
        <f>IF([1]!cb_list_volinstoff(A7)=0,"",[1]!cb_list_volinstoff(A7)/10000)</f>
        <v>3489.29</v>
      </c>
      <c r="Z7" s="45" t="str">
        <f>[1]!cb_result_rationcode(A7)</f>
        <v>30%</v>
      </c>
      <c r="AA7" s="1">
        <f xml:space="preserve"> [1]!cb_result_efinvestornontrad(A7)</f>
        <v>0</v>
      </c>
      <c r="AB7" s="46">
        <f>[1]!cb_result_efamntnontrad(A7)/100000000</f>
        <v>9.2300000000000004E-3</v>
      </c>
      <c r="AC7" s="46">
        <f xml:space="preserve"> [1]!cb_result_rationamtnontrad(A7)/100000000</f>
        <v>9.2300000000000004E-3</v>
      </c>
      <c r="AD7" s="1">
        <f>[1]!cb_result_efinvestors(A7)</f>
        <v>0</v>
      </c>
      <c r="AE7" s="46">
        <f>[1]!cb_result_efsubscrpamt(A7)/100000000</f>
        <v>10.001139999999999</v>
      </c>
      <c r="AF7" s="46">
        <f xml:space="preserve"> [1]!cb_result_avairationamttrad(A7)/100000000</f>
        <v>44.802866208299996</v>
      </c>
      <c r="AG7" s="46">
        <f xml:space="preserve"> [1]!cb_result_placeamnttrad(A7)/100000000</f>
        <v>10.001139999999999</v>
      </c>
      <c r="AH7" s="46">
        <f>[1]!cb_result_efsubscrponl(A7)/10000</f>
        <v>0.32390000000000002</v>
      </c>
      <c r="AI7" s="46">
        <f xml:space="preserve"> [1]!cb_result_efsubscrpamtonl(A7)/100000000</f>
        <v>26.22054</v>
      </c>
      <c r="AJ7" s="46">
        <f xml:space="preserve"> [1]!s_ipo_bfund(A7)/100000000</f>
        <v>36.221679999999999</v>
      </c>
      <c r="AK7" s="46">
        <f xml:space="preserve"> [1]!cb_result_rationamtonl(A7)/100000000</f>
        <v>9.6729999999999997E-2</v>
      </c>
      <c r="AL7" s="46">
        <f>[1]!cb_result_rationratioonl(A7)</f>
        <v>0.21495555555555557</v>
      </c>
      <c r="AM7" s="46">
        <f>[1]!cb_list_excesspchonl(A7)</f>
        <v>271.06939999999997</v>
      </c>
      <c r="AN7" s="47">
        <f>[1]!cb_result_sucrateonl(A7)</f>
        <v>0.36890925969999999</v>
      </c>
      <c r="AO7" s="1" t="str">
        <f>[1]!cb_result_issueonl(A7)</f>
        <v>否</v>
      </c>
      <c r="AP7" s="1">
        <f>[1]!cb_result_efsubscrpoff(A7)</f>
        <v>920</v>
      </c>
      <c r="AQ7" s="48">
        <f>[1]!cb_list_effectpchvoloff(A7)/100000000</f>
        <v>9.4589099999999995</v>
      </c>
      <c r="AR7" s="48">
        <f>[1]!cb_result_efsubscrpamtoff(A7)/100000000</f>
        <v>9458.91</v>
      </c>
      <c r="AS7" s="48">
        <f xml:space="preserve"> [1]!s_ipo_op_amount(A7)/100000000</f>
        <v>2837.6822299999999</v>
      </c>
      <c r="AT7" s="48">
        <f xml:space="preserve"> [1]!cb_result_rationamtoff(A7)/100000000</f>
        <v>34.892899999999997</v>
      </c>
      <c r="AU7" s="48">
        <f xml:space="preserve"> [1]!cb_result_sucrateoff(A7)</f>
        <v>0.36888923000000001</v>
      </c>
      <c r="AV7" s="48">
        <f xml:space="preserve"> [1]!cb_result_balance(A7)/10000</f>
        <v>0</v>
      </c>
    </row>
    <row r="8" spans="1:48" x14ac:dyDescent="0.15">
      <c r="A8" s="34" t="s">
        <v>87</v>
      </c>
      <c r="B8" s="35" t="str">
        <f>[1]!cb_info_name(A8)</f>
        <v>国贸转债</v>
      </c>
      <c r="C8" s="42" t="str">
        <f xml:space="preserve"> [1]!s_refrmkd_preplandate(A8)</f>
        <v>2015-02-04</v>
      </c>
      <c r="D8" s="42" t="str">
        <f>[1]!cb_war_annodatemeeting(A8)</f>
        <v>2015-02-28</v>
      </c>
      <c r="E8" s="42" t="str">
        <f xml:space="preserve"> [1]!cb_list_permitdate(A8)</f>
        <v>2015-05-29</v>
      </c>
      <c r="F8" s="42" t="str">
        <f>[1]!cb_list_announcedate(A8)</f>
        <v>2015-12-31</v>
      </c>
      <c r="G8" s="42" t="str">
        <f>[1]!cb_list_rationchkindate(A8)</f>
        <v>2016-01-04</v>
      </c>
      <c r="H8" s="42" t="str">
        <f>[1]!cb_list_rationdate(A8)</f>
        <v>2016-01-05</v>
      </c>
      <c r="I8" s="42" t="str">
        <f>[1]!cb_list_rationpaymtdate(A8)</f>
        <v>2016-01-05</v>
      </c>
      <c r="J8" s="42" t="str">
        <f xml:space="preserve"> [1]!cb_list_dateinstoff(A8)</f>
        <v>2016-01-05</v>
      </c>
      <c r="K8" s="42" t="str">
        <f>[1]!cb_list_dtonl(A8)</f>
        <v>2016-01-05</v>
      </c>
      <c r="L8" s="42" t="str">
        <f>[1]!cb_list_annocedate(A8)</f>
        <v>2016-01-08</v>
      </c>
      <c r="M8" s="42" t="str">
        <f>[1]!cb_list_type(A8)</f>
        <v>优先配售，网上定价和网下配售</v>
      </c>
      <c r="N8" s="42" t="str">
        <f>[1]!cb_result_explnration(A8)</f>
        <v>原股东可优先配售的国贸转债数量为其在股权登记日收市后登记在册的持有“厦门国贸”股份数量按每股配售1.682元面值可转债的比例，再按1,000元/手转换为手数，每1手为一个申购单位。</v>
      </c>
      <c r="O8" s="1" t="str">
        <f>IF([1]!cb_list_rationcode(A8)=0,"",[1]!cb_list_rationcode(A8))</f>
        <v>704755</v>
      </c>
      <c r="P8" s="1" t="str">
        <f>IF(O8="","",[1]!cb_list_rationname(A8))</f>
        <v>国贸配债</v>
      </c>
      <c r="Q8" s="1">
        <f>IF(O8="","",[1]!cb_list_rationprice(A8))</f>
        <v>100</v>
      </c>
      <c r="R8" s="1">
        <f>IF(O8="","",[1]!cb_list_rationratiode(A8))</f>
        <v>1</v>
      </c>
      <c r="S8" s="43">
        <f>[1]!cb_result_rationamt(A8)</f>
        <v>1.6819999999999999</v>
      </c>
      <c r="T8" s="44">
        <f>[1]!cb_list_rationvol(A8)/10000</f>
        <v>1450.0450000000001</v>
      </c>
      <c r="U8" s="1">
        <f>[1]!cb_list_originals(A8)</f>
        <v>0</v>
      </c>
      <c r="V8" s="1" t="str">
        <f>IF([1]!cb_list_pchnameonl(A8)=0,"",[1]!cb_list_pchnameonl(A8))</f>
        <v>国贸发债</v>
      </c>
      <c r="W8" s="1">
        <f>IF(V8="","",[1]!cb_list_pchpriceonl(A8))</f>
        <v>100</v>
      </c>
      <c r="X8" s="44">
        <f>IF(V8="","",[1]!cb_list_issuevolonl(A8)/10000)</f>
        <v>4.9589999999999996</v>
      </c>
      <c r="Y8" s="44">
        <f>IF([1]!cb_list_volinstoff(A8)=0,"",[1]!cb_list_volinstoff(A8)/10000)</f>
        <v>1344.9960000000001</v>
      </c>
      <c r="Z8" s="45" t="str">
        <f>[1]!cb_result_rationcode(A8)</f>
        <v>25%</v>
      </c>
      <c r="AA8" s="1">
        <f xml:space="preserve"> [1]!cb_result_efinvestornontrad(A8)</f>
        <v>0</v>
      </c>
      <c r="AB8" s="46">
        <f>[1]!cb_result_efamntnontrad(A8)/100000000</f>
        <v>0</v>
      </c>
      <c r="AC8" s="46">
        <f xml:space="preserve"> [1]!cb_result_rationamtnontrad(A8)/100000000</f>
        <v>0</v>
      </c>
      <c r="AD8" s="1">
        <f>[1]!cb_result_efinvestors(A8)</f>
        <v>0</v>
      </c>
      <c r="AE8" s="46">
        <f>[1]!cb_result_efsubscrpamt(A8)/100000000</f>
        <v>0</v>
      </c>
      <c r="AF8" s="46">
        <f xml:space="preserve"> [1]!cb_result_avairationamttrad(A8)/100000000</f>
        <v>27.996385770039996</v>
      </c>
      <c r="AG8" s="46">
        <f xml:space="preserve"> [1]!cb_result_placeamnttrad(A8)/100000000</f>
        <v>0</v>
      </c>
      <c r="AH8" s="46">
        <f>[1]!cb_result_efsubscrponl(A8)/10000</f>
        <v>0.3175</v>
      </c>
      <c r="AI8" s="46">
        <f xml:space="preserve"> [1]!cb_result_efsubscrpamtonl(A8)/100000000</f>
        <v>45.863840000000003</v>
      </c>
      <c r="AJ8" s="46">
        <f xml:space="preserve"> [1]!s_ipo_bfund(A8)/100000000</f>
        <v>60.364289999999997</v>
      </c>
      <c r="AK8" s="46">
        <f xml:space="preserve"> [1]!cb_result_rationamtonl(A8)/100000000</f>
        <v>4.9590000000000002E-2</v>
      </c>
      <c r="AL8" s="46">
        <f>[1]!cb_result_rationratioonl(A8)</f>
        <v>0.17710714285714285</v>
      </c>
      <c r="AM8" s="46">
        <f>[1]!cb_list_excesspchonl(A8)</f>
        <v>924.86069999999995</v>
      </c>
      <c r="AN8" s="47">
        <f>[1]!cb_result_sucrateonl(A8)</f>
        <v>0.1081244</v>
      </c>
      <c r="AO8" s="1" t="str">
        <f>[1]!cb_result_issueonl(A8)</f>
        <v>否</v>
      </c>
      <c r="AP8" s="1">
        <f>[1]!cb_result_efsubscrpoff(A8)</f>
        <v>1339</v>
      </c>
      <c r="AQ8" s="48">
        <f>[1]!cb_list_effectpchvoloff(A8)/100000000</f>
        <v>12.439959999999999</v>
      </c>
      <c r="AR8" s="48">
        <f>[1]!cb_result_efsubscrpamtoff(A8)/100000000</f>
        <v>12439.96</v>
      </c>
      <c r="AS8" s="48">
        <f xml:space="preserve"> [1]!s_ipo_op_amount(A8)/100000000</f>
        <v>3109.99</v>
      </c>
      <c r="AT8" s="48">
        <f xml:space="preserve"> [1]!cb_result_rationamtoff(A8)/100000000</f>
        <v>13.449960000000001</v>
      </c>
      <c r="AU8" s="48">
        <f xml:space="preserve"> [1]!cb_result_sucrateoff(A8)</f>
        <v>0.1081189972</v>
      </c>
      <c r="AV8" s="48">
        <f xml:space="preserve"> [1]!cb_result_balance(A8)/10000</f>
        <v>0</v>
      </c>
    </row>
    <row r="9" spans="1:48" x14ac:dyDescent="0.15">
      <c r="A9" s="34" t="s">
        <v>88</v>
      </c>
      <c r="B9" s="35" t="str">
        <f>[1]!cb_info_name(A9)</f>
        <v>九州转债</v>
      </c>
      <c r="C9" s="42" t="str">
        <f xml:space="preserve"> [1]!s_refrmkd_preplandate(A9)</f>
        <v>2015-12-04</v>
      </c>
      <c r="D9" s="42" t="str">
        <f>[1]!cb_war_annodatemeeting(A9)</f>
        <v>2015-12-22</v>
      </c>
      <c r="E9" s="42" t="str">
        <f xml:space="preserve"> [1]!cb_list_permitdate(A9)</f>
        <v>2015-05-29</v>
      </c>
      <c r="F9" s="42" t="str">
        <f>[1]!cb_list_announcedate(A9)</f>
        <v>2016-01-13</v>
      </c>
      <c r="G9" s="42" t="str">
        <f>[1]!cb_list_rationchkindate(A9)</f>
        <v>2016-01-14</v>
      </c>
      <c r="H9" s="42" t="str">
        <f>[1]!cb_list_rationdate(A9)</f>
        <v>2016-01-15</v>
      </c>
      <c r="I9" s="42" t="str">
        <f>[1]!cb_list_rationpaymtdate(A9)</f>
        <v>2016-01-15</v>
      </c>
      <c r="J9" s="42" t="str">
        <f xml:space="preserve"> [1]!cb_list_dateinstoff(A9)</f>
        <v>2016-01-15</v>
      </c>
      <c r="K9" s="42" t="str">
        <f>[1]!cb_list_dtonl(A9)</f>
        <v>2016-01-15</v>
      </c>
      <c r="L9" s="42" t="str">
        <f>[1]!cb_list_annocedate(A9)</f>
        <v>2016-01-20</v>
      </c>
      <c r="M9" s="42" t="str">
        <f>[1]!cb_list_type(A9)</f>
        <v>优先配售，网上定价和网下配售</v>
      </c>
      <c r="N9" s="42" t="str">
        <f>[1]!cb_result_explnration(A9)</f>
        <v>原A股股东可优先配售的可转债数量为其在股权登记日收市后登记在册的持有发行人股份数按每股配售0.91元可转债的比例计算可配售可转债金额，再按每1,000元为1手转换成手数。</v>
      </c>
      <c r="O9" s="1" t="str">
        <f>IF([1]!cb_list_rationcode(A9)=0,"",[1]!cb_list_rationcode(A9))</f>
        <v>704998</v>
      </c>
      <c r="P9" s="1" t="str">
        <f>IF(O9="","",[1]!cb_list_rationname(A9))</f>
        <v>九州配债</v>
      </c>
      <c r="Q9" s="1">
        <f>IF(O9="","",[1]!cb_list_rationprice(A9))</f>
        <v>100</v>
      </c>
      <c r="R9" s="1">
        <f>IF(O9="","",[1]!cb_list_rationratiode(A9))</f>
        <v>1</v>
      </c>
      <c r="S9" s="43">
        <f>[1]!cb_result_rationamt(A9)</f>
        <v>0.91</v>
      </c>
      <c r="T9" s="44">
        <f>[1]!cb_list_rationvol(A9)/10000</f>
        <v>914.98500000000001</v>
      </c>
      <c r="U9" s="1">
        <f>[1]!cb_list_originals(A9)</f>
        <v>0</v>
      </c>
      <c r="V9" s="1" t="str">
        <f>IF([1]!cb_list_pchnameonl(A9)=0,"",[1]!cb_list_pchnameonl(A9))</f>
        <v>九州发债</v>
      </c>
      <c r="W9" s="1">
        <f>IF(V9="","",[1]!cb_list_pchpriceonl(A9))</f>
        <v>100</v>
      </c>
      <c r="X9" s="44">
        <f>IF(V9="","",[1]!cb_list_issuevolonl(A9)/10000)</f>
        <v>2.4710000000000001</v>
      </c>
      <c r="Y9" s="44">
        <f>IF([1]!cb_list_volinstoff(A9)=0,"",[1]!cb_list_volinstoff(A9)/10000)</f>
        <v>582.54399999999998</v>
      </c>
      <c r="Z9" s="45" t="str">
        <f>[1]!cb_result_rationcode(A9)</f>
        <v>30%</v>
      </c>
      <c r="AA9" s="1">
        <f xml:space="preserve"> [1]!cb_result_efinvestornontrad(A9)</f>
        <v>0</v>
      </c>
      <c r="AB9" s="46">
        <f>[1]!cb_result_efamntnontrad(A9)/100000000</f>
        <v>0.27997</v>
      </c>
      <c r="AC9" s="46">
        <f xml:space="preserve"> [1]!cb_result_rationamtnontrad(A9)/100000000</f>
        <v>0.27997</v>
      </c>
      <c r="AD9" s="1">
        <f>[1]!cb_result_efinvestors(A9)</f>
        <v>0</v>
      </c>
      <c r="AE9" s="46">
        <f>[1]!cb_result_efsubscrpamt(A9)/100000000</f>
        <v>8.8698800000000002</v>
      </c>
      <c r="AF9" s="46">
        <f xml:space="preserve"> [1]!cb_result_avairationamttrad(A9)/100000000</f>
        <v>13.016729898900001</v>
      </c>
      <c r="AG9" s="46">
        <f xml:space="preserve"> [1]!cb_result_placeamnttrad(A9)/100000000</f>
        <v>8.8698800000000002</v>
      </c>
      <c r="AH9" s="46">
        <f>[1]!cb_result_efsubscrponl(A9)/10000</f>
        <v>0</v>
      </c>
      <c r="AI9" s="46">
        <f xml:space="preserve"> [1]!cb_result_efsubscrpamtonl(A9)/100000000</f>
        <v>24.435359999999999</v>
      </c>
      <c r="AJ9" s="46">
        <f xml:space="preserve"> [1]!s_ipo_bfund(A9)/100000000</f>
        <v>33.305239999999998</v>
      </c>
      <c r="AK9" s="46">
        <f xml:space="preserve"> [1]!cb_result_rationamtonl(A9)/100000000</f>
        <v>2.4709999999999999E-2</v>
      </c>
      <c r="AL9" s="46">
        <f>[1]!cb_result_rationratioonl(A9)</f>
        <v>0.16473333333333334</v>
      </c>
      <c r="AM9" s="46">
        <f>[1]!cb_list_excesspchonl(A9)</f>
        <v>988.88549999999998</v>
      </c>
      <c r="AN9" s="47">
        <f>[1]!cb_result_sucrateonl(A9)</f>
        <v>0.10112394500000001</v>
      </c>
      <c r="AO9" s="1" t="str">
        <f>[1]!cb_result_issueonl(A9)</f>
        <v>否</v>
      </c>
      <c r="AP9" s="1">
        <f>[1]!cb_result_efsubscrpoff(A9)</f>
        <v>960</v>
      </c>
      <c r="AQ9" s="48">
        <f>[1]!cb_list_effectpchvoloff(A9)/100000000</f>
        <v>5.7593100000000002</v>
      </c>
      <c r="AR9" s="48">
        <f>[1]!cb_result_efsubscrpamtoff(A9)/100000000</f>
        <v>5759.31</v>
      </c>
      <c r="AS9" s="48">
        <f xml:space="preserve"> [1]!s_ipo_op_amount(A9)/100000000</f>
        <v>1728.0729699999999</v>
      </c>
      <c r="AT9" s="48">
        <f xml:space="preserve"> [1]!cb_result_rationamtoff(A9)/100000000</f>
        <v>5.8254400000000004</v>
      </c>
      <c r="AU9" s="48">
        <f xml:space="preserve"> [1]!cb_result_sucrateoff(A9)</f>
        <v>0.10114823000000001</v>
      </c>
      <c r="AV9" s="48">
        <f xml:space="preserve"> [1]!cb_result_balance(A9)/10000</f>
        <v>0</v>
      </c>
    </row>
    <row r="10" spans="1:48" x14ac:dyDescent="0.15">
      <c r="A10" s="34" t="s">
        <v>89</v>
      </c>
      <c r="B10" s="35" t="str">
        <f>[1]!cb_info_name(A10)</f>
        <v>济川转债</v>
      </c>
      <c r="C10" s="42" t="str">
        <f xml:space="preserve"> [1]!s_refrmkd_preplandate(A10)</f>
        <v>2017-05-10</v>
      </c>
      <c r="D10" s="42" t="str">
        <f>[1]!cb_war_annodatemeeting(A10)</f>
        <v>2017-05-26</v>
      </c>
      <c r="E10" s="42" t="str">
        <f xml:space="preserve"> [1]!cb_list_permitdate(A10)</f>
        <v>2017-08-15</v>
      </c>
      <c r="F10" s="42" t="str">
        <f>[1]!cb_list_announcedate(A10)</f>
        <v>2017-11-09</v>
      </c>
      <c r="G10" s="42" t="str">
        <f>[1]!cb_list_rationchkindate(A10)</f>
        <v>2017-11-10</v>
      </c>
      <c r="H10" s="42" t="str">
        <f>[1]!cb_list_rationdate(A10)</f>
        <v>2017-11-13</v>
      </c>
      <c r="I10" s="42" t="str">
        <f>[1]!cb_list_rationpaymtdate(A10)</f>
        <v>2017-11-13</v>
      </c>
      <c r="J10" s="42">
        <f xml:space="preserve"> [1]!cb_list_dateinstoff(A10)</f>
        <v>0</v>
      </c>
      <c r="K10" s="42" t="str">
        <f>[1]!cb_list_dtonl(A10)</f>
        <v>2017-11-13</v>
      </c>
      <c r="L10" s="42" t="str">
        <f>[1]!cb_list_annocedate(A10)</f>
        <v>2017-11-17</v>
      </c>
      <c r="M10" s="42" t="str">
        <f>[1]!cb_list_type(A10)</f>
        <v>优先配售和上网定价</v>
      </c>
      <c r="N10" s="42" t="str">
        <f>[1]!cb_result_explnration(A10)</f>
        <v>原股东可优先配售的济川转债数量为其在股权登记日（2017年11月10日，T-1日）收市后登记在册的持有济川药业的股份数量按每股配售1.041元面值可转债的比例计算可配售可转债金额，再按1000元/手转换为手数，每一手为一个申购单位。原股东网上优先配售不足1手部分按照精确算法取整。</v>
      </c>
      <c r="O10" s="1" t="str">
        <f>IF([1]!cb_list_rationcode(A10)=0,"",[1]!cb_list_rationcode(A10))</f>
        <v>704566</v>
      </c>
      <c r="P10" s="1" t="str">
        <f>IF(O10="","",[1]!cb_list_rationname(A10))</f>
        <v>济川配债</v>
      </c>
      <c r="Q10" s="1">
        <f>IF(O10="","",[1]!cb_list_rationprice(A10))</f>
        <v>100</v>
      </c>
      <c r="R10" s="1">
        <f>IF(O10="","",[1]!cb_list_rationratiode(A10))</f>
        <v>1</v>
      </c>
      <c r="S10" s="43">
        <f>[1]!cb_result_rationamt(A10)</f>
        <v>1.0409999999999999</v>
      </c>
      <c r="T10" s="44">
        <f>[1]!cb_list_rationvol(A10)/10000</f>
        <v>127.871</v>
      </c>
      <c r="U10" s="1">
        <f>[1]!cb_list_originals(A10)</f>
        <v>0</v>
      </c>
      <c r="V10" s="1" t="str">
        <f>IF([1]!cb_list_pchnameonl(A10)=0,"",[1]!cb_list_pchnameonl(A10))</f>
        <v>济川发债</v>
      </c>
      <c r="W10" s="1">
        <f>IF(V10="","",[1]!cb_list_pchpriceonl(A10))</f>
        <v>100</v>
      </c>
      <c r="X10" s="44">
        <f>IF(V10="","",[1]!cb_list_issuevolonl(A10)/10000)</f>
        <v>708.92</v>
      </c>
      <c r="Y10" s="44" t="str">
        <f>IF([1]!cb_list_volinstoff(A10)=0,"",[1]!cb_list_volinstoff(A10)/10000)</f>
        <v/>
      </c>
      <c r="Z10" s="45">
        <f>[1]!cb_result_rationcode(A10)</f>
        <v>0</v>
      </c>
      <c r="AA10" s="1">
        <f xml:space="preserve"> [1]!cb_result_efinvestornontrad(A10)</f>
        <v>0</v>
      </c>
      <c r="AB10" s="46">
        <f>[1]!cb_result_efamntnontrad(A10)/100000000</f>
        <v>0</v>
      </c>
      <c r="AC10" s="46">
        <f xml:space="preserve"> [1]!cb_result_rationamtnontrad(A10)/100000000</f>
        <v>0</v>
      </c>
      <c r="AD10" s="1">
        <f>[1]!cb_result_efinvestors(A10)</f>
        <v>0</v>
      </c>
      <c r="AE10" s="46">
        <f>[1]!cb_result_efsubscrpamt(A10)/100000000</f>
        <v>1.27871</v>
      </c>
      <c r="AF10" s="46">
        <f xml:space="preserve"> [1]!cb_result_avairationamttrad(A10)/100000000</f>
        <v>8.4281858295899994</v>
      </c>
      <c r="AG10" s="46">
        <f xml:space="preserve"> [1]!cb_result_placeamnttrad(A10)/100000000</f>
        <v>1.27871</v>
      </c>
      <c r="AH10" s="46">
        <f>[1]!cb_result_efsubscrponl(A10)/10000</f>
        <v>641.02030000000002</v>
      </c>
      <c r="AI10" s="46">
        <f xml:space="preserve"> [1]!cb_result_efsubscrpamtonl(A10)/100000000</f>
        <v>61816.046929999997</v>
      </c>
      <c r="AJ10" s="46">
        <f xml:space="preserve"> [1]!s_ipo_bfund(A10)/100000000</f>
        <v>61817.325640000003</v>
      </c>
      <c r="AK10" s="46">
        <f xml:space="preserve"> [1]!cb_result_rationamtonl(A10)/100000000</f>
        <v>7.0891999999999999</v>
      </c>
      <c r="AL10" s="46">
        <f>[1]!cb_result_rationratioonl(A10)</f>
        <v>84.078941126239386</v>
      </c>
      <c r="AM10" s="46">
        <f>[1]!cb_list_excesspchonl(A10)</f>
        <v>8719.7492999999995</v>
      </c>
      <c r="AN10" s="47">
        <f>[1]!cb_result_sucrateonl(A10)</f>
        <v>1.1468219599999999E-2</v>
      </c>
      <c r="AO10" s="1" t="str">
        <f>[1]!cb_result_issueonl(A10)</f>
        <v>是</v>
      </c>
      <c r="AP10" s="1">
        <f>[1]!cb_result_efsubscrpoff(A10)</f>
        <v>0</v>
      </c>
      <c r="AQ10" s="48">
        <f>[1]!cb_list_effectpchvoloff(A10)/100000000</f>
        <v>0</v>
      </c>
      <c r="AR10" s="48">
        <f>[1]!cb_result_efsubscrpamtoff(A10)/100000000</f>
        <v>0</v>
      </c>
      <c r="AS10" s="48">
        <f xml:space="preserve"> [1]!s_ipo_op_amount(A10)/100000000</f>
        <v>0</v>
      </c>
      <c r="AT10" s="48">
        <f xml:space="preserve"> [1]!cb_result_rationamtoff(A10)/100000000</f>
        <v>0</v>
      </c>
      <c r="AU10" s="48">
        <f xml:space="preserve"> [1]!cb_result_sucrateoff(A10)</f>
        <v>0</v>
      </c>
      <c r="AV10" s="48">
        <f xml:space="preserve"> [1]!cb_result_balance(A10)/10000</f>
        <v>636.9</v>
      </c>
    </row>
    <row r="11" spans="1:48" x14ac:dyDescent="0.15">
      <c r="A11" s="34" t="s">
        <v>266</v>
      </c>
      <c r="B11" s="35" t="str">
        <f>[1]!cb_info_name(A11)</f>
        <v>宝信转债</v>
      </c>
      <c r="C11" s="42" t="str">
        <f xml:space="preserve"> [1]!s_refrmkd_preplandate(A11)</f>
        <v>2016-10-25</v>
      </c>
      <c r="D11" s="42" t="str">
        <f>[1]!cb_war_annodatemeeting(A11)</f>
        <v>2016-12-22</v>
      </c>
      <c r="E11" s="42" t="str">
        <f xml:space="preserve"> [1]!cb_list_permitdate(A11)</f>
        <v>2017-07-22</v>
      </c>
      <c r="F11" s="42" t="str">
        <f>[1]!cb_list_announcedate(A11)</f>
        <v>2017-11-15</v>
      </c>
      <c r="G11" s="42" t="str">
        <f>[1]!cb_list_rationchkindate(A11)</f>
        <v>2017-11-16</v>
      </c>
      <c r="H11" s="42" t="str">
        <f>[1]!cb_list_rationdate(A11)</f>
        <v>2017-11-17</v>
      </c>
      <c r="I11" s="42" t="str">
        <f>[1]!cb_list_rationpaymtdate(A11)</f>
        <v>2017-11-17</v>
      </c>
      <c r="J11" s="42">
        <f xml:space="preserve"> [1]!cb_list_dateinstoff(A11)</f>
        <v>0</v>
      </c>
      <c r="K11" s="42" t="str">
        <f>[1]!cb_list_dtonl(A11)</f>
        <v>2017-11-17</v>
      </c>
      <c r="L11" s="42" t="str">
        <f>[1]!cb_list_annocedate(A11)</f>
        <v>2017-11-23</v>
      </c>
      <c r="M11" s="42" t="str">
        <f>[1]!cb_list_type(A11)</f>
        <v>优先配售和上网定价</v>
      </c>
      <c r="N11" s="42" t="str">
        <f>[1]!cb_result_explnration(A11)</f>
        <v>原A股股东可优先配售的可转债数量为其在股权登记日（2017年11月16日，T-1日）收市后登记在册的持有发行人A股股份数按每股配售2.885元面值可转债的比例计算可配售可转债的金额，并按1,000元/手的比例转换为手数，每1手为一个申购单位。</v>
      </c>
      <c r="O11" s="1" t="str">
        <f>IF([1]!cb_list_rationcode(A11)=0,"",[1]!cb_list_rationcode(A11))</f>
        <v>704845</v>
      </c>
      <c r="P11" s="1" t="str">
        <f>IF(O11="","",[1]!cb_list_rationname(A11))</f>
        <v>宝信配债</v>
      </c>
      <c r="Q11" s="1">
        <f>IF(O11="","",[1]!cb_list_rationprice(A11))</f>
        <v>100</v>
      </c>
      <c r="R11" s="1">
        <f>IF(O11="","",[1]!cb_list_rationratiode(A11))</f>
        <v>1</v>
      </c>
      <c r="S11" s="43">
        <f>[1]!cb_result_rationamt(A11)</f>
        <v>2.8849999999999998</v>
      </c>
      <c r="T11" s="44">
        <f>[1]!cb_list_rationvol(A11)/10000</f>
        <v>0</v>
      </c>
      <c r="U11" s="1">
        <f>[1]!cb_list_originals(A11)</f>
        <v>0</v>
      </c>
      <c r="V11" s="1" t="str">
        <f>IF([1]!cb_list_pchnameonl(A11)=0,"",[1]!cb_list_pchnameonl(A11))</f>
        <v>宝信发债</v>
      </c>
      <c r="W11" s="1">
        <f>IF(V11="","",[1]!cb_list_pchpriceonl(A11))</f>
        <v>100</v>
      </c>
      <c r="X11" s="44">
        <f>IF(V11="","",[1]!cb_list_issuevolonl(A11)/10000)</f>
        <v>0</v>
      </c>
      <c r="Y11" s="44" t="str">
        <f>IF([1]!cb_list_volinstoff(A11)=0,"",[1]!cb_list_volinstoff(A11)/10000)</f>
        <v/>
      </c>
      <c r="Z11" s="45">
        <f>[1]!cb_result_rationcode(A11)</f>
        <v>0</v>
      </c>
      <c r="AA11" s="1">
        <f xml:space="preserve"> [1]!cb_result_efinvestornontrad(A11)</f>
        <v>0</v>
      </c>
      <c r="AB11" s="46">
        <f>[1]!cb_result_efamntnontrad(A11)/100000000</f>
        <v>0</v>
      </c>
      <c r="AC11" s="46">
        <f xml:space="preserve"> [1]!cb_result_rationamtnontrad(A11)/100000000</f>
        <v>0</v>
      </c>
      <c r="AD11" s="1">
        <f>[1]!cb_result_efinvestors(A11)</f>
        <v>0</v>
      </c>
      <c r="AE11" s="46">
        <f>[1]!cb_result_efsubscrpamt(A11)/100000000</f>
        <v>0</v>
      </c>
      <c r="AF11" s="46">
        <f xml:space="preserve"> [1]!cb_result_avairationamttrad(A11)/100000000</f>
        <v>21.716316180499998</v>
      </c>
      <c r="AG11" s="46">
        <f xml:space="preserve"> [1]!cb_result_placeamnttrad(A11)/100000000</f>
        <v>0</v>
      </c>
      <c r="AH11" s="46">
        <f>[1]!cb_result_efsubscrponl(A11)/10000</f>
        <v>0</v>
      </c>
      <c r="AI11" s="46">
        <f xml:space="preserve"> [1]!cb_result_efsubscrpamtonl(A11)/100000000</f>
        <v>0</v>
      </c>
      <c r="AJ11" s="46">
        <f xml:space="preserve"> [1]!s_ipo_bfund(A11)/100000000</f>
        <v>0</v>
      </c>
      <c r="AK11" s="46">
        <f xml:space="preserve"> [1]!cb_result_rationamtonl(A11)/100000000</f>
        <v>0</v>
      </c>
      <c r="AL11" s="46">
        <f>[1]!cb_result_rationratioonl(A11)</f>
        <v>0</v>
      </c>
      <c r="AM11" s="46">
        <f>[1]!cb_list_excesspchonl(A11)</f>
        <v>0</v>
      </c>
      <c r="AN11" s="47">
        <f>[1]!cb_result_sucrateonl(A11)</f>
        <v>0</v>
      </c>
      <c r="AO11" s="1" t="str">
        <f>[1]!cb_result_issueonl(A11)</f>
        <v>是</v>
      </c>
      <c r="AP11" s="1">
        <f>[1]!cb_result_efsubscrpoff(A11)</f>
        <v>0</v>
      </c>
      <c r="AQ11" s="48">
        <f>[1]!cb_list_effectpchvoloff(A11)/100000000</f>
        <v>0</v>
      </c>
      <c r="AR11" s="48">
        <f>[1]!cb_result_efsubscrpamtoff(A11)/100000000</f>
        <v>0</v>
      </c>
      <c r="AS11" s="48">
        <f xml:space="preserve"> [1]!s_ipo_op_amount(A11)/100000000</f>
        <v>0</v>
      </c>
      <c r="AT11" s="48">
        <f xml:space="preserve"> [1]!cb_result_rationamtoff(A11)/100000000</f>
        <v>0</v>
      </c>
      <c r="AU11" s="48">
        <f xml:space="preserve"> [1]!cb_result_sucrateoff(A11)</f>
        <v>0</v>
      </c>
      <c r="AV11" s="48">
        <f xml:space="preserve"> [1]!cb_result_balance(A11)/10000</f>
        <v>0</v>
      </c>
    </row>
    <row r="12" spans="1:48" x14ac:dyDescent="0.15">
      <c r="A12" s="34" t="s">
        <v>90</v>
      </c>
      <c r="B12" s="35" t="str">
        <f>[1]!cb_info_name(A12)</f>
        <v>电气转债</v>
      </c>
      <c r="C12" s="42" t="str">
        <f xml:space="preserve"> [1]!s_refrmkd_preplandate(A12)</f>
        <v>2014-06-06</v>
      </c>
      <c r="D12" s="42" t="str">
        <f>[1]!cb_war_annodatemeeting(A12)</f>
        <v>2014-08-05</v>
      </c>
      <c r="E12" s="42" t="str">
        <f xml:space="preserve"> [1]!cb_list_permitdate(A12)</f>
        <v>2014-12-24</v>
      </c>
      <c r="F12" s="42" t="str">
        <f>[1]!cb_list_announcedate(A12)</f>
        <v>2015-01-29</v>
      </c>
      <c r="G12" s="42" t="str">
        <f>[1]!cb_list_rationchkindate(A12)</f>
        <v>2015-01-30</v>
      </c>
      <c r="H12" s="42" t="str">
        <f>[1]!cb_list_rationdate(A12)</f>
        <v>2015-02-02</v>
      </c>
      <c r="I12" s="42" t="str">
        <f>[1]!cb_list_rationpaymtdate(A12)</f>
        <v>2015-02-02</v>
      </c>
      <c r="J12" s="42" t="str">
        <f xml:space="preserve"> [1]!cb_list_dateinstoff(A12)</f>
        <v>2015-02-02</v>
      </c>
      <c r="K12" s="42" t="str">
        <f>[1]!cb_list_dtonl(A12)</f>
        <v>2015-02-02</v>
      </c>
      <c r="L12" s="42" t="str">
        <f>[1]!cb_list_annocedate(A12)</f>
        <v>2015-02-05</v>
      </c>
      <c r="M12" s="42" t="str">
        <f>[1]!cb_list_type(A12)</f>
        <v>优先配售，网上定价和网下配售</v>
      </c>
      <c r="N12" s="42" t="str">
        <f>[1]!cb_result_explnration(A12)</f>
        <v>除控股股东上海电气（集团）总公司外原A股股东可优先配售的电气转债数量为其在股权登记日（2015年1月30日）收市后登记在册的持有发行人A股股份数按每股配售2.229元面值可转债的比例计算可配售可转债的金额，并按1,000元/手的比例转换为手数，每1手为一个申购单位。</v>
      </c>
      <c r="O12" s="1" t="str">
        <f>IF([1]!cb_list_rationcode(A12)=0,"",[1]!cb_list_rationcode(A12))</f>
        <v>764727</v>
      </c>
      <c r="P12" s="1" t="str">
        <f>IF(O12="","",[1]!cb_list_rationname(A12))</f>
        <v>电气配债</v>
      </c>
      <c r="Q12" s="1">
        <f>IF(O12="","",[1]!cb_list_rationprice(A12))</f>
        <v>100</v>
      </c>
      <c r="R12" s="1">
        <f>IF(O12="","",[1]!cb_list_rationratiode(A12))</f>
        <v>1</v>
      </c>
      <c r="S12" s="43">
        <f>[1]!cb_result_rationamt(A12)</f>
        <v>2.2290000000000001</v>
      </c>
      <c r="T12" s="44">
        <f>[1]!cb_list_rationvol(A12)/10000</f>
        <v>974.70899999999995</v>
      </c>
      <c r="U12" s="1">
        <f>[1]!cb_list_originals(A12)</f>
        <v>0</v>
      </c>
      <c r="V12" s="1" t="str">
        <f>IF([1]!cb_list_pchnameonl(A12)=0,"",[1]!cb_list_pchnameonl(A12))</f>
        <v>电气发债</v>
      </c>
      <c r="W12" s="1">
        <f>IF(V12="","",[1]!cb_list_pchpriceonl(A12))</f>
        <v>100</v>
      </c>
      <c r="X12" s="44">
        <f>IF(V12="","",[1]!cb_list_issuevolonl(A12)/10000)</f>
        <v>52.234999999999999</v>
      </c>
      <c r="Y12" s="44">
        <f>IF([1]!cb_list_volinstoff(A12)=0,"",[1]!cb_list_volinstoff(A12)/10000)</f>
        <v>4973.0559999999996</v>
      </c>
      <c r="Z12" s="45" t="str">
        <f>[1]!cb_result_rationcode(A12)</f>
        <v>20%</v>
      </c>
      <c r="AA12" s="1">
        <f xml:space="preserve"> [1]!cb_result_efinvestornontrad(A12)</f>
        <v>0</v>
      </c>
      <c r="AB12" s="46">
        <f>[1]!cb_result_efamntnontrad(A12)/100000000</f>
        <v>0</v>
      </c>
      <c r="AC12" s="46">
        <f xml:space="preserve"> [1]!cb_result_rationamtnontrad(A12)/100000000</f>
        <v>0</v>
      </c>
      <c r="AD12" s="1">
        <f>[1]!cb_result_efinvestors(A12)</f>
        <v>0</v>
      </c>
      <c r="AE12" s="46">
        <f>[1]!cb_result_efsubscrpamt(A12)/100000000</f>
        <v>0</v>
      </c>
      <c r="AF12" s="46">
        <f xml:space="preserve"> [1]!cb_result_avairationamttrad(A12)/100000000</f>
        <v>285.83863825139997</v>
      </c>
      <c r="AG12" s="46">
        <f xml:space="preserve"> [1]!cb_result_placeamnttrad(A12)/100000000</f>
        <v>0</v>
      </c>
      <c r="AH12" s="46">
        <f>[1]!cb_result_efsubscrponl(A12)/10000</f>
        <v>1.8293999999999999</v>
      </c>
      <c r="AI12" s="46">
        <f xml:space="preserve"> [1]!cb_result_efsubscrpamtonl(A12)/100000000</f>
        <v>183.82049000000001</v>
      </c>
      <c r="AJ12" s="46">
        <f xml:space="preserve"> [1]!s_ipo_bfund(A12)/100000000</f>
        <v>193.56757999999999</v>
      </c>
      <c r="AK12" s="46">
        <f xml:space="preserve"> [1]!cb_result_rationamtonl(A12)/100000000</f>
        <v>0.52234999999999998</v>
      </c>
      <c r="AL12" s="46">
        <f>[1]!cb_result_rationratioonl(A12)</f>
        <v>0.87058333333333338</v>
      </c>
      <c r="AM12" s="46">
        <f>[1]!cb_list_excesspchonl(A12)</f>
        <v>351.91059999999999</v>
      </c>
      <c r="AN12" s="47">
        <f>[1]!cb_result_sucrateonl(A12)</f>
        <v>0.28416309849999999</v>
      </c>
      <c r="AO12" s="1" t="str">
        <f>[1]!cb_result_issueonl(A12)</f>
        <v>否</v>
      </c>
      <c r="AP12" s="1">
        <f>[1]!cb_result_efsubscrpoff(A12)</f>
        <v>2160</v>
      </c>
      <c r="AQ12" s="48">
        <f>[1]!cb_list_effectpchvoloff(A12)/100000000</f>
        <v>17.501000000000001</v>
      </c>
      <c r="AR12" s="48">
        <f>[1]!cb_result_efsubscrpamtoff(A12)/100000000</f>
        <v>17501</v>
      </c>
      <c r="AS12" s="48">
        <f xml:space="preserve"> [1]!s_ipo_op_amount(A12)/100000000</f>
        <v>3500.2</v>
      </c>
      <c r="AT12" s="48">
        <f xml:space="preserve"> [1]!cb_result_rationamtoff(A12)/100000000</f>
        <v>49.730559999999997</v>
      </c>
      <c r="AU12" s="48">
        <f xml:space="preserve"> [1]!cb_result_sucrateoff(A12)</f>
        <v>0.28420000000000001</v>
      </c>
      <c r="AV12" s="48">
        <f xml:space="preserve"> [1]!cb_result_balance(A12)/10000</f>
        <v>0</v>
      </c>
    </row>
    <row r="13" spans="1:48" x14ac:dyDescent="0.15">
      <c r="A13" s="34" t="s">
        <v>91</v>
      </c>
      <c r="B13" s="35" t="str">
        <f>[1]!cb_info_name(A13)</f>
        <v>广汽转债</v>
      </c>
      <c r="C13" s="42" t="str">
        <f xml:space="preserve"> [1]!s_refrmkd_preplandate(A13)</f>
        <v>2015-08-01</v>
      </c>
      <c r="D13" s="42" t="str">
        <f>[1]!cb_war_annodatemeeting(A13)</f>
        <v>2015-09-19</v>
      </c>
      <c r="E13" s="42" t="str">
        <f xml:space="preserve"> [1]!cb_list_permitdate(A13)</f>
        <v>2015-12-11</v>
      </c>
      <c r="F13" s="42" t="str">
        <f>[1]!cb_list_announcedate(A13)</f>
        <v>2016-01-20</v>
      </c>
      <c r="G13" s="42" t="str">
        <f>[1]!cb_list_rationchkindate(A13)</f>
        <v>2016-01-21</v>
      </c>
      <c r="H13" s="42" t="str">
        <f>[1]!cb_list_rationdate(A13)</f>
        <v>2016-01-22</v>
      </c>
      <c r="I13" s="42" t="str">
        <f>[1]!cb_list_rationpaymtdate(A13)</f>
        <v>2016-01-22</v>
      </c>
      <c r="J13" s="42" t="str">
        <f xml:space="preserve"> [1]!cb_list_dateinstoff(A13)</f>
        <v>2016-01-22</v>
      </c>
      <c r="K13" s="42" t="str">
        <f>[1]!cb_list_dtonl(A13)</f>
        <v>2016-01-22</v>
      </c>
      <c r="L13" s="42" t="str">
        <f>[1]!cb_list_annocedate(A13)</f>
        <v>2016-01-27</v>
      </c>
      <c r="M13" s="42" t="str">
        <f>[1]!cb_list_type(A13)</f>
        <v>优先配售，网上定价和网下配售</v>
      </c>
      <c r="N13" s="42" t="str">
        <f>[1]!cb_result_explnration(A13)</f>
        <v>公司原A股股东可优先认购的可转债数量为股权登记日（2016年1月21日）收市后登记在册的公司股份数乘以0.972元（即每股配售0.972元面值的可转债），再按1,000元/手转换成手数，网上优先配售不足1手的部分按照精确算法取整。原A股股东除可参加优先配售外，还可参加优先配售后余额的申购。</v>
      </c>
      <c r="O13" s="1" t="str">
        <f>IF([1]!cb_list_rationcode(A13)=0,"",[1]!cb_list_rationcode(A13))</f>
        <v>764238</v>
      </c>
      <c r="P13" s="1" t="str">
        <f>IF(O13="","",[1]!cb_list_rationname(A13))</f>
        <v>广汽配债</v>
      </c>
      <c r="Q13" s="1">
        <f>IF(O13="","",[1]!cb_list_rationprice(A13))</f>
        <v>100</v>
      </c>
      <c r="R13" s="1">
        <f>IF(O13="","",[1]!cb_list_rationratiode(A13))</f>
        <v>1</v>
      </c>
      <c r="S13" s="43">
        <f>[1]!cb_result_rationamt(A13)</f>
        <v>0.97199999999999998</v>
      </c>
      <c r="T13" s="44">
        <f>[1]!cb_list_rationvol(A13)/10000</f>
        <v>538.91700000000003</v>
      </c>
      <c r="U13" s="1">
        <f>[1]!cb_list_originals(A13)</f>
        <v>0</v>
      </c>
      <c r="V13" s="1" t="str">
        <f>IF([1]!cb_list_pchnameonl(A13)=0,"",[1]!cb_list_pchnameonl(A13))</f>
        <v>广汽发债</v>
      </c>
      <c r="W13" s="1">
        <f>IF(V13="","",[1]!cb_list_pchpriceonl(A13))</f>
        <v>100</v>
      </c>
      <c r="X13" s="44">
        <f>IF(V13="","",[1]!cb_list_issuevolonl(A13)/10000)</f>
        <v>5.8959999999999999</v>
      </c>
      <c r="Y13" s="44">
        <f>IF([1]!cb_list_volinstoff(A13)=0,"",[1]!cb_list_volinstoff(A13)/10000)</f>
        <v>3560.7669999999998</v>
      </c>
      <c r="Z13" s="45" t="str">
        <f>[1]!cb_result_rationcode(A13)</f>
        <v>20%</v>
      </c>
      <c r="AA13" s="1">
        <f xml:space="preserve"> [1]!cb_result_efinvestornontrad(A13)</f>
        <v>0</v>
      </c>
      <c r="AB13" s="46">
        <f>[1]!cb_result_efamntnontrad(A13)/100000000</f>
        <v>0</v>
      </c>
      <c r="AC13" s="46">
        <f xml:space="preserve"> [1]!cb_result_rationamtnontrad(A13)/100000000</f>
        <v>0</v>
      </c>
      <c r="AD13" s="1">
        <f>[1]!cb_result_efinvestors(A13)</f>
        <v>0</v>
      </c>
      <c r="AE13" s="46">
        <f>[1]!cb_result_efsubscrpamt(A13)/100000000</f>
        <v>0</v>
      </c>
      <c r="AF13" s="46">
        <f xml:space="preserve"> [1]!cb_result_avairationamttrad(A13)/100000000</f>
        <v>62.548395342840003</v>
      </c>
      <c r="AG13" s="46">
        <f xml:space="preserve"> [1]!cb_result_placeamnttrad(A13)/100000000</f>
        <v>0</v>
      </c>
      <c r="AH13" s="46">
        <f>[1]!cb_result_efsubscrponl(A13)/10000</f>
        <v>0.17799999999999999</v>
      </c>
      <c r="AI13" s="46">
        <f xml:space="preserve"> [1]!cb_result_efsubscrpamtonl(A13)/100000000</f>
        <v>23.88054</v>
      </c>
      <c r="AJ13" s="46">
        <f xml:space="preserve"> [1]!s_ipo_bfund(A13)/100000000</f>
        <v>29.26971</v>
      </c>
      <c r="AK13" s="46">
        <f xml:space="preserve"> [1]!cb_result_rationamtonl(A13)/100000000</f>
        <v>5.8959999999999999E-2</v>
      </c>
      <c r="AL13" s="46">
        <f>[1]!cb_result_rationratioonl(A13)</f>
        <v>0.14360942911841931</v>
      </c>
      <c r="AM13" s="46">
        <f>[1]!cb_list_excesspchonl(A13)</f>
        <v>405.02949999999998</v>
      </c>
      <c r="AN13" s="47">
        <f>[1]!cb_result_sucrateonl(A13)</f>
        <v>0.24689558950000001</v>
      </c>
      <c r="AO13" s="1" t="str">
        <f>[1]!cb_result_issueonl(A13)</f>
        <v>否</v>
      </c>
      <c r="AP13" s="1">
        <f>[1]!cb_result_efsubscrpoff(A13)</f>
        <v>1456</v>
      </c>
      <c r="AQ13" s="48">
        <f>[1]!cb_list_effectpchvoloff(A13)/100000000</f>
        <v>14.42347</v>
      </c>
      <c r="AR13" s="48">
        <f>[1]!cb_result_efsubscrpamtoff(A13)/100000000</f>
        <v>14423.47</v>
      </c>
      <c r="AS13" s="48">
        <f xml:space="preserve"> [1]!s_ipo_op_amount(A13)/100000000</f>
        <v>2884.694</v>
      </c>
      <c r="AT13" s="48">
        <f xml:space="preserve"> [1]!cb_result_rationamtoff(A13)/100000000</f>
        <v>35.607669999999999</v>
      </c>
      <c r="AU13" s="48">
        <f xml:space="preserve"> [1]!cb_result_sucrateoff(A13)</f>
        <v>0.24690000000000001</v>
      </c>
      <c r="AV13" s="48">
        <f xml:space="preserve"> [1]!cb_result_balance(A13)/10000</f>
        <v>0</v>
      </c>
    </row>
    <row r="14" spans="1:48" x14ac:dyDescent="0.15">
      <c r="A14" s="34" t="s">
        <v>92</v>
      </c>
      <c r="B14" s="35" t="str">
        <f>[1]!cb_info_name(A14)</f>
        <v>江南转债</v>
      </c>
      <c r="C14" s="42" t="str">
        <f xml:space="preserve"> [1]!s_refrmkd_preplandate(A14)</f>
        <v>2014-12-30</v>
      </c>
      <c r="D14" s="42" t="str">
        <f>[1]!cb_war_annodatemeeting(A14)</f>
        <v>2015-06-25</v>
      </c>
      <c r="E14" s="42" t="str">
        <f xml:space="preserve"> [1]!cb_list_permitdate(A14)</f>
        <v>2015-12-25</v>
      </c>
      <c r="F14" s="42" t="str">
        <f>[1]!cb_list_announcedate(A14)</f>
        <v>2016-03-16</v>
      </c>
      <c r="G14" s="42" t="str">
        <f>[1]!cb_list_rationchkindate(A14)</f>
        <v>2016-03-17</v>
      </c>
      <c r="H14" s="42" t="str">
        <f>[1]!cb_list_rationdate(A14)</f>
        <v>2016-03-18</v>
      </c>
      <c r="I14" s="42" t="str">
        <f>[1]!cb_list_rationpaymtdate(A14)</f>
        <v>2016-03-18</v>
      </c>
      <c r="J14" s="42" t="str">
        <f xml:space="preserve"> [1]!cb_list_dateinstoff(A14)</f>
        <v>2016-03-18</v>
      </c>
      <c r="K14" s="42" t="str">
        <f>[1]!cb_list_dtonl(A14)</f>
        <v>2016-03-18</v>
      </c>
      <c r="L14" s="42" t="str">
        <f>[1]!cb_list_annocedate(A14)</f>
        <v>2016-03-23</v>
      </c>
      <c r="M14" s="42" t="str">
        <f>[1]!cb_list_type(A14)</f>
        <v>优先配售，网上定价和网下配售</v>
      </c>
      <c r="N14" s="42" t="str">
        <f>[1]!cb_result_explnration(A14)</f>
        <v>原A股股东可优先配售的江南转债数量为其在股权登记日（2016年3月17日）收市后登记在册的持有江南水务股份数量按每股配售1.625元面值可转债的比例计算可配售可转债金额，再按1,000元/手的比例转换为手数，每1手为一个申购单位。</v>
      </c>
      <c r="O14" s="1" t="str">
        <f>IF([1]!cb_list_rationcode(A14)=0,"",[1]!cb_list_rationcode(A14))</f>
        <v>764199</v>
      </c>
      <c r="P14" s="1" t="str">
        <f>IF(O14="","",[1]!cb_list_rationname(A14))</f>
        <v>江南配债</v>
      </c>
      <c r="Q14" s="1">
        <f>IF(O14="","",[1]!cb_list_rationprice(A14))</f>
        <v>100</v>
      </c>
      <c r="R14" s="1">
        <f>IF(O14="","",[1]!cb_list_rationratiode(A14))</f>
        <v>1</v>
      </c>
      <c r="S14" s="43">
        <f>[1]!cb_result_rationamt(A14)</f>
        <v>1.625</v>
      </c>
      <c r="T14" s="44">
        <f>[1]!cb_list_rationvol(A14)/10000</f>
        <v>181.84299999999999</v>
      </c>
      <c r="U14" s="1">
        <f>[1]!cb_list_originals(A14)</f>
        <v>0</v>
      </c>
      <c r="V14" s="1" t="str">
        <f>IF([1]!cb_list_pchnameonl(A14)=0,"",[1]!cb_list_pchnameonl(A14))</f>
        <v>江南发债</v>
      </c>
      <c r="W14" s="1">
        <f>IF(V14="","",[1]!cb_list_pchpriceonl(A14))</f>
        <v>100</v>
      </c>
      <c r="X14" s="44">
        <f>IF(V14="","",[1]!cb_list_issuevolonl(A14)/10000)</f>
        <v>3.3069999999999999</v>
      </c>
      <c r="Y14" s="44">
        <f>IF([1]!cb_list_volinstoff(A14)=0,"",[1]!cb_list_volinstoff(A14)/10000)</f>
        <v>574.85</v>
      </c>
      <c r="Z14" s="45" t="str">
        <f>[1]!cb_result_rationcode(A14)</f>
        <v>30%</v>
      </c>
      <c r="AA14" s="1">
        <f xml:space="preserve"> [1]!cb_result_efinvestornontrad(A14)</f>
        <v>0</v>
      </c>
      <c r="AB14" s="46">
        <f>[1]!cb_result_efamntnontrad(A14)/100000000</f>
        <v>0</v>
      </c>
      <c r="AC14" s="46">
        <f xml:space="preserve"> [1]!cb_result_rationamtnontrad(A14)/100000000</f>
        <v>0</v>
      </c>
      <c r="AD14" s="1">
        <f>[1]!cb_result_efinvestors(A14)</f>
        <v>0</v>
      </c>
      <c r="AE14" s="46">
        <f>[1]!cb_result_efsubscrpamt(A14)/100000000</f>
        <v>0</v>
      </c>
      <c r="AF14" s="46">
        <f xml:space="preserve"> [1]!cb_result_avairationamttrad(A14)/100000000</f>
        <v>7.5984999999999996</v>
      </c>
      <c r="AG14" s="46">
        <f xml:space="preserve"> [1]!cb_result_placeamnttrad(A14)/100000000</f>
        <v>0</v>
      </c>
      <c r="AH14" s="46">
        <f>[1]!cb_result_efsubscrponl(A14)/10000</f>
        <v>0.307</v>
      </c>
      <c r="AI14" s="46">
        <f xml:space="preserve"> [1]!cb_result_efsubscrpamtonl(A14)/100000000</f>
        <v>30.042190000000002</v>
      </c>
      <c r="AJ14" s="46">
        <f xml:space="preserve"> [1]!s_ipo_bfund(A14)/100000000</f>
        <v>31.860620000000001</v>
      </c>
      <c r="AK14" s="46">
        <f xml:space="preserve"> [1]!cb_result_rationamtonl(A14)/100000000</f>
        <v>3.3070000000000002E-2</v>
      </c>
      <c r="AL14" s="46">
        <f>[1]!cb_result_rationratioonl(A14)</f>
        <v>0.43513157894736842</v>
      </c>
      <c r="AM14" s="46">
        <f>[1]!cb_list_excesspchonl(A14)</f>
        <v>908.44240000000002</v>
      </c>
      <c r="AN14" s="47">
        <f>[1]!cb_result_sucrateonl(A14)</f>
        <v>0.1100785262</v>
      </c>
      <c r="AO14" s="1" t="str">
        <f>[1]!cb_result_issueonl(A14)</f>
        <v>否</v>
      </c>
      <c r="AP14" s="1">
        <f>[1]!cb_result_efsubscrpoff(A14)</f>
        <v>1417</v>
      </c>
      <c r="AQ14" s="48">
        <f>[1]!cb_list_effectpchvoloff(A14)/100000000</f>
        <v>5.2237400000000003</v>
      </c>
      <c r="AR14" s="48">
        <f>[1]!cb_result_efsubscrpamtoff(A14)/100000000</f>
        <v>5223.74</v>
      </c>
      <c r="AS14" s="48">
        <f xml:space="preserve"> [1]!s_ipo_op_amount(A14)/100000000</f>
        <v>1567.1220000000001</v>
      </c>
      <c r="AT14" s="48">
        <f xml:space="preserve"> [1]!cb_result_rationamtoff(A14)/100000000</f>
        <v>5.7484999999999999</v>
      </c>
      <c r="AU14" s="48">
        <f xml:space="preserve"> [1]!cb_result_sucrateoff(A14)</f>
        <v>0.11004568000000001</v>
      </c>
      <c r="AV14" s="48">
        <f xml:space="preserve"> [1]!cb_result_balance(A14)/10000</f>
        <v>0</v>
      </c>
    </row>
    <row r="15" spans="1:48" x14ac:dyDescent="0.15">
      <c r="A15" s="34" t="s">
        <v>93</v>
      </c>
      <c r="B15" s="35" t="str">
        <f>[1]!cb_info_name(A15)</f>
        <v>光大转债</v>
      </c>
      <c r="C15" s="42" t="str">
        <f xml:space="preserve"> [1]!s_refrmkd_preplandate(A15)</f>
        <v>2016-06-07</v>
      </c>
      <c r="D15" s="42" t="str">
        <f>[1]!cb_war_annodatemeeting(A15)</f>
        <v>2016-06-30</v>
      </c>
      <c r="E15" s="42" t="str">
        <f xml:space="preserve"> [1]!cb_list_permitdate(A15)</f>
        <v>2017-01-18</v>
      </c>
      <c r="F15" s="42" t="str">
        <f>[1]!cb_list_announcedate(A15)</f>
        <v>2017-03-15</v>
      </c>
      <c r="G15" s="42" t="str">
        <f>[1]!cb_list_rationchkindate(A15)</f>
        <v>2017-03-16</v>
      </c>
      <c r="H15" s="42" t="str">
        <f>[1]!cb_list_rationdate(A15)</f>
        <v>2017-03-17</v>
      </c>
      <c r="I15" s="42" t="str">
        <f>[1]!cb_list_rationpaymtdate(A15)</f>
        <v>2017-03-17</v>
      </c>
      <c r="J15" s="42" t="str">
        <f xml:space="preserve"> [1]!cb_list_dateinstoff(A15)</f>
        <v>2017-03-17</v>
      </c>
      <c r="K15" s="42" t="str">
        <f>[1]!cb_list_dtonl(A15)</f>
        <v>2017-03-17</v>
      </c>
      <c r="L15" s="42" t="str">
        <f>[1]!cb_list_annocedate(A15)</f>
        <v>2017-03-22</v>
      </c>
      <c r="M15" s="42" t="str">
        <f>[1]!cb_list_type(A15)</f>
        <v>优先配售，网上定价和网下配售</v>
      </c>
      <c r="N15" s="42" t="str">
        <f>[1]!cb_result_explnration(A15)</f>
        <v>原股东可优先配售的光大转债数量为其在股权登记日（2017年3月16日）收市后登记在册的持有发行人A股普通股股份数（以下简称“股份数”）按每股配售0.753元面值可转债的比例计算可配售可转债的金额，并按1,000元/手的比例转换为手数，每1手（10张）为一个申购单位，即每股配售0.000753手可转债。</v>
      </c>
      <c r="O15" s="1" t="str">
        <f>IF([1]!cb_list_rationcode(A15)=0,"",[1]!cb_list_rationcode(A15))</f>
        <v>764818</v>
      </c>
      <c r="P15" s="1" t="str">
        <f>IF(O15="","",[1]!cb_list_rationname(A15))</f>
        <v>光大配债</v>
      </c>
      <c r="Q15" s="1">
        <f>IF(O15="","",[1]!cb_list_rationprice(A15))</f>
        <v>100</v>
      </c>
      <c r="R15" s="1">
        <f>IF(O15="","",[1]!cb_list_rationratiode(A15))</f>
        <v>1</v>
      </c>
      <c r="S15" s="43">
        <f>[1]!cb_result_rationamt(A15)</f>
        <v>0.753</v>
      </c>
      <c r="T15" s="44">
        <f>[1]!cb_list_rationvol(A15)/10000</f>
        <v>12778.710999999999</v>
      </c>
      <c r="U15" s="1">
        <f>[1]!cb_list_originals(A15)</f>
        <v>0</v>
      </c>
      <c r="V15" s="1" t="str">
        <f>IF([1]!cb_list_pchnameonl(A15)=0,"",[1]!cb_list_pchnameonl(A15))</f>
        <v>光大发债</v>
      </c>
      <c r="W15" s="1">
        <f>IF(V15="","",[1]!cb_list_pchpriceonl(A15))</f>
        <v>100</v>
      </c>
      <c r="X15" s="44">
        <f>IF(V15="","",[1]!cb_list_issuevolonl(A15)/10000)</f>
        <v>26.597000000000001</v>
      </c>
      <c r="Y15" s="44">
        <f>IF([1]!cb_list_volinstoff(A15)=0,"",[1]!cb_list_volinstoff(A15)/10000)</f>
        <v>17194.691999999999</v>
      </c>
      <c r="Z15" s="45" t="str">
        <f>[1]!cb_result_rationcode(A15)</f>
        <v>10%</v>
      </c>
      <c r="AA15" s="1">
        <f xml:space="preserve"> [1]!cb_result_efinvestornontrad(A15)</f>
        <v>0</v>
      </c>
      <c r="AB15" s="46">
        <f>[1]!cb_result_efamntnontrad(A15)/100000000</f>
        <v>0</v>
      </c>
      <c r="AC15" s="46">
        <f xml:space="preserve"> [1]!cb_result_rationamtnontrad(A15)/100000000</f>
        <v>0</v>
      </c>
      <c r="AD15" s="1">
        <f>[1]!cb_result_efinvestors(A15)</f>
        <v>0</v>
      </c>
      <c r="AE15" s="46">
        <f>[1]!cb_result_efsubscrpamt(A15)/100000000</f>
        <v>0</v>
      </c>
      <c r="AF15" s="46">
        <f xml:space="preserve"> [1]!cb_result_avairationamttrad(A15)/100000000</f>
        <v>351.49358534999999</v>
      </c>
      <c r="AG15" s="46">
        <f xml:space="preserve"> [1]!cb_result_placeamnttrad(A15)/100000000</f>
        <v>0</v>
      </c>
      <c r="AH15" s="46">
        <f>[1]!cb_result_efsubscrponl(A15)/10000</f>
        <v>0.74519999999999997</v>
      </c>
      <c r="AI15" s="46">
        <f xml:space="preserve"> [1]!cb_result_efsubscrpamtonl(A15)/100000000</f>
        <v>53.201970000000003</v>
      </c>
      <c r="AJ15" s="46">
        <f xml:space="preserve"> [1]!s_ipo_bfund(A15)/100000000</f>
        <v>180.98908</v>
      </c>
      <c r="AK15" s="46">
        <f xml:space="preserve"> [1]!cb_result_rationamtonl(A15)/100000000</f>
        <v>0.26596999999999998</v>
      </c>
      <c r="AL15" s="46">
        <f>[1]!cb_result_rationratioonl(A15)</f>
        <v>8.8656666666666661E-2</v>
      </c>
      <c r="AM15" s="46">
        <f>[1]!cb_list_excesspchonl(A15)</f>
        <v>200.03</v>
      </c>
      <c r="AN15" s="47">
        <f>[1]!cb_result_sucrateonl(A15)</f>
        <v>0.49992509680000002</v>
      </c>
      <c r="AO15" s="1" t="str">
        <f>[1]!cb_result_issueonl(A15)</f>
        <v>否</v>
      </c>
      <c r="AP15" s="1">
        <f>[1]!cb_result_efsubscrpoff(A15)</f>
        <v>3264</v>
      </c>
      <c r="AQ15" s="48">
        <f>[1]!cb_list_effectpchvoloff(A15)/100000000</f>
        <v>34.394950000000001</v>
      </c>
      <c r="AR15" s="48">
        <f>[1]!cb_result_efsubscrpamtoff(A15)/100000000</f>
        <v>34394.949999999997</v>
      </c>
      <c r="AS15" s="48">
        <f xml:space="preserve"> [1]!s_ipo_op_amount(A15)/100000000</f>
        <v>3439.4949999999999</v>
      </c>
      <c r="AT15" s="48">
        <f xml:space="preserve"> [1]!cb_result_rationamtoff(A15)/100000000</f>
        <v>171.94692000000001</v>
      </c>
      <c r="AU15" s="48">
        <f xml:space="preserve"> [1]!cb_result_sucrateoff(A15)</f>
        <v>0.49991909000000001</v>
      </c>
      <c r="AV15" s="48">
        <f xml:space="preserve"> [1]!cb_result_balance(A15)/10000</f>
        <v>0</v>
      </c>
    </row>
    <row r="16" spans="1:48" x14ac:dyDescent="0.15">
      <c r="A16" s="34" t="s">
        <v>94</v>
      </c>
      <c r="B16" s="35" t="str">
        <f>[1]!cb_info_name(A16)</f>
        <v>骆驼转债</v>
      </c>
      <c r="C16" s="42" t="str">
        <f xml:space="preserve"> [1]!s_refrmkd_preplandate(A16)</f>
        <v>2016-05-07</v>
      </c>
      <c r="D16" s="42" t="str">
        <f>[1]!cb_war_annodatemeeting(A16)</f>
        <v>2016-05-19</v>
      </c>
      <c r="E16" s="42" t="str">
        <f xml:space="preserve"> [1]!cb_list_permitdate(A16)</f>
        <v>2016-12-07</v>
      </c>
      <c r="F16" s="42" t="str">
        <f>[1]!cb_list_announcedate(A16)</f>
        <v>2017-03-22</v>
      </c>
      <c r="G16" s="42" t="str">
        <f>[1]!cb_list_rationchkindate(A16)</f>
        <v>2017-03-23</v>
      </c>
      <c r="H16" s="42" t="str">
        <f>[1]!cb_list_rationdate(A16)</f>
        <v>2017-03-24</v>
      </c>
      <c r="I16" s="42" t="str">
        <f>[1]!cb_list_rationpaymtdate(A16)</f>
        <v>2017-03-24</v>
      </c>
      <c r="J16" s="42" t="str">
        <f xml:space="preserve"> [1]!cb_list_dateinstoff(A16)</f>
        <v>2017-03-24</v>
      </c>
      <c r="K16" s="42" t="str">
        <f>[1]!cb_list_dtonl(A16)</f>
        <v>2017-03-24</v>
      </c>
      <c r="L16" s="42" t="str">
        <f>[1]!cb_list_annocedate(A16)</f>
        <v>2017-03-29</v>
      </c>
      <c r="M16" s="42" t="str">
        <f>[1]!cb_list_type(A16)</f>
        <v>优先配售，网上定价和网下配售</v>
      </c>
      <c r="N16" s="42" t="str">
        <f>[1]!cb_result_explnration(A16)</f>
        <v>原股东可优先配售的骆驼转债数量为其在股权登记日（2017年3月23日）收市后登记在册的持有发行人股份数按每股配售0.845元面值可转债的比例计算可配售可转债的金额，并按1,000元/手的比例转换为手数，每1手为一个申购单位。</v>
      </c>
      <c r="O16" s="1" t="str">
        <f>IF([1]!cb_list_rationcode(A16)=0,"",[1]!cb_list_rationcode(A16))</f>
        <v>764311</v>
      </c>
      <c r="P16" s="1" t="str">
        <f>IF(O16="","",[1]!cb_list_rationname(A16))</f>
        <v>骆驼配债</v>
      </c>
      <c r="Q16" s="1">
        <f>IF(O16="","",[1]!cb_list_rationprice(A16))</f>
        <v>100</v>
      </c>
      <c r="R16" s="1">
        <f>IF(O16="","",[1]!cb_list_rationratiode(A16))</f>
        <v>1</v>
      </c>
      <c r="S16" s="43">
        <f>[1]!cb_result_rationamt(A16)</f>
        <v>0.84499999999999997</v>
      </c>
      <c r="T16" s="44">
        <f>[1]!cb_list_rationvol(A16)/10000</f>
        <v>555.70500000000004</v>
      </c>
      <c r="U16" s="1">
        <f>[1]!cb_list_originals(A16)</f>
        <v>0</v>
      </c>
      <c r="V16" s="1" t="str">
        <f>IF([1]!cb_list_pchnameonl(A16)=0,"",[1]!cb_list_pchnameonl(A16))</f>
        <v>骆驼发债</v>
      </c>
      <c r="W16" s="1">
        <f>IF(V16="","",[1]!cb_list_pchpriceonl(A16))</f>
        <v>100</v>
      </c>
      <c r="X16" s="44">
        <f>IF(V16="","",[1]!cb_list_issuevolonl(A16)/10000)</f>
        <v>3.6680000000000001</v>
      </c>
      <c r="Y16" s="44">
        <f>IF([1]!cb_list_volinstoff(A16)=0,"",[1]!cb_list_volinstoff(A16)/10000)</f>
        <v>157.62700000000001</v>
      </c>
      <c r="Z16" s="45" t="str">
        <f>[1]!cb_result_rationcode(A16)</f>
        <v>10%</v>
      </c>
      <c r="AA16" s="1">
        <f xml:space="preserve"> [1]!cb_result_efinvestornontrad(A16)</f>
        <v>0</v>
      </c>
      <c r="AB16" s="46">
        <f>[1]!cb_result_efamntnontrad(A16)/100000000</f>
        <v>0</v>
      </c>
      <c r="AC16" s="46">
        <f xml:space="preserve"> [1]!cb_result_rationamtnontrad(A16)/100000000</f>
        <v>0</v>
      </c>
      <c r="AD16" s="1">
        <f>[1]!cb_result_efinvestors(A16)</f>
        <v>0</v>
      </c>
      <c r="AE16" s="46">
        <f>[1]!cb_result_efsubscrpamt(A16)/100000000</f>
        <v>0</v>
      </c>
      <c r="AF16" s="46">
        <f xml:space="preserve"> [1]!cb_result_avairationamttrad(A16)/100000000</f>
        <v>7.1689440874999999</v>
      </c>
      <c r="AG16" s="46">
        <f xml:space="preserve"> [1]!cb_result_placeamnttrad(A16)/100000000</f>
        <v>0</v>
      </c>
      <c r="AH16" s="46">
        <f>[1]!cb_result_efsubscrponl(A16)/10000</f>
        <v>0.28000000000000003</v>
      </c>
      <c r="AI16" s="46">
        <f xml:space="preserve"> [1]!cb_result_efsubscrpamtonl(A16)/100000000</f>
        <v>23.193429999999999</v>
      </c>
      <c r="AJ16" s="46">
        <f xml:space="preserve"> [1]!s_ipo_bfund(A16)/100000000</f>
        <v>28.75048</v>
      </c>
      <c r="AK16" s="46">
        <f xml:space="preserve"> [1]!cb_result_rationamtonl(A16)/100000000</f>
        <v>3.6679999999999997E-2</v>
      </c>
      <c r="AL16" s="46">
        <f>[1]!cb_result_rationratioonl(A16)</f>
        <v>0.5115760111576011</v>
      </c>
      <c r="AM16" s="46">
        <f>[1]!cb_list_excesspchonl(A16)</f>
        <v>632.31820000000005</v>
      </c>
      <c r="AN16" s="47">
        <f>[1]!cb_result_sucrateonl(A16)</f>
        <v>0.15814823419999999</v>
      </c>
      <c r="AO16" s="1" t="str">
        <f>[1]!cb_result_issueonl(A16)</f>
        <v>否</v>
      </c>
      <c r="AP16" s="1">
        <f>[1]!cb_result_efsubscrpoff(A16)</f>
        <v>2028</v>
      </c>
      <c r="AQ16" s="48">
        <f>[1]!cb_list_effectpchvoloff(A16)/100000000</f>
        <v>0.99687000000000003</v>
      </c>
      <c r="AR16" s="48">
        <f>[1]!cb_result_efsubscrpamtoff(A16)/100000000</f>
        <v>996.87</v>
      </c>
      <c r="AS16" s="48">
        <f xml:space="preserve"> [1]!s_ipo_op_amount(A16)/100000000</f>
        <v>99.686999999999998</v>
      </c>
      <c r="AT16" s="48">
        <f xml:space="preserve"> [1]!cb_result_rationamtoff(A16)/100000000</f>
        <v>1.5762700000000001</v>
      </c>
      <c r="AU16" s="48">
        <f xml:space="preserve"> [1]!cb_result_sucrateoff(A16)</f>
        <v>0.15812192</v>
      </c>
      <c r="AV16" s="48">
        <f xml:space="preserve"> [1]!cb_result_balance(A16)/10000</f>
        <v>0</v>
      </c>
    </row>
    <row r="17" spans="1:48" x14ac:dyDescent="0.15">
      <c r="A17" s="34" t="s">
        <v>95</v>
      </c>
      <c r="B17" s="35" t="str">
        <f>[1]!cb_info_name(A17)</f>
        <v>国君转债</v>
      </c>
      <c r="C17" s="42" t="str">
        <f xml:space="preserve"> [1]!s_refrmkd_preplandate(A17)</f>
        <v>2017-02-21</v>
      </c>
      <c r="D17" s="42" t="str">
        <f>[1]!cb_war_annodatemeeting(A17)</f>
        <v>2017-03-14</v>
      </c>
      <c r="E17" s="42" t="str">
        <f xml:space="preserve"> [1]!cb_list_permitdate(A17)</f>
        <v>2016-12-21</v>
      </c>
      <c r="F17" s="42" t="str">
        <f>[1]!cb_list_announcedate(A17)</f>
        <v>2017-07-05</v>
      </c>
      <c r="G17" s="42" t="str">
        <f>[1]!cb_list_rationchkindate(A17)</f>
        <v>2017-07-06</v>
      </c>
      <c r="H17" s="42" t="str">
        <f>[1]!cb_list_rationdate(A17)</f>
        <v>2017-07-07</v>
      </c>
      <c r="I17" s="42" t="str">
        <f>[1]!cb_list_rationpaymtdate(A17)</f>
        <v>2017-07-07</v>
      </c>
      <c r="J17" s="42" t="str">
        <f xml:space="preserve"> [1]!cb_list_dateinstoff(A17)</f>
        <v>2017-07-07</v>
      </c>
      <c r="K17" s="42" t="str">
        <f>[1]!cb_list_dtonl(A17)</f>
        <v>2017-07-07</v>
      </c>
      <c r="L17" s="42" t="str">
        <f>[1]!cb_list_annocedate(A17)</f>
        <v>2017-07-12</v>
      </c>
      <c r="M17" s="42" t="str">
        <f>[1]!cb_list_type(A17)</f>
        <v>优先配售，网上定价和网下配售</v>
      </c>
      <c r="N17" s="42" t="str">
        <f>[1]!cb_result_explnration(A17)</f>
        <v>原A股股东可优先配售的可转债数量为其在股权登记日收市后（T-1日）登记在册的持有发行人A股股份数按每股配售0.931元面值可转债的比例计算可配售可转债的金额，并按1,000元/手的比例转换为手数，每1手（10张，1,000元）为一个申购单位。</v>
      </c>
      <c r="O17" s="1" t="str">
        <f>IF([1]!cb_list_rationcode(A17)=0,"",[1]!cb_list_rationcode(A17))</f>
        <v>764211</v>
      </c>
      <c r="P17" s="1" t="str">
        <f>IF(O17="","",[1]!cb_list_rationname(A17))</f>
        <v>国君配债</v>
      </c>
      <c r="Q17" s="1">
        <f>IF(O17="","",[1]!cb_list_rationprice(A17))</f>
        <v>100</v>
      </c>
      <c r="R17" s="1">
        <f>IF(O17="","",[1]!cb_list_rationratiode(A17))</f>
        <v>1</v>
      </c>
      <c r="S17" s="43">
        <f>[1]!cb_result_rationamt(A17)</f>
        <v>0.93100000000000005</v>
      </c>
      <c r="T17" s="44">
        <f>[1]!cb_list_rationvol(A17)/10000</f>
        <v>5138.8649999999998</v>
      </c>
      <c r="U17" s="1">
        <f>[1]!cb_list_originals(A17)</f>
        <v>0</v>
      </c>
      <c r="V17" s="1" t="str">
        <f>IF([1]!cb_list_pchnameonl(A17)=0,"",[1]!cb_list_pchnameonl(A17))</f>
        <v>国君发债</v>
      </c>
      <c r="W17" s="1">
        <f>IF(V17="","",[1]!cb_list_pchpriceonl(A17))</f>
        <v>100</v>
      </c>
      <c r="X17" s="44">
        <f>IF(V17="","",[1]!cb_list_issuevolonl(A17)/10000)</f>
        <v>5.0110000000000001</v>
      </c>
      <c r="Y17" s="44">
        <f>IF([1]!cb_list_volinstoff(A17)=0,"",[1]!cb_list_volinstoff(A17)/10000)</f>
        <v>1856.124</v>
      </c>
      <c r="Z17" s="45" t="str">
        <f>[1]!cb_result_rationcode(A17)</f>
        <v>5%</v>
      </c>
      <c r="AA17" s="1">
        <f xml:space="preserve"> [1]!cb_result_efinvestornontrad(A17)</f>
        <v>0</v>
      </c>
      <c r="AB17" s="46">
        <f>[1]!cb_result_efamntnontrad(A17)/100000000</f>
        <v>25.913599999999999</v>
      </c>
      <c r="AC17" s="46">
        <f xml:space="preserve"> [1]!cb_result_rationamtnontrad(A17)/100000000</f>
        <v>25.913599999999999</v>
      </c>
      <c r="AD17" s="1">
        <f>[1]!cb_result_efinvestors(A17)</f>
        <v>0</v>
      </c>
      <c r="AE17" s="46">
        <f>[1]!cb_result_efsubscrpamt(A17)/100000000</f>
        <v>25.47505</v>
      </c>
      <c r="AF17" s="46">
        <f xml:space="preserve"> [1]!cb_result_avairationamttrad(A17)/100000000</f>
        <v>55.213118204300002</v>
      </c>
      <c r="AG17" s="46">
        <f xml:space="preserve"> [1]!cb_result_placeamnttrad(A17)/100000000</f>
        <v>25.47505</v>
      </c>
      <c r="AH17" s="46">
        <f>[1]!cb_result_efsubscrponl(A17)/10000</f>
        <v>0</v>
      </c>
      <c r="AI17" s="46">
        <f xml:space="preserve"> [1]!cb_result_efsubscrpamtonl(A17)/100000000</f>
        <v>61.88682</v>
      </c>
      <c r="AJ17" s="46">
        <f xml:space="preserve"> [1]!s_ipo_bfund(A17)/100000000</f>
        <v>87.361869999999996</v>
      </c>
      <c r="AK17" s="46">
        <f xml:space="preserve"> [1]!cb_result_rationamtonl(A17)/100000000</f>
        <v>5.0110000000000002E-2</v>
      </c>
      <c r="AL17" s="46">
        <f>[1]!cb_result_rationratioonl(A17)</f>
        <v>7.158571428571428E-2</v>
      </c>
      <c r="AM17" s="46">
        <f>[1]!cb_list_excesspchonl(A17)</f>
        <v>1235.0193999999999</v>
      </c>
      <c r="AN17" s="47">
        <f>[1]!cb_result_sucrateonl(A17)</f>
        <v>8.09703908E-2</v>
      </c>
      <c r="AO17" s="1" t="str">
        <f>[1]!cb_result_issueonl(A17)</f>
        <v>否</v>
      </c>
      <c r="AP17" s="1">
        <f>[1]!cb_result_efsubscrpoff(A17)</f>
        <v>4227</v>
      </c>
      <c r="AQ17" s="48">
        <f>[1]!cb_list_effectpchvoloff(A17)/100000000</f>
        <v>22.9237</v>
      </c>
      <c r="AR17" s="48">
        <f>[1]!cb_result_efsubscrpamtoff(A17)/100000000</f>
        <v>22923.7</v>
      </c>
      <c r="AS17" s="48">
        <f xml:space="preserve"> [1]!s_ipo_op_amount(A17)/100000000</f>
        <v>1172.0986</v>
      </c>
      <c r="AT17" s="48">
        <f xml:space="preserve"> [1]!cb_result_rationamtoff(A17)/100000000</f>
        <v>18.561240000000002</v>
      </c>
      <c r="AU17" s="48">
        <f xml:space="preserve"> [1]!cb_result_sucrateoff(A17)</f>
        <v>8.0969650000000004E-2</v>
      </c>
      <c r="AV17" s="48">
        <f xml:space="preserve"> [1]!cb_result_balance(A17)/10000</f>
        <v>0</v>
      </c>
    </row>
    <row r="18" spans="1:48" x14ac:dyDescent="0.15">
      <c r="A18" s="34" t="s">
        <v>96</v>
      </c>
      <c r="B18" s="35" t="str">
        <f>[1]!cb_info_name(A18)</f>
        <v>林洋转债</v>
      </c>
      <c r="C18" s="42" t="str">
        <f xml:space="preserve"> [1]!s_refrmkd_preplandate(A18)</f>
        <v>2016-11-22</v>
      </c>
      <c r="D18" s="42" t="str">
        <f>[1]!cb_war_annodatemeeting(A18)</f>
        <v>2017-01-11</v>
      </c>
      <c r="E18" s="42" t="str">
        <f xml:space="preserve"> [1]!cb_list_permitdate(A18)</f>
        <v>2017-06-06</v>
      </c>
      <c r="F18" s="42" t="str">
        <f>[1]!cb_list_announcedate(A18)</f>
        <v>2017-10-25</v>
      </c>
      <c r="G18" s="42" t="str">
        <f>[1]!cb_list_rationchkindate(A18)</f>
        <v>2017-10-26</v>
      </c>
      <c r="H18" s="42" t="str">
        <f>[1]!cb_list_rationdate(A18)</f>
        <v>2017-10-27</v>
      </c>
      <c r="I18" s="42" t="str">
        <f>[1]!cb_list_rationpaymtdate(A18)</f>
        <v>2017-10-27</v>
      </c>
      <c r="J18" s="42">
        <f xml:space="preserve"> [1]!cb_list_dateinstoff(A18)</f>
        <v>0</v>
      </c>
      <c r="K18" s="42" t="str">
        <f>[1]!cb_list_dtonl(A18)</f>
        <v>2017-10-27</v>
      </c>
      <c r="L18" s="42" t="str">
        <f>[1]!cb_list_annocedate(A18)</f>
        <v>2017-11-02</v>
      </c>
      <c r="M18" s="42" t="str">
        <f>[1]!cb_list_type(A18)</f>
        <v>优先配售和上网定价</v>
      </c>
      <c r="N18" s="42" t="str">
        <f>[1]!cb_result_explnration(A18)</f>
        <v>原有限售条件股东可优先配售的林洋转债数量为其在股权登记日（2017年10月26日，T-1日）收市后持有的中国结算上海分公司登记在册的发行人股份数按每股配售1.700元面值可转债的比例计算可配售可转债的数量，并按1,000元/手的比例转换为手数，每1手为一个申购单位，不足1手的部分舍掉取整。</v>
      </c>
      <c r="O18" s="1" t="str">
        <f>IF([1]!cb_list_rationcode(A18)=0,"",[1]!cb_list_rationcode(A18))</f>
        <v>764222</v>
      </c>
      <c r="P18" s="1" t="str">
        <f>IF(O18="","",[1]!cb_list_rationname(A18))</f>
        <v>林洋配债</v>
      </c>
      <c r="Q18" s="1">
        <f>IF(O18="","",[1]!cb_list_rationprice(A18))</f>
        <v>100</v>
      </c>
      <c r="R18" s="1">
        <f>IF(O18="","",[1]!cb_list_rationratiode(A18))</f>
        <v>1</v>
      </c>
      <c r="S18" s="43">
        <f>[1]!cb_result_rationamt(A18)</f>
        <v>1.7</v>
      </c>
      <c r="T18" s="44">
        <f>[1]!cb_list_rationvol(A18)/10000</f>
        <v>2353.9879999999998</v>
      </c>
      <c r="U18" s="1">
        <f>[1]!cb_list_originals(A18)</f>
        <v>0</v>
      </c>
      <c r="V18" s="1" t="str">
        <f>IF([1]!cb_list_pchnameonl(A18)=0,"",[1]!cb_list_pchnameonl(A18))</f>
        <v>林洋发债</v>
      </c>
      <c r="W18" s="1">
        <f>IF(V18="","",[1]!cb_list_pchpriceonl(A18))</f>
        <v>100</v>
      </c>
      <c r="X18" s="44">
        <f>IF(V18="","",[1]!cb_list_issuevolonl(A18)/10000)</f>
        <v>640.05399999999997</v>
      </c>
      <c r="Y18" s="44" t="str">
        <f>IF([1]!cb_list_volinstoff(A18)=0,"",[1]!cb_list_volinstoff(A18)/10000)</f>
        <v/>
      </c>
      <c r="Z18" s="45">
        <f>[1]!cb_result_rationcode(A18)</f>
        <v>0</v>
      </c>
      <c r="AA18" s="1">
        <f xml:space="preserve"> [1]!cb_result_efinvestornontrad(A18)</f>
        <v>0</v>
      </c>
      <c r="AB18" s="46">
        <f>[1]!cb_result_efamntnontrad(A18)/100000000</f>
        <v>0.20594000000000001</v>
      </c>
      <c r="AC18" s="46">
        <f xml:space="preserve"> [1]!cb_result_rationamtnontrad(A18)/100000000</f>
        <v>0.20594000000000001</v>
      </c>
      <c r="AD18" s="1">
        <f>[1]!cb_result_efinvestors(A18)</f>
        <v>0</v>
      </c>
      <c r="AE18" s="46">
        <f>[1]!cb_result_efsubscrpamt(A18)/100000000</f>
        <v>23.333939999999998</v>
      </c>
      <c r="AF18" s="46">
        <f xml:space="preserve"> [1]!cb_result_avairationamttrad(A18)/100000000</f>
        <v>29.623040922999998</v>
      </c>
      <c r="AG18" s="46">
        <f xml:space="preserve"> [1]!cb_result_placeamnttrad(A18)/100000000</f>
        <v>23.333939999999998</v>
      </c>
      <c r="AH18" s="46">
        <f>[1]!cb_result_efsubscrponl(A18)/10000</f>
        <v>482.60129999999998</v>
      </c>
      <c r="AI18" s="46">
        <f xml:space="preserve"> [1]!cb_result_efsubscrpamtonl(A18)/100000000</f>
        <v>219294.59255999999</v>
      </c>
      <c r="AJ18" s="46">
        <f xml:space="preserve"> [1]!s_ipo_bfund(A18)/100000000</f>
        <v>219317.9265</v>
      </c>
      <c r="AK18" s="46">
        <f xml:space="preserve"> [1]!cb_result_rationamtonl(A18)/100000000</f>
        <v>6.4005400000000003</v>
      </c>
      <c r="AL18" s="46">
        <f>[1]!cb_result_rationratioonl(A18)</f>
        <v>21.335133333333335</v>
      </c>
      <c r="AM18" s="46">
        <f>[1]!cb_list_excesspchonl(A18)</f>
        <v>34261.889199999998</v>
      </c>
      <c r="AN18" s="47">
        <f>[1]!cb_result_sucrateonl(A18)</f>
        <v>2.9186949000000002E-3</v>
      </c>
      <c r="AO18" s="1" t="str">
        <f>[1]!cb_result_issueonl(A18)</f>
        <v>是</v>
      </c>
      <c r="AP18" s="1">
        <f>[1]!cb_result_efsubscrpoff(A18)</f>
        <v>0</v>
      </c>
      <c r="AQ18" s="48">
        <f>[1]!cb_list_effectpchvoloff(A18)/100000000</f>
        <v>0</v>
      </c>
      <c r="AR18" s="48">
        <f>[1]!cb_result_efsubscrpamtoff(A18)/100000000</f>
        <v>0</v>
      </c>
      <c r="AS18" s="48">
        <f xml:space="preserve"> [1]!s_ipo_op_amount(A18)/100000000</f>
        <v>0</v>
      </c>
      <c r="AT18" s="48">
        <f xml:space="preserve"> [1]!cb_result_rationamtoff(A18)/100000000</f>
        <v>0</v>
      </c>
      <c r="AU18" s="48">
        <f xml:space="preserve"> [1]!cb_result_sucrateoff(A18)</f>
        <v>0</v>
      </c>
      <c r="AV18" s="48">
        <f xml:space="preserve"> [1]!cb_result_balance(A18)/10000</f>
        <v>595.79999999999995</v>
      </c>
    </row>
    <row r="19" spans="1:48" x14ac:dyDescent="0.15">
      <c r="A19" s="34" t="s">
        <v>97</v>
      </c>
      <c r="B19" s="35" t="str">
        <f>[1]!cb_info_name(A19)</f>
        <v>隆基转债</v>
      </c>
      <c r="C19" s="42" t="str">
        <f xml:space="preserve"> [1]!s_refrmkd_preplandate(A19)</f>
        <v>2017-01-24</v>
      </c>
      <c r="D19" s="42" t="str">
        <f>[1]!cb_war_annodatemeeting(A19)</f>
        <v>2017-02-10</v>
      </c>
      <c r="E19" s="42" t="str">
        <f xml:space="preserve"> [1]!cb_list_permitdate(A19)</f>
        <v>2017-07-11</v>
      </c>
      <c r="F19" s="42" t="str">
        <f>[1]!cb_list_announcedate(A19)</f>
        <v>2017-10-31</v>
      </c>
      <c r="G19" s="42" t="str">
        <f>[1]!cb_list_rationchkindate(A19)</f>
        <v>2017-11-01</v>
      </c>
      <c r="H19" s="42" t="str">
        <f>[1]!cb_list_rationdate(A19)</f>
        <v>2017-11-02</v>
      </c>
      <c r="I19" s="42" t="str">
        <f>[1]!cb_list_rationpaymtdate(A19)</f>
        <v>2017-11-02</v>
      </c>
      <c r="J19" s="42">
        <f xml:space="preserve"> [1]!cb_list_dateinstoff(A19)</f>
        <v>0</v>
      </c>
      <c r="K19" s="42" t="str">
        <f>[1]!cb_list_dtonl(A19)</f>
        <v>2017-11-02</v>
      </c>
      <c r="L19" s="42" t="str">
        <f>[1]!cb_list_annocedate(A19)</f>
        <v>2017-11-08</v>
      </c>
      <c r="M19" s="42" t="str">
        <f>[1]!cb_list_type(A19)</f>
        <v>优先配售和上网定价</v>
      </c>
      <c r="N19" s="42" t="str">
        <f>[1]!cb_result_explnration(A19)</f>
        <v>原A股股东可优先配售的可转债数量上限为其在股权登记日（2017年11月1日）收市后登记在册的持有的隆基股份股份数量按每股配售1.402元面值可转债的比例计算可配售可转债金额，再按1,000元/手的比例转换成手数，每1手为一个申购单位。</v>
      </c>
      <c r="O19" s="1" t="str">
        <f>IF([1]!cb_list_rationcode(A19)=0,"",[1]!cb_list_rationcode(A19))</f>
        <v>764012</v>
      </c>
      <c r="P19" s="1" t="str">
        <f>IF(O19="","",[1]!cb_list_rationname(A19))</f>
        <v>隆基配债</v>
      </c>
      <c r="Q19" s="1">
        <f>IF(O19="","",[1]!cb_list_rationprice(A19))</f>
        <v>100</v>
      </c>
      <c r="R19" s="1">
        <f>IF(O19="","",[1]!cb_list_rationratiode(A19))</f>
        <v>1</v>
      </c>
      <c r="S19" s="43">
        <f>[1]!cb_result_rationamt(A19)</f>
        <v>1.4019999999999999</v>
      </c>
      <c r="T19" s="44">
        <f>[1]!cb_list_rationvol(A19)/10000</f>
        <v>2349.9839999999999</v>
      </c>
      <c r="U19" s="1">
        <f>[1]!cb_list_originals(A19)</f>
        <v>0</v>
      </c>
      <c r="V19" s="1" t="str">
        <f>IF([1]!cb_list_pchnameonl(A19)=0,"",[1]!cb_list_pchnameonl(A19))</f>
        <v>隆基发债</v>
      </c>
      <c r="W19" s="1">
        <f>IF(V19="","",[1]!cb_list_pchpriceonl(A19))</f>
        <v>100</v>
      </c>
      <c r="X19" s="44">
        <f>IF(V19="","",[1]!cb_list_issuevolonl(A19)/10000)</f>
        <v>446.14600000000002</v>
      </c>
      <c r="Y19" s="44" t="str">
        <f>IF([1]!cb_list_volinstoff(A19)=0,"",[1]!cb_list_volinstoff(A19)/10000)</f>
        <v/>
      </c>
      <c r="Z19" s="45">
        <f>[1]!cb_result_rationcode(A19)</f>
        <v>0</v>
      </c>
      <c r="AA19" s="1">
        <f xml:space="preserve"> [1]!cb_result_efinvestornontrad(A19)</f>
        <v>0</v>
      </c>
      <c r="AB19" s="46">
        <f>[1]!cb_result_efamntnontrad(A19)/100000000</f>
        <v>0.31929000000000002</v>
      </c>
      <c r="AC19" s="46">
        <f xml:space="preserve"> [1]!cb_result_rationamtnontrad(A19)/100000000</f>
        <v>0.31929000000000002</v>
      </c>
      <c r="AD19" s="1">
        <f>[1]!cb_result_efinvestors(A19)</f>
        <v>0</v>
      </c>
      <c r="AE19" s="46">
        <f>[1]!cb_result_efsubscrpamt(A19)/100000000</f>
        <v>23.18055</v>
      </c>
      <c r="AF19" s="46">
        <f xml:space="preserve"> [1]!cb_result_avairationamttrad(A19)/100000000</f>
        <v>27.566729089179997</v>
      </c>
      <c r="AG19" s="46">
        <f xml:space="preserve"> [1]!cb_result_placeamnttrad(A19)/100000000</f>
        <v>23.18055</v>
      </c>
      <c r="AH19" s="46">
        <f>[1]!cb_result_efsubscrponl(A19)/10000</f>
        <v>514.47299999999996</v>
      </c>
      <c r="AI19" s="46">
        <f xml:space="preserve"> [1]!cb_result_efsubscrpamtonl(A19)/100000000</f>
        <v>49537.83728</v>
      </c>
      <c r="AJ19" s="46">
        <f xml:space="preserve"> [1]!s_ipo_bfund(A19)/100000000</f>
        <v>49561.017829999997</v>
      </c>
      <c r="AK19" s="46">
        <f xml:space="preserve"> [1]!cb_result_rationamtonl(A19)/100000000</f>
        <v>4.4614599999999998</v>
      </c>
      <c r="AL19" s="46">
        <f>[1]!cb_result_rationratioonl(A19)</f>
        <v>15.933785714285714</v>
      </c>
      <c r="AM19" s="46">
        <f>[1]!cb_list_excesspchonl(A19)</f>
        <v>11103.5036</v>
      </c>
      <c r="AN19" s="47">
        <f>[1]!cb_result_sucrateonl(A19)</f>
        <v>9.0061663E-3</v>
      </c>
      <c r="AO19" s="1" t="str">
        <f>[1]!cb_result_issueonl(A19)</f>
        <v>是</v>
      </c>
      <c r="AP19" s="1">
        <f>[1]!cb_result_efsubscrpoff(A19)</f>
        <v>0</v>
      </c>
      <c r="AQ19" s="48">
        <f>[1]!cb_list_effectpchvoloff(A19)/100000000</f>
        <v>0</v>
      </c>
      <c r="AR19" s="48">
        <f>[1]!cb_result_efsubscrpamtoff(A19)/100000000</f>
        <v>0</v>
      </c>
      <c r="AS19" s="48">
        <f xml:space="preserve"> [1]!s_ipo_op_amount(A19)/100000000</f>
        <v>0</v>
      </c>
      <c r="AT19" s="48">
        <f xml:space="preserve"> [1]!cb_result_rationamtoff(A19)/100000000</f>
        <v>0</v>
      </c>
      <c r="AU19" s="48">
        <f xml:space="preserve"> [1]!cb_result_sucrateoff(A19)</f>
        <v>0</v>
      </c>
      <c r="AV19" s="48">
        <f xml:space="preserve"> [1]!cb_result_balance(A19)/10000</f>
        <v>387</v>
      </c>
    </row>
    <row r="20" spans="1:48" x14ac:dyDescent="0.15">
      <c r="A20" s="34" t="s">
        <v>98</v>
      </c>
      <c r="B20" s="35" t="str">
        <f>[1]!cb_info_name(A20)</f>
        <v>小康转债</v>
      </c>
      <c r="C20" s="42" t="str">
        <f xml:space="preserve"> [1]!s_refrmkd_preplandate(A20)</f>
        <v>2017-04-06</v>
      </c>
      <c r="D20" s="42" t="str">
        <f>[1]!cb_war_annodatemeeting(A20)</f>
        <v>2017-04-22</v>
      </c>
      <c r="E20" s="42" t="str">
        <f xml:space="preserve"> [1]!cb_list_permitdate(A20)</f>
        <v>2017-08-02</v>
      </c>
      <c r="F20" s="42" t="str">
        <f>[1]!cb_list_announcedate(A20)</f>
        <v>2017-11-02</v>
      </c>
      <c r="G20" s="42" t="str">
        <f>[1]!cb_list_rationchkindate(A20)</f>
        <v>2017-11-03</v>
      </c>
      <c r="H20" s="42" t="str">
        <f>[1]!cb_list_rationdate(A20)</f>
        <v>2017-11-06</v>
      </c>
      <c r="I20" s="42" t="str">
        <f>[1]!cb_list_rationpaymtdate(A20)</f>
        <v>2017-11-06</v>
      </c>
      <c r="J20" s="42">
        <f xml:space="preserve"> [1]!cb_list_dateinstoff(A20)</f>
        <v>0</v>
      </c>
      <c r="K20" s="42" t="str">
        <f>[1]!cb_list_dtonl(A20)</f>
        <v>2017-11-06</v>
      </c>
      <c r="L20" s="42" t="str">
        <f>[1]!cb_list_annocedate(A20)</f>
        <v>2017-11-10</v>
      </c>
      <c r="M20" s="42" t="str">
        <f>[1]!cb_list_type(A20)</f>
        <v>优先配售和上网定价</v>
      </c>
      <c r="N20" s="42" t="str">
        <f>[1]!cb_result_explnration(A20)</f>
        <v>原股东可优先配售的小康转债数量为其在股权登记日（2017年11月3日，T-1日）收市后登记在册的持有小康股份的股份数量按每股配售1.649元面值可转债的比例计算可配售可转债金额，再按1,000元/手的比例转换为手数，每1手（10张）为一个申购单位，即每股配售0.001649手可转债</v>
      </c>
      <c r="O20" s="1" t="str">
        <f>IF([1]!cb_list_rationcode(A20)=0,"",[1]!cb_list_rationcode(A20))</f>
        <v>764127</v>
      </c>
      <c r="P20" s="1" t="str">
        <f>IF(O20="","",[1]!cb_list_rationname(A20))</f>
        <v>小康配债</v>
      </c>
      <c r="Q20" s="1">
        <f>IF(O20="","",[1]!cb_list_rationprice(A20))</f>
        <v>100</v>
      </c>
      <c r="R20" s="1">
        <f>IF(O20="","",[1]!cb_list_rationratiode(A20))</f>
        <v>1</v>
      </c>
      <c r="S20" s="43">
        <f>[1]!cb_result_rationamt(A20)</f>
        <v>1.649</v>
      </c>
      <c r="T20" s="44">
        <f>[1]!cb_list_rationvol(A20)/10000</f>
        <v>1339.5450000000001</v>
      </c>
      <c r="U20" s="1">
        <f>[1]!cb_list_originals(A20)</f>
        <v>0</v>
      </c>
      <c r="V20" s="1" t="str">
        <f>IF([1]!cb_list_pchnameonl(A20)=0,"",[1]!cb_list_pchnameonl(A20))</f>
        <v>小康发债</v>
      </c>
      <c r="W20" s="1">
        <f>IF(V20="","",[1]!cb_list_pchpriceonl(A20))</f>
        <v>100</v>
      </c>
      <c r="X20" s="44">
        <f>IF(V20="","",[1]!cb_list_issuevolonl(A20)/10000)</f>
        <v>159.13300000000001</v>
      </c>
      <c r="Y20" s="44" t="str">
        <f>IF([1]!cb_list_volinstoff(A20)=0,"",[1]!cb_list_volinstoff(A20)/10000)</f>
        <v/>
      </c>
      <c r="Z20" s="45">
        <f>[1]!cb_result_rationcode(A20)</f>
        <v>0</v>
      </c>
      <c r="AA20" s="1">
        <f xml:space="preserve"> [1]!cb_result_efinvestornontrad(A20)</f>
        <v>0</v>
      </c>
      <c r="AB20" s="46">
        <f>[1]!cb_result_efamntnontrad(A20)/100000000</f>
        <v>11.811019999999999</v>
      </c>
      <c r="AC20" s="46">
        <f xml:space="preserve"> [1]!cb_result_rationamtnontrad(A20)/100000000</f>
        <v>11.811019999999999</v>
      </c>
      <c r="AD20" s="1">
        <f>[1]!cb_result_efinvestors(A20)</f>
        <v>0</v>
      </c>
      <c r="AE20" s="46">
        <f>[1]!cb_result_efsubscrpamt(A20)/100000000</f>
        <v>1.58443</v>
      </c>
      <c r="AF20" s="46">
        <f xml:space="preserve"> [1]!cb_result_avairationamttrad(A20)/100000000</f>
        <v>2.9681999999999999</v>
      </c>
      <c r="AG20" s="46">
        <f xml:space="preserve"> [1]!cb_result_placeamnttrad(A20)/100000000</f>
        <v>1.58443</v>
      </c>
      <c r="AH20" s="46">
        <f>[1]!cb_result_efsubscrponl(A20)/10000</f>
        <v>569.39149999999995</v>
      </c>
      <c r="AI20" s="46">
        <f xml:space="preserve"> [1]!cb_result_efsubscrpamtonl(A20)/100000000</f>
        <v>55054.816590000002</v>
      </c>
      <c r="AJ20" s="46">
        <f xml:space="preserve"> [1]!s_ipo_bfund(A20)/100000000</f>
        <v>55056.401019999998</v>
      </c>
      <c r="AK20" s="46">
        <f xml:space="preserve"> [1]!cb_result_rationamtonl(A20)/100000000</f>
        <v>1.5913299999999999</v>
      </c>
      <c r="AL20" s="46">
        <f>[1]!cb_result_rationratioonl(A20)</f>
        <v>10.608866666666666</v>
      </c>
      <c r="AM20" s="46">
        <f>[1]!cb_list_excesspchonl(A20)</f>
        <v>34596.731399999997</v>
      </c>
      <c r="AN20" s="47">
        <f>[1]!cb_result_sucrateonl(A20)</f>
        <v>2.8904464999999998E-3</v>
      </c>
      <c r="AO20" s="1" t="str">
        <f>[1]!cb_result_issueonl(A20)</f>
        <v>是</v>
      </c>
      <c r="AP20" s="1">
        <f>[1]!cb_result_efsubscrpoff(A20)</f>
        <v>0</v>
      </c>
      <c r="AQ20" s="48">
        <f>[1]!cb_list_effectpchvoloff(A20)/100000000</f>
        <v>0</v>
      </c>
      <c r="AR20" s="48">
        <f>[1]!cb_result_efsubscrpamtoff(A20)/100000000</f>
        <v>0</v>
      </c>
      <c r="AS20" s="48">
        <f xml:space="preserve"> [1]!s_ipo_op_amount(A20)/100000000</f>
        <v>0</v>
      </c>
      <c r="AT20" s="48">
        <f xml:space="preserve"> [1]!cb_result_rationamtoff(A20)/100000000</f>
        <v>0</v>
      </c>
      <c r="AU20" s="48">
        <f xml:space="preserve"> [1]!cb_result_sucrateoff(A20)</f>
        <v>0</v>
      </c>
      <c r="AV20" s="48">
        <f xml:space="preserve"> [1]!cb_result_balance(A20)/10000</f>
        <v>132.19999999999999</v>
      </c>
    </row>
    <row r="21" spans="1:48" x14ac:dyDescent="0.15">
      <c r="A21" s="34" t="s">
        <v>99</v>
      </c>
      <c r="B21" s="35" t="str">
        <f>[1]!cb_info_name(A21)</f>
        <v>嘉澳转债</v>
      </c>
      <c r="C21" s="42" t="str">
        <f xml:space="preserve"> [1]!s_refrmkd_preplandate(A21)</f>
        <v>2017-03-16</v>
      </c>
      <c r="D21" s="42" t="str">
        <f>[1]!cb_war_annodatemeeting(A21)</f>
        <v>2017-04-01</v>
      </c>
      <c r="E21" s="42" t="str">
        <f xml:space="preserve"> [1]!cb_list_permitdate(A21)</f>
        <v>2017-08-29</v>
      </c>
      <c r="F21" s="42" t="str">
        <f>[1]!cb_list_announcedate(A21)</f>
        <v>2017-11-08</v>
      </c>
      <c r="G21" s="42" t="str">
        <f>[1]!cb_list_rationchkindate(A21)</f>
        <v>2017-11-09</v>
      </c>
      <c r="H21" s="42" t="str">
        <f>[1]!cb_list_rationdate(A21)</f>
        <v>2017-11-10</v>
      </c>
      <c r="I21" s="42" t="str">
        <f>[1]!cb_list_rationpaymtdate(A21)</f>
        <v>2017-11-10</v>
      </c>
      <c r="J21" s="42">
        <f xml:space="preserve"> [1]!cb_list_dateinstoff(A21)</f>
        <v>0</v>
      </c>
      <c r="K21" s="42" t="str">
        <f>[1]!cb_list_dtonl(A21)</f>
        <v>2017-11-10</v>
      </c>
      <c r="L21" s="42" t="str">
        <f>[1]!cb_list_annocedate(A21)</f>
        <v>2017-11-16</v>
      </c>
      <c r="M21" s="42" t="str">
        <f>[1]!cb_list_type(A21)</f>
        <v>优先配售和上网定价</v>
      </c>
      <c r="N21" s="42" t="str">
        <f>[1]!cb_result_explnration(A21)</f>
        <v>原股东可优先认购的可转债数量为股权登记日（2017年11月9日，T-1日）收市后登记在册的公司A股股份数乘以2.522元（即每股配售2.522元面值的可转债），再按每1,000元转换为1手，网上优先配售不足1手的部分按照精确算法取整。</v>
      </c>
      <c r="O21" s="1" t="str">
        <f>IF([1]!cb_list_rationcode(A21)=0,"",[1]!cb_list_rationcode(A21))</f>
        <v>753822</v>
      </c>
      <c r="P21" s="1" t="str">
        <f>IF(O21="","",[1]!cb_list_rationname(A21))</f>
        <v>嘉澳配债</v>
      </c>
      <c r="Q21" s="1">
        <f>IF(O21="","",[1]!cb_list_rationprice(A21))</f>
        <v>100</v>
      </c>
      <c r="R21" s="1">
        <f>IF(O21="","",[1]!cb_list_rationratiode(A21))</f>
        <v>1</v>
      </c>
      <c r="S21" s="43">
        <f>[1]!cb_result_rationamt(A21)</f>
        <v>2.5219999999999998</v>
      </c>
      <c r="T21" s="44">
        <f>[1]!cb_list_rationvol(A21)/10000</f>
        <v>109.979</v>
      </c>
      <c r="U21" s="1">
        <f>[1]!cb_list_originals(A21)</f>
        <v>0</v>
      </c>
      <c r="V21" s="1" t="str">
        <f>IF([1]!cb_list_pchnameonl(A21)=0,"",[1]!cb_list_pchnameonl(A21))</f>
        <v>嘉澳发债</v>
      </c>
      <c r="W21" s="1">
        <f>IF(V21="","",[1]!cb_list_pchpriceonl(A21))</f>
        <v>100</v>
      </c>
      <c r="X21" s="44">
        <f>IF(V21="","",[1]!cb_list_issuevolonl(A21)/10000)</f>
        <v>74.343999999999994</v>
      </c>
      <c r="Y21" s="44" t="str">
        <f>IF([1]!cb_list_volinstoff(A21)=0,"",[1]!cb_list_volinstoff(A21)/10000)</f>
        <v/>
      </c>
      <c r="Z21" s="45">
        <f>[1]!cb_result_rationcode(A21)</f>
        <v>0</v>
      </c>
      <c r="AA21" s="1">
        <f xml:space="preserve"> [1]!cb_result_efinvestornontrad(A21)</f>
        <v>0</v>
      </c>
      <c r="AB21" s="46">
        <f>[1]!cb_result_efamntnontrad(A21)/100000000</f>
        <v>0.27383999999999997</v>
      </c>
      <c r="AC21" s="46">
        <f xml:space="preserve"> [1]!cb_result_rationamtnontrad(A21)/100000000</f>
        <v>0.27383999999999997</v>
      </c>
      <c r="AD21" s="1">
        <f>[1]!cb_result_efinvestors(A21)</f>
        <v>0</v>
      </c>
      <c r="AE21" s="46">
        <f>[1]!cb_result_efsubscrpamt(A21)/100000000</f>
        <v>0.82594999999999996</v>
      </c>
      <c r="AF21" s="46">
        <f xml:space="preserve"> [1]!cb_result_avairationamttrad(A21)/100000000</f>
        <v>1.0239319999999998</v>
      </c>
      <c r="AG21" s="46">
        <f xml:space="preserve"> [1]!cb_result_placeamnttrad(A21)/100000000</f>
        <v>0.82594999999999996</v>
      </c>
      <c r="AH21" s="46">
        <f>[1]!cb_result_efsubscrponl(A21)/10000</f>
        <v>564.55669999999998</v>
      </c>
      <c r="AI21" s="46">
        <f xml:space="preserve"> [1]!cb_result_efsubscrpamtonl(A21)/100000000</f>
        <v>54594.336360000001</v>
      </c>
      <c r="AJ21" s="46">
        <f xml:space="preserve"> [1]!s_ipo_bfund(A21)/100000000</f>
        <v>54595.16231</v>
      </c>
      <c r="AK21" s="46">
        <f xml:space="preserve"> [1]!cb_result_rationamtonl(A21)/100000000</f>
        <v>0.74343999999999999</v>
      </c>
      <c r="AL21" s="46">
        <f>[1]!cb_result_rationratioonl(A21)</f>
        <v>40.185945945945946</v>
      </c>
      <c r="AM21" s="46">
        <f>[1]!cb_list_excesspchonl(A21)</f>
        <v>73434.757800000007</v>
      </c>
      <c r="AN21" s="47">
        <f>[1]!cb_result_sucrateonl(A21)</f>
        <v>1.3617530000000001E-3</v>
      </c>
      <c r="AO21" s="1" t="str">
        <f>[1]!cb_result_issueonl(A21)</f>
        <v>是</v>
      </c>
      <c r="AP21" s="1">
        <f>[1]!cb_result_efsubscrpoff(A21)</f>
        <v>0</v>
      </c>
      <c r="AQ21" s="48">
        <f>[1]!cb_list_effectpchvoloff(A21)/100000000</f>
        <v>0</v>
      </c>
      <c r="AR21" s="48">
        <f>[1]!cb_result_efsubscrpamtoff(A21)/100000000</f>
        <v>0</v>
      </c>
      <c r="AS21" s="48">
        <f xml:space="preserve"> [1]!s_ipo_op_amount(A21)/100000000</f>
        <v>0</v>
      </c>
      <c r="AT21" s="48">
        <f xml:space="preserve"> [1]!cb_result_rationamtoff(A21)/100000000</f>
        <v>0</v>
      </c>
      <c r="AU21" s="48">
        <f xml:space="preserve"> [1]!cb_result_sucrateoff(A21)</f>
        <v>0</v>
      </c>
      <c r="AV21" s="48">
        <f xml:space="preserve"> [1]!cb_result_balance(A21)/10000</f>
        <v>67.7</v>
      </c>
    </row>
    <row r="22" spans="1:48" x14ac:dyDescent="0.15">
      <c r="A22" s="34" t="s">
        <v>100</v>
      </c>
      <c r="B22" s="35" t="str">
        <f>[1]!cb_info_name(A22)</f>
        <v>蓝标转债</v>
      </c>
      <c r="C22" s="42" t="str">
        <f xml:space="preserve"> [1]!s_refrmkd_preplandate(A22)</f>
        <v>2015-07-30</v>
      </c>
      <c r="D22" s="42" t="str">
        <f>[1]!cb_war_annodatemeeting(A22)</f>
        <v>2015-08-14</v>
      </c>
      <c r="E22" s="42" t="str">
        <f xml:space="preserve"> [1]!cb_list_permitdate(A22)</f>
        <v>2015-05-29</v>
      </c>
      <c r="F22" s="42" t="str">
        <f>[1]!cb_list_announcedate(A22)</f>
        <v>2015-12-16</v>
      </c>
      <c r="G22" s="42" t="str">
        <f>[1]!cb_list_rationchkindate(A22)</f>
        <v>2015-12-17</v>
      </c>
      <c r="H22" s="42" t="str">
        <f>[1]!cb_list_rationdate(A22)</f>
        <v>2015-12-18</v>
      </c>
      <c r="I22" s="42" t="str">
        <f>[1]!cb_list_rationpaymtdate(A22)</f>
        <v>2015-12-18</v>
      </c>
      <c r="J22" s="42" t="str">
        <f xml:space="preserve"> [1]!cb_list_dateinstoff(A22)</f>
        <v>2015-12-18</v>
      </c>
      <c r="K22" s="42" t="str">
        <f>[1]!cb_list_dtonl(A22)</f>
        <v>2015-12-18</v>
      </c>
      <c r="L22" s="42" t="str">
        <f>[1]!cb_list_annocedate(A22)</f>
        <v>2015-12-23</v>
      </c>
      <c r="M22" s="42" t="str">
        <f>[1]!cb_list_type(A22)</f>
        <v>优先配售，网上定价和网下配售</v>
      </c>
      <c r="N22" s="42" t="str">
        <f>[1]!cb_result_explnration(A22)</f>
        <v>原股东可优先配售的蓝标转债数量为其在股权登记日收市后登记在册的持有“蓝色光标”股份数量按每股配售0.7249元面值可转债的比例，再按100元/张转换为张数，每1张为一个申购单位。</v>
      </c>
      <c r="O22" s="1" t="str">
        <f>IF([1]!cb_list_rationcode(A22)=0,"",[1]!cb_list_rationcode(A22))</f>
        <v>380058</v>
      </c>
      <c r="P22" s="1" t="str">
        <f>IF(O22="","",[1]!cb_list_rationname(A22))</f>
        <v>蓝标配债</v>
      </c>
      <c r="Q22" s="1">
        <f>IF(O22="","",[1]!cb_list_rationprice(A22))</f>
        <v>100</v>
      </c>
      <c r="R22" s="1">
        <f>IF(O22="","",[1]!cb_list_rationratiode(A22))</f>
        <v>1</v>
      </c>
      <c r="S22" s="43">
        <f>[1]!cb_result_rationamt(A22)</f>
        <v>0.72489999999999999</v>
      </c>
      <c r="T22" s="44">
        <f>[1]!cb_list_rationvol(A22)/10000</f>
        <v>702.18520000000001</v>
      </c>
      <c r="U22" s="1">
        <f>[1]!cb_list_originals(A22)</f>
        <v>0</v>
      </c>
      <c r="V22" s="1" t="str">
        <f>IF([1]!cb_list_pchnameonl(A22)=0,"",[1]!cb_list_pchnameonl(A22))</f>
        <v>蓝标发债</v>
      </c>
      <c r="W22" s="1">
        <f>IF(V22="","",[1]!cb_list_pchpriceonl(A22))</f>
        <v>100</v>
      </c>
      <c r="X22" s="44">
        <f>IF(V22="","",[1]!cb_list_issuevolonl(A22)/10000)</f>
        <v>2.843</v>
      </c>
      <c r="Y22" s="44">
        <f>IF([1]!cb_list_volinstoff(A22)=0,"",[1]!cb_list_volinstoff(A22)/10000)</f>
        <v>694.97180000000003</v>
      </c>
      <c r="Z22" s="45" t="str">
        <f>[1]!cb_result_rationcode(A22)</f>
        <v>25%</v>
      </c>
      <c r="AA22" s="1">
        <f xml:space="preserve"> [1]!cb_result_efinvestornontrad(A22)</f>
        <v>0</v>
      </c>
      <c r="AB22" s="46">
        <f>[1]!cb_result_efamntnontrad(A22)/100000000</f>
        <v>3.0456979999999998</v>
      </c>
      <c r="AC22" s="46">
        <f xml:space="preserve"> [1]!cb_result_rationamtnontrad(A22)/100000000</f>
        <v>3.0456979999999998</v>
      </c>
      <c r="AD22" s="1">
        <f>[1]!cb_result_efinvestors(A22)</f>
        <v>0</v>
      </c>
      <c r="AE22" s="46">
        <f>[1]!cb_result_efsubscrpamt(A22)/100000000</f>
        <v>3.9761540000000002</v>
      </c>
      <c r="AF22" s="46">
        <f xml:space="preserve"> [1]!cb_result_avairationamttrad(A22)/100000000</f>
        <v>10.429602562929</v>
      </c>
      <c r="AG22" s="46">
        <f xml:space="preserve"> [1]!cb_result_placeamnttrad(A22)/100000000</f>
        <v>3.9761540000000002</v>
      </c>
      <c r="AH22" s="46">
        <f>[1]!cb_result_efsubscrponl(A22)/10000</f>
        <v>0</v>
      </c>
      <c r="AI22" s="46">
        <f xml:space="preserve"> [1]!cb_result_efsubscrpamtonl(A22)/100000000</f>
        <v>48.837560000000003</v>
      </c>
      <c r="AJ22" s="46">
        <f xml:space="preserve"> [1]!s_ipo_bfund(A22)/100000000</f>
        <v>52.813713999999997</v>
      </c>
      <c r="AK22" s="46">
        <f xml:space="preserve"> [1]!cb_result_rationamtonl(A22)/100000000</f>
        <v>2.843E-2</v>
      </c>
      <c r="AL22" s="46">
        <f>[1]!cb_result_rationratioonl(A22)</f>
        <v>0.20307142857142857</v>
      </c>
      <c r="AM22" s="46">
        <f>[1]!cb_list_excesspchonl(A22)</f>
        <v>1717.8178</v>
      </c>
      <c r="AN22" s="47">
        <f>[1]!cb_result_sucrateonl(A22)</f>
        <v>5.8213391500000003E-2</v>
      </c>
      <c r="AO22" s="1" t="str">
        <f>[1]!cb_result_issueonl(A22)</f>
        <v>否</v>
      </c>
      <c r="AP22" s="1">
        <f>[1]!cb_result_efsubscrpoff(A22)</f>
        <v>2297</v>
      </c>
      <c r="AQ22" s="48">
        <f>[1]!cb_list_effectpchvoloff(A22)/100000000</f>
        <v>11.938940000000001</v>
      </c>
      <c r="AR22" s="48">
        <f>[1]!cb_result_efsubscrpamtoff(A22)/100000000</f>
        <v>11938.94</v>
      </c>
      <c r="AS22" s="48">
        <f xml:space="preserve"> [1]!s_ipo_op_amount(A22)/100000000</f>
        <v>2987.780698</v>
      </c>
      <c r="AT22" s="48">
        <f xml:space="preserve"> [1]!cb_result_rationamtoff(A22)/100000000</f>
        <v>6.9497179999999998</v>
      </c>
      <c r="AU22" s="48">
        <f xml:space="preserve"> [1]!cb_result_sucrateoff(A22)</f>
        <v>5.8210511200000002E-2</v>
      </c>
      <c r="AV22" s="48">
        <f xml:space="preserve"> [1]!cb_result_balance(A22)/10000</f>
        <v>0</v>
      </c>
    </row>
    <row r="23" spans="1:48" x14ac:dyDescent="0.15">
      <c r="A23" s="34" t="s">
        <v>101</v>
      </c>
      <c r="B23" s="35" t="str">
        <f>[1]!cb_info_name(A23)</f>
        <v>海印转债</v>
      </c>
      <c r="C23" s="42" t="str">
        <f xml:space="preserve"> [1]!s_refrmkd_preplandate(A23)</f>
        <v>2015-06-28</v>
      </c>
      <c r="D23" s="42" t="str">
        <f>[1]!cb_war_annodatemeeting(A23)</f>
        <v>2015-08-18</v>
      </c>
      <c r="E23" s="42" t="str">
        <f xml:space="preserve"> [1]!cb_list_permitdate(A23)</f>
        <v>2016-01-29</v>
      </c>
      <c r="F23" s="42" t="str">
        <f>[1]!cb_list_announcedate(A23)</f>
        <v>2016-06-06</v>
      </c>
      <c r="G23" s="42" t="str">
        <f>[1]!cb_list_rationchkindate(A23)</f>
        <v>2016-06-07</v>
      </c>
      <c r="H23" s="42" t="str">
        <f>[1]!cb_list_rationdate(A23)</f>
        <v>2016-06-08</v>
      </c>
      <c r="I23" s="42" t="str">
        <f>[1]!cb_list_rationpaymtdate(A23)</f>
        <v>2016-06-08</v>
      </c>
      <c r="J23" s="42" t="str">
        <f xml:space="preserve"> [1]!cb_list_dateinstoff(A23)</f>
        <v>2016-06-08</v>
      </c>
      <c r="K23" s="42" t="str">
        <f>[1]!cb_list_dtonl(A23)</f>
        <v>2016-06-08</v>
      </c>
      <c r="L23" s="42" t="str">
        <f>[1]!cb_list_annocedate(A23)</f>
        <v>2016-06-15</v>
      </c>
      <c r="M23" s="42" t="str">
        <f>[1]!cb_list_type(A23)</f>
        <v>优先配售，网上定价和网下配售</v>
      </c>
      <c r="N23" s="42" t="str">
        <f>[1]!cb_result_explnration(A23)</f>
        <v>原股东可优先配售的海印转债数量为其在股权登记日（2016年6月7日，T-1日）收市后登记在册的持有海印股份的股份数量按每股配售0.4938元面值可转债的比例计算可配售可转债金额，再按100元/张转换为可转债张数。</v>
      </c>
      <c r="O23" s="1" t="str">
        <f>IF([1]!cb_list_rationcode(A23)=0,"",[1]!cb_list_rationcode(A23))</f>
        <v>080861</v>
      </c>
      <c r="P23" s="1" t="str">
        <f>IF(O23="","",[1]!cb_list_rationname(A23))</f>
        <v>海印配债</v>
      </c>
      <c r="Q23" s="1">
        <f>IF(O23="","",[1]!cb_list_rationprice(A23))</f>
        <v>100</v>
      </c>
      <c r="R23" s="1">
        <f>IF(O23="","",[1]!cb_list_rationratiode(A23))</f>
        <v>1</v>
      </c>
      <c r="S23" s="43">
        <f>[1]!cb_result_rationamt(A23)</f>
        <v>0.49380000000000002</v>
      </c>
      <c r="T23" s="44">
        <f>[1]!cb_list_rationvol(A23)/10000</f>
        <v>754.73019999999997</v>
      </c>
      <c r="U23" s="1">
        <f>[1]!cb_list_originals(A23)</f>
        <v>0</v>
      </c>
      <c r="V23" s="1" t="str">
        <f>IF([1]!cb_list_pchnameonl(A23)=0,"",[1]!cb_list_pchnameonl(A23))</f>
        <v>海印发债</v>
      </c>
      <c r="W23" s="1">
        <f>IF(V23="","",[1]!cb_list_pchpriceonl(A23))</f>
        <v>100</v>
      </c>
      <c r="X23" s="44">
        <f>IF(V23="","",[1]!cb_list_issuevolonl(A23)/10000)</f>
        <v>2.0379999999999998</v>
      </c>
      <c r="Y23" s="44">
        <f>IF([1]!cb_list_volinstoff(A23)=0,"",[1]!cb_list_volinstoff(A23)/10000)</f>
        <v>354.23180000000002</v>
      </c>
      <c r="Z23" s="45" t="str">
        <f>[1]!cb_result_rationcode(A23)</f>
        <v>25%</v>
      </c>
      <c r="AA23" s="1">
        <f xml:space="preserve"> [1]!cb_result_efinvestornontrad(A23)</f>
        <v>0</v>
      </c>
      <c r="AB23" s="46">
        <f>[1]!cb_result_efamntnontrad(A23)/100000000</f>
        <v>5.3512120000000003</v>
      </c>
      <c r="AC23" s="46">
        <f xml:space="preserve"> [1]!cb_result_rationamtnontrad(A23)/100000000</f>
        <v>5.3512120000000003</v>
      </c>
      <c r="AD23" s="1">
        <f>[1]!cb_result_efinvestors(A23)</f>
        <v>0</v>
      </c>
      <c r="AE23" s="46">
        <f>[1]!cb_result_efsubscrpamt(A23)/100000000</f>
        <v>2.1960899999999999</v>
      </c>
      <c r="AF23" s="46">
        <f xml:space="preserve"> [1]!cb_result_avairationamttrad(A23)/100000000</f>
        <v>9.1872085917839996</v>
      </c>
      <c r="AG23" s="46">
        <f xml:space="preserve"> [1]!cb_result_placeamnttrad(A23)/100000000</f>
        <v>2.1960899999999999</v>
      </c>
      <c r="AH23" s="46">
        <f>[1]!cb_result_efsubscrponl(A23)/10000</f>
        <v>0</v>
      </c>
      <c r="AI23" s="46">
        <f xml:space="preserve"> [1]!cb_result_efsubscrpamtonl(A23)/100000000</f>
        <v>20.423310000000001</v>
      </c>
      <c r="AJ23" s="46">
        <f xml:space="preserve"> [1]!s_ipo_bfund(A23)/100000000</f>
        <v>22.619399999999999</v>
      </c>
      <c r="AK23" s="46">
        <f xml:space="preserve"> [1]!cb_result_rationamtonl(A23)/100000000</f>
        <v>2.0379999999999999E-2</v>
      </c>
      <c r="AL23" s="46">
        <f>[1]!cb_result_rationratioonl(A23)</f>
        <v>0.18343834383438343</v>
      </c>
      <c r="AM23" s="46">
        <f>[1]!cb_list_excesspchonl(A23)</f>
        <v>1002.1251</v>
      </c>
      <c r="AN23" s="47">
        <f>[1]!cb_result_sucrateonl(A23)</f>
        <v>9.9788000000000002E-2</v>
      </c>
      <c r="AO23" s="1" t="str">
        <f>[1]!cb_result_issueonl(A23)</f>
        <v>否</v>
      </c>
      <c r="AP23" s="1">
        <f>[1]!cb_result_efsubscrpoff(A23)</f>
        <v>714</v>
      </c>
      <c r="AQ23" s="48">
        <f>[1]!cb_list_effectpchvoloff(A23)/100000000</f>
        <v>3.5511300000000001</v>
      </c>
      <c r="AR23" s="48">
        <f>[1]!cb_result_efsubscrpamtoff(A23)/100000000</f>
        <v>3551.13</v>
      </c>
      <c r="AS23" s="48">
        <f xml:space="preserve"> [1]!s_ipo_op_amount(A23)/100000000</f>
        <v>893.13371199999995</v>
      </c>
      <c r="AT23" s="48">
        <f xml:space="preserve"> [1]!cb_result_rationamtoff(A23)/100000000</f>
        <v>3.5423179999999999</v>
      </c>
      <c r="AU23" s="48">
        <f xml:space="preserve"> [1]!cb_result_sucrateoff(A23)</f>
        <v>9.9751999999999993E-2</v>
      </c>
      <c r="AV23" s="48">
        <f xml:space="preserve"> [1]!cb_result_balance(A23)/10000</f>
        <v>0</v>
      </c>
    </row>
    <row r="24" spans="1:48" x14ac:dyDescent="0.15">
      <c r="A24" s="34" t="s">
        <v>102</v>
      </c>
      <c r="B24" s="35" t="str">
        <f>[1]!cb_info_name(A24)</f>
        <v>模塑转债</v>
      </c>
      <c r="C24" s="42" t="str">
        <f xml:space="preserve"> [1]!s_refrmkd_preplandate(A24)</f>
        <v>2017-05-27</v>
      </c>
      <c r="D24" s="42">
        <f>[1]!cb_war_annodatemeeting(A24)</f>
        <v>0</v>
      </c>
      <c r="E24" s="42" t="str">
        <f xml:space="preserve"> [1]!cb_list_permitdate(A24)</f>
        <v>2016-12-21</v>
      </c>
      <c r="F24" s="42" t="str">
        <f>[1]!cb_list_announcedate(A24)</f>
        <v>2017-05-31</v>
      </c>
      <c r="G24" s="42" t="str">
        <f>[1]!cb_list_rationchkindate(A24)</f>
        <v>2017-06-01</v>
      </c>
      <c r="H24" s="42" t="str">
        <f>[1]!cb_list_rationdate(A24)</f>
        <v>2017-06-02</v>
      </c>
      <c r="I24" s="42" t="str">
        <f>[1]!cb_list_rationpaymtdate(A24)</f>
        <v>2017-06-02</v>
      </c>
      <c r="J24" s="42" t="str">
        <f xml:space="preserve"> [1]!cb_list_dateinstoff(A24)</f>
        <v>2017-06-02</v>
      </c>
      <c r="K24" s="42" t="str">
        <f>[1]!cb_list_dtonl(A24)</f>
        <v>2017-06-02</v>
      </c>
      <c r="L24" s="42" t="str">
        <f>[1]!cb_list_annocedate(A24)</f>
        <v>2017-06-07</v>
      </c>
      <c r="M24" s="42" t="str">
        <f>[1]!cb_list_type(A24)</f>
        <v>优先配售，网上定价和网下配售</v>
      </c>
      <c r="N24" s="42" t="str">
        <f>[1]!cb_result_explnration(A24)</f>
        <v>原股东可优先配售的模塑转债数量为其在股权登记日（2017年6月1日，T-1日）收市后登记在册的持有模塑科技的股份数量按每股配售1.1344元面值可转债的比例计算可配售可转债金额，再按100元/张转换为可转债张数，每1张为一个申购单位。</v>
      </c>
      <c r="O24" s="1" t="str">
        <f>IF([1]!cb_list_rationcode(A24)=0,"",[1]!cb_list_rationcode(A24))</f>
        <v>080700</v>
      </c>
      <c r="P24" s="1" t="str">
        <f>IF(O24="","",[1]!cb_list_rationname(A24))</f>
        <v>模塑配债</v>
      </c>
      <c r="Q24" s="1">
        <f>IF(O24="","",[1]!cb_list_rationprice(A24))</f>
        <v>100</v>
      </c>
      <c r="R24" s="1">
        <f>IF(O24="","",[1]!cb_list_rationratiode(A24))</f>
        <v>1</v>
      </c>
      <c r="S24" s="43">
        <f>[1]!cb_result_rationamt(A24)</f>
        <v>1.1344000000000001</v>
      </c>
      <c r="T24" s="44">
        <f>[1]!cb_list_rationvol(A24)/10000</f>
        <v>441.7353</v>
      </c>
      <c r="U24" s="1">
        <f>[1]!cb_list_originals(A24)</f>
        <v>0</v>
      </c>
      <c r="V24" s="1" t="str">
        <f>IF([1]!cb_list_pchnameonl(A24)=0,"",[1]!cb_list_pchnameonl(A24))</f>
        <v>模塑发债</v>
      </c>
      <c r="W24" s="1">
        <f>IF(V24="","",[1]!cb_list_pchpriceonl(A24))</f>
        <v>100</v>
      </c>
      <c r="X24" s="44">
        <f>IF(V24="","",[1]!cb_list_issuevolonl(A24)/10000)</f>
        <v>2.1560000000000001</v>
      </c>
      <c r="Y24" s="44">
        <f>IF([1]!cb_list_volinstoff(A24)=0,"",[1]!cb_list_volinstoff(A24)/10000)</f>
        <v>369.76870000000002</v>
      </c>
      <c r="Z24" s="45" t="str">
        <f>[1]!cb_result_rationcode(A24)</f>
        <v>10%</v>
      </c>
      <c r="AA24" s="1">
        <f xml:space="preserve"> [1]!cb_result_efinvestornontrad(A24)</f>
        <v>0</v>
      </c>
      <c r="AB24" s="46">
        <f>[1]!cb_result_efamntnontrad(A24)/100000000</f>
        <v>2.6902680000000001</v>
      </c>
      <c r="AC24" s="46">
        <f xml:space="preserve"> [1]!cb_result_rationamtnontrad(A24)/100000000</f>
        <v>2.6902680000000001</v>
      </c>
      <c r="AD24" s="1">
        <f>[1]!cb_result_efinvestors(A24)</f>
        <v>0</v>
      </c>
      <c r="AE24" s="46">
        <f>[1]!cb_result_efsubscrpamt(A24)/100000000</f>
        <v>1.727085</v>
      </c>
      <c r="AF24" s="46">
        <f xml:space="preserve"> [1]!cb_result_avairationamttrad(A24)/100000000</f>
        <v>7.9111213961280002</v>
      </c>
      <c r="AG24" s="46">
        <f xml:space="preserve"> [1]!cb_result_placeamnttrad(A24)/100000000</f>
        <v>1.727085</v>
      </c>
      <c r="AH24" s="46">
        <f>[1]!cb_result_efsubscrponl(A24)/10000</f>
        <v>0</v>
      </c>
      <c r="AI24" s="46">
        <f xml:space="preserve"> [1]!cb_result_efsubscrpamtonl(A24)/100000000</f>
        <v>4.2387499999999996</v>
      </c>
      <c r="AJ24" s="46">
        <f xml:space="preserve"> [1]!s_ipo_bfund(A24)/100000000</f>
        <v>5.9658350000000002</v>
      </c>
      <c r="AK24" s="46">
        <f xml:space="preserve"> [1]!cb_result_rationamtonl(A24)/100000000</f>
        <v>2.1559999999999999E-2</v>
      </c>
      <c r="AL24" s="46">
        <f>[1]!cb_result_rationratioonl(A24)</f>
        <v>0.26497554260993533</v>
      </c>
      <c r="AM24" s="46">
        <f>[1]!cb_list_excesspchonl(A24)</f>
        <v>196.60249999999999</v>
      </c>
      <c r="AN24" s="47">
        <f>[1]!cb_result_sucrateonl(A24)</f>
        <v>0.50864051899999996</v>
      </c>
      <c r="AO24" s="1" t="str">
        <f>[1]!cb_result_issueonl(A24)</f>
        <v>否</v>
      </c>
      <c r="AP24" s="1">
        <f>[1]!cb_result_efsubscrpoff(A24)</f>
        <v>1486</v>
      </c>
      <c r="AQ24" s="48">
        <f>[1]!cb_list_effectpchvoloff(A24)/100000000</f>
        <v>0.72728999999999999</v>
      </c>
      <c r="AR24" s="48">
        <f>[1]!cb_result_efsubscrpamtoff(A24)/100000000</f>
        <v>727.29</v>
      </c>
      <c r="AS24" s="48">
        <f xml:space="preserve"> [1]!s_ipo_op_amount(A24)/100000000</f>
        <v>75.419268000000002</v>
      </c>
      <c r="AT24" s="48">
        <f xml:space="preserve"> [1]!cb_result_rationamtoff(A24)/100000000</f>
        <v>3.6976870000000002</v>
      </c>
      <c r="AU24" s="48">
        <f xml:space="preserve"> [1]!cb_result_sucrateoff(A24)</f>
        <v>0.50841999999999998</v>
      </c>
      <c r="AV24" s="48">
        <f xml:space="preserve"> [1]!cb_result_balance(A24)/10000</f>
        <v>0</v>
      </c>
    </row>
    <row r="25" spans="1:48" x14ac:dyDescent="0.15">
      <c r="A25" s="34" t="s">
        <v>103</v>
      </c>
      <c r="B25" s="35" t="str">
        <f>[1]!cb_info_name(A25)</f>
        <v>顺昌转债</v>
      </c>
      <c r="C25" s="42" t="str">
        <f xml:space="preserve"> [1]!s_refrmkd_preplandate(A25)</f>
        <v>2015-08-04</v>
      </c>
      <c r="D25" s="42" t="str">
        <f>[1]!cb_war_annodatemeeting(A25)</f>
        <v>2015-08-22</v>
      </c>
      <c r="E25" s="42" t="str">
        <f xml:space="preserve"> [1]!cb_list_permitdate(A25)</f>
        <v>2015-04-01</v>
      </c>
      <c r="F25" s="42" t="str">
        <f>[1]!cb_list_announcedate(A25)</f>
        <v>2016-01-20</v>
      </c>
      <c r="G25" s="42" t="str">
        <f>[1]!cb_list_rationchkindate(A25)</f>
        <v>2016-01-21</v>
      </c>
      <c r="H25" s="42" t="str">
        <f>[1]!cb_list_rationdate(A25)</f>
        <v>2016-01-22</v>
      </c>
      <c r="I25" s="42" t="str">
        <f>[1]!cb_list_rationpaymtdate(A25)</f>
        <v>2016-01-22</v>
      </c>
      <c r="J25" s="42" t="str">
        <f xml:space="preserve"> [1]!cb_list_dateinstoff(A25)</f>
        <v>2016-01-22</v>
      </c>
      <c r="K25" s="42" t="str">
        <f>[1]!cb_list_dtonl(A25)</f>
        <v>2016-01-22</v>
      </c>
      <c r="L25" s="42" t="str">
        <f>[1]!cb_list_annocedate(A25)</f>
        <v>2016-01-27</v>
      </c>
      <c r="M25" s="42" t="str">
        <f>[1]!cb_list_type(A25)</f>
        <v>优先配售，网上定价和网下配售</v>
      </c>
      <c r="N25" s="42" t="str">
        <f>[1]!cb_result_explnration(A25)</f>
        <v>A股股东可优先配售的顺昌转债数量为其在股权登记日收市后登记在册的持有澳洋顺昌股份数量按每股配售0.523822元面值可转债的比例计算可配售可转债金额,再按100元/张转换为可转债张数，每1张为一个申购单位。</v>
      </c>
      <c r="O25" s="1" t="str">
        <f>IF([1]!cb_list_rationcode(A25)=0,"",[1]!cb_list_rationcode(A25))</f>
        <v>082245</v>
      </c>
      <c r="P25" s="1" t="str">
        <f>IF(O25="","",[1]!cb_list_rationname(A25))</f>
        <v>顺昌配债</v>
      </c>
      <c r="Q25" s="1">
        <f>IF(O25="","",[1]!cb_list_rationprice(A25))</f>
        <v>100</v>
      </c>
      <c r="R25" s="1">
        <f>IF(O25="","",[1]!cb_list_rationratiode(A25))</f>
        <v>1</v>
      </c>
      <c r="S25" s="43">
        <f>[1]!cb_result_rationamt(A25)</f>
        <v>0.52380000000000004</v>
      </c>
      <c r="T25" s="44">
        <f>[1]!cb_list_rationvol(A25)/10000</f>
        <v>74.171099999999996</v>
      </c>
      <c r="U25" s="1">
        <f>[1]!cb_list_originals(A25)</f>
        <v>0</v>
      </c>
      <c r="V25" s="1" t="str">
        <f>IF([1]!cb_list_pchnameonl(A25)=0,"",[1]!cb_list_pchnameonl(A25))</f>
        <v>顺昌发债</v>
      </c>
      <c r="W25" s="1">
        <f>IF(V25="","",[1]!cb_list_pchpriceonl(A25))</f>
        <v>100</v>
      </c>
      <c r="X25" s="44">
        <f>IF(V25="","",[1]!cb_list_issuevolonl(A25)/10000)</f>
        <v>7.53</v>
      </c>
      <c r="Y25" s="44">
        <f>IF([1]!cb_list_volinstoff(A25)=0,"",[1]!cb_list_volinstoff(A25)/10000)</f>
        <v>428.2989</v>
      </c>
      <c r="Z25" s="45" t="str">
        <f>[1]!cb_result_rationcode(A25)</f>
        <v>50%</v>
      </c>
      <c r="AA25" s="1">
        <f xml:space="preserve"> [1]!cb_result_efinvestornontrad(A25)</f>
        <v>0</v>
      </c>
      <c r="AB25" s="46">
        <f>[1]!cb_result_efamntnontrad(A25)/100000000</f>
        <v>1.9699999999999999E-2</v>
      </c>
      <c r="AC25" s="46">
        <f xml:space="preserve"> [1]!cb_result_rationamtnontrad(A25)/100000000</f>
        <v>1.9699999999999999E-2</v>
      </c>
      <c r="AD25" s="1">
        <f>[1]!cb_result_efinvestors(A25)</f>
        <v>0</v>
      </c>
      <c r="AE25" s="46">
        <f>[1]!cb_result_efsubscrpamt(A25)/100000000</f>
        <v>0.72201099999999996</v>
      </c>
      <c r="AF25" s="46">
        <f xml:space="preserve"> [1]!cb_result_avairationamttrad(A25)/100000000</f>
        <v>4.6881776631419996</v>
      </c>
      <c r="AG25" s="46">
        <f xml:space="preserve"> [1]!cb_result_placeamnttrad(A25)/100000000</f>
        <v>0.72201099999999996</v>
      </c>
      <c r="AH25" s="46">
        <f>[1]!cb_result_efsubscrponl(A25)/10000</f>
        <v>0</v>
      </c>
      <c r="AI25" s="46">
        <f xml:space="preserve"> [1]!cb_result_efsubscrpamtonl(A25)/100000000</f>
        <v>11.81101</v>
      </c>
      <c r="AJ25" s="46">
        <f xml:space="preserve"> [1]!s_ipo_bfund(A25)/100000000</f>
        <v>12.533021</v>
      </c>
      <c r="AK25" s="46">
        <f xml:space="preserve"> [1]!cb_result_rationamtonl(A25)/100000000</f>
        <v>7.5300000000000006E-2</v>
      </c>
      <c r="AL25" s="46">
        <f>[1]!cb_result_rationratioonl(A25)</f>
        <v>1.4764705882352942</v>
      </c>
      <c r="AM25" s="46">
        <f>[1]!cb_list_excesspchonl(A25)</f>
        <v>156.8527</v>
      </c>
      <c r="AN25" s="47">
        <f>[1]!cb_result_sucrateonl(A25)</f>
        <v>0.63754073529999999</v>
      </c>
      <c r="AO25" s="1" t="str">
        <f>[1]!cb_result_issueonl(A25)</f>
        <v>否</v>
      </c>
      <c r="AP25" s="1">
        <f>[1]!cb_result_efsubscrpoff(A25)</f>
        <v>286</v>
      </c>
      <c r="AQ25" s="48">
        <f>[1]!cb_list_effectpchvoloff(A25)/100000000</f>
        <v>0.67181999999999997</v>
      </c>
      <c r="AR25" s="48">
        <f>[1]!cb_result_efsubscrpamtoff(A25)/100000000</f>
        <v>671.82</v>
      </c>
      <c r="AS25" s="48">
        <f xml:space="preserve"> [1]!s_ipo_op_amount(A25)/100000000</f>
        <v>335.92970000000003</v>
      </c>
      <c r="AT25" s="48">
        <f xml:space="preserve"> [1]!cb_result_rationamtoff(A25)/100000000</f>
        <v>4.2829889999999997</v>
      </c>
      <c r="AU25" s="48">
        <f xml:space="preserve"> [1]!cb_result_sucrateoff(A25)</f>
        <v>0.63749999999999996</v>
      </c>
      <c r="AV25" s="48">
        <f xml:space="preserve"> [1]!cb_result_balance(A25)/10000</f>
        <v>0</v>
      </c>
    </row>
    <row r="26" spans="1:48" x14ac:dyDescent="0.15">
      <c r="A26" s="34" t="s">
        <v>104</v>
      </c>
      <c r="B26" s="35" t="str">
        <f>[1]!cb_info_name(A26)</f>
        <v>辉丰转债</v>
      </c>
      <c r="C26" s="42" t="str">
        <f xml:space="preserve"> [1]!s_refrmkd_preplandate(A26)</f>
        <v>2015-05-28</v>
      </c>
      <c r="D26" s="42" t="str">
        <f>[1]!cb_war_annodatemeeting(A26)</f>
        <v>2015-06-17</v>
      </c>
      <c r="E26" s="42" t="str">
        <f xml:space="preserve"> [1]!cb_list_permitdate(A26)</f>
        <v>2015-12-30</v>
      </c>
      <c r="F26" s="42" t="str">
        <f>[1]!cb_list_announcedate(A26)</f>
        <v>2016-04-18</v>
      </c>
      <c r="G26" s="42" t="str">
        <f>[1]!cb_list_rationchkindate(A26)</f>
        <v>2016-04-20</v>
      </c>
      <c r="H26" s="42" t="str">
        <f>[1]!cb_list_rationdate(A26)</f>
        <v>2016-04-21</v>
      </c>
      <c r="I26" s="42" t="str">
        <f>[1]!cb_list_rationpaymtdate(A26)</f>
        <v>2016-04-21</v>
      </c>
      <c r="J26" s="42">
        <f xml:space="preserve"> [1]!cb_list_dateinstoff(A26)</f>
        <v>0</v>
      </c>
      <c r="K26" s="42" t="str">
        <f>[1]!cb_list_dtonl(A26)</f>
        <v>2016-04-21</v>
      </c>
      <c r="L26" s="42" t="str">
        <f>[1]!cb_list_annocedate(A26)</f>
        <v>2016-04-26</v>
      </c>
      <c r="M26" s="42" t="str">
        <f>[1]!cb_list_type(A26)</f>
        <v>优先配售和上网定价</v>
      </c>
      <c r="N26" s="42" t="str">
        <f>[1]!cb_result_explnration(A26)</f>
        <v>原股东可优先配售的可转债数量为其在股权登记日收市后登记在册的持有发行人股份数按每股配售2.1300元可转债的比例，再按100元/张转换成张数，每1张为一个申购单位。</v>
      </c>
      <c r="O26" s="1" t="str">
        <f>IF([1]!cb_list_rationcode(A26)=0,"",[1]!cb_list_rationcode(A26))</f>
        <v>082496</v>
      </c>
      <c r="P26" s="1" t="str">
        <f>IF(O26="","",[1]!cb_list_rationname(A26))</f>
        <v>辉丰配债</v>
      </c>
      <c r="Q26" s="1">
        <f>IF(O26="","",[1]!cb_list_rationprice(A26))</f>
        <v>100</v>
      </c>
      <c r="R26" s="1">
        <f>IF(O26="","",[1]!cb_list_rationratiode(A26))</f>
        <v>1</v>
      </c>
      <c r="S26" s="43">
        <f>[1]!cb_result_rationamt(A26)</f>
        <v>2.13</v>
      </c>
      <c r="T26" s="44">
        <f>[1]!cb_list_rationvol(A26)/10000</f>
        <v>300.93419999999998</v>
      </c>
      <c r="U26" s="1">
        <f>[1]!cb_list_originals(A26)</f>
        <v>0</v>
      </c>
      <c r="V26" s="1" t="str">
        <f>IF([1]!cb_list_pchnameonl(A26)=0,"",[1]!cb_list_pchnameonl(A26))</f>
        <v>辉丰发债</v>
      </c>
      <c r="W26" s="1">
        <f>IF(V26="","",[1]!cb_list_pchpriceonl(A26))</f>
        <v>100</v>
      </c>
      <c r="X26" s="44">
        <f>IF(V26="","",[1]!cb_list_issuevolonl(A26)/10000)</f>
        <v>544.06500000000005</v>
      </c>
      <c r="Y26" s="44" t="str">
        <f>IF([1]!cb_list_volinstoff(A26)=0,"",[1]!cb_list_volinstoff(A26)/10000)</f>
        <v/>
      </c>
      <c r="Z26" s="45">
        <f>[1]!cb_result_rationcode(A26)</f>
        <v>0</v>
      </c>
      <c r="AA26" s="1">
        <f xml:space="preserve"> [1]!cb_result_efinvestornontrad(A26)</f>
        <v>0</v>
      </c>
      <c r="AB26" s="46">
        <f>[1]!cb_result_efamntnontrad(A26)/100000000</f>
        <v>1.4983599999999999</v>
      </c>
      <c r="AC26" s="46">
        <f xml:space="preserve"> [1]!cb_result_rationamtnontrad(A26)/100000000</f>
        <v>1.4983599999999999</v>
      </c>
      <c r="AD26" s="1">
        <f>[1]!cb_result_efinvestors(A26)</f>
        <v>0</v>
      </c>
      <c r="AE26" s="46">
        <f>[1]!cb_result_efsubscrpamt(A26)/100000000</f>
        <v>1.510982</v>
      </c>
      <c r="AF26" s="46">
        <f xml:space="preserve"> [1]!cb_result_avairationamttrad(A26)/100000000</f>
        <v>4.8831898194000001</v>
      </c>
      <c r="AG26" s="46">
        <f xml:space="preserve"> [1]!cb_result_placeamnttrad(A26)/100000000</f>
        <v>1.510982</v>
      </c>
      <c r="AH26" s="46">
        <f>[1]!cb_result_efsubscrponl(A26)/10000</f>
        <v>0</v>
      </c>
      <c r="AI26" s="46">
        <f xml:space="preserve"> [1]!cb_result_efsubscrpamtonl(A26)/100000000</f>
        <v>550.83537000000001</v>
      </c>
      <c r="AJ26" s="46">
        <f xml:space="preserve"> [1]!s_ipo_bfund(A26)/100000000</f>
        <v>552.34635200000002</v>
      </c>
      <c r="AK26" s="46">
        <f xml:space="preserve"> [1]!cb_result_rationamtonl(A26)/100000000</f>
        <v>5.4406499999999998</v>
      </c>
      <c r="AL26" s="46">
        <f>[1]!cb_result_rationratioonl(A26)</f>
        <v>64.386390532544382</v>
      </c>
      <c r="AM26" s="46">
        <f>[1]!cb_list_excesspchonl(A26)</f>
        <v>101.2444</v>
      </c>
      <c r="AN26" s="47">
        <f>[1]!cb_result_sucrateonl(A26)</f>
        <v>0.98770890469999995</v>
      </c>
      <c r="AO26" s="1" t="str">
        <f>[1]!cb_result_issueonl(A26)</f>
        <v>否</v>
      </c>
      <c r="AP26" s="1">
        <f>[1]!cb_result_efsubscrpoff(A26)</f>
        <v>0</v>
      </c>
      <c r="AQ26" s="48">
        <f>[1]!cb_list_effectpchvoloff(A26)/100000000</f>
        <v>0</v>
      </c>
      <c r="AR26" s="48">
        <f>[1]!cb_result_efsubscrpamtoff(A26)/100000000</f>
        <v>0</v>
      </c>
      <c r="AS26" s="48">
        <f xml:space="preserve"> [1]!s_ipo_op_amount(A26)/100000000</f>
        <v>0</v>
      </c>
      <c r="AT26" s="48">
        <f xml:space="preserve"> [1]!cb_result_rationamtoff(A26)/100000000</f>
        <v>0</v>
      </c>
      <c r="AU26" s="48">
        <f xml:space="preserve"> [1]!cb_result_sucrateoff(A26)</f>
        <v>0</v>
      </c>
      <c r="AV26" s="48">
        <f xml:space="preserve"> [1]!cb_result_balance(A26)/10000</f>
        <v>0</v>
      </c>
    </row>
    <row r="27" spans="1:48" x14ac:dyDescent="0.15">
      <c r="A27" s="34" t="s">
        <v>105</v>
      </c>
      <c r="B27" s="35" t="str">
        <f>[1]!cb_info_name(A27)</f>
        <v>洪涛转债</v>
      </c>
      <c r="C27" s="42" t="str">
        <f xml:space="preserve"> [1]!s_refrmkd_preplandate(A27)</f>
        <v>2015-11-21</v>
      </c>
      <c r="D27" s="42" t="str">
        <f>[1]!cb_war_annodatemeeting(A27)</f>
        <v>2015-12-09</v>
      </c>
      <c r="E27" s="42" t="str">
        <f xml:space="preserve"> [1]!cb_list_permitdate(A27)</f>
        <v>2016-03-11</v>
      </c>
      <c r="F27" s="42" t="str">
        <f>[1]!cb_list_announcedate(A27)</f>
        <v>2016-07-27</v>
      </c>
      <c r="G27" s="42" t="str">
        <f>[1]!cb_list_rationchkindate(A27)</f>
        <v>2016-07-28</v>
      </c>
      <c r="H27" s="42" t="str">
        <f>[1]!cb_list_rationdate(A27)</f>
        <v>2016-07-29</v>
      </c>
      <c r="I27" s="42" t="str">
        <f>[1]!cb_list_rationpaymtdate(A27)</f>
        <v>2016-07-29</v>
      </c>
      <c r="J27" s="42" t="str">
        <f xml:space="preserve"> [1]!cb_list_dateinstoff(A27)</f>
        <v>2016-07-29</v>
      </c>
      <c r="K27" s="42" t="str">
        <f>[1]!cb_list_dtonl(A27)</f>
        <v>2016-07-29</v>
      </c>
      <c r="L27" s="42" t="str">
        <f>[1]!cb_list_annocedate(A27)</f>
        <v>2016-08-03</v>
      </c>
      <c r="M27" s="42" t="str">
        <f>[1]!cb_list_type(A27)</f>
        <v>优先配售，网上定价和网下配售</v>
      </c>
      <c r="N27" s="42" t="str">
        <f>[1]!cb_result_explnration(A27)</f>
        <v>原股东可优先配售的可转债数量为其在股权登记日（2016年7月28日）收市后登记在册的持有洪涛股份股份数量乘以0.998元（即每股配售0.998元面值的可转债），再按每100元/张转换成可转债张数，每1张为一个申购单位。</v>
      </c>
      <c r="O27" s="1" t="str">
        <f>IF([1]!cb_list_rationcode(A27)=0,"",[1]!cb_list_rationcode(A27))</f>
        <v>082325</v>
      </c>
      <c r="P27" s="1" t="str">
        <f>IF(O27="","",[1]!cb_list_rationname(A27))</f>
        <v>洪涛配债</v>
      </c>
      <c r="Q27" s="1">
        <f>IF(O27="","",[1]!cb_list_rationprice(A27))</f>
        <v>100</v>
      </c>
      <c r="R27" s="1">
        <f>IF(O27="","",[1]!cb_list_rationratiode(A27))</f>
        <v>1</v>
      </c>
      <c r="S27" s="43">
        <f>[1]!cb_result_rationamt(A27)</f>
        <v>0.998</v>
      </c>
      <c r="T27" s="44">
        <f>[1]!cb_list_rationvol(A27)/10000</f>
        <v>659.31560000000002</v>
      </c>
      <c r="U27" s="1">
        <f>[1]!cb_list_originals(A27)</f>
        <v>0</v>
      </c>
      <c r="V27" s="1" t="str">
        <f>IF([1]!cb_list_pchnameonl(A27)=0,"",[1]!cb_list_pchnameonl(A27))</f>
        <v>洪涛发债</v>
      </c>
      <c r="W27" s="1">
        <f>IF(V27="","",[1]!cb_list_pchpriceonl(A27))</f>
        <v>100</v>
      </c>
      <c r="X27" s="44">
        <f>IF(V27="","",[1]!cb_list_issuevolonl(A27)/10000)</f>
        <v>25.603000000000002</v>
      </c>
      <c r="Y27" s="44">
        <f>IF([1]!cb_list_volinstoff(A27)=0,"",[1]!cb_list_volinstoff(A27)/10000)</f>
        <v>515.08140000000003</v>
      </c>
      <c r="Z27" s="45" t="str">
        <f>[1]!cb_result_rationcode(A27)</f>
        <v>10%</v>
      </c>
      <c r="AA27" s="1">
        <f xml:space="preserve"> [1]!cb_result_efinvestornontrad(A27)</f>
        <v>0</v>
      </c>
      <c r="AB27" s="46">
        <f>[1]!cb_result_efamntnontrad(A27)/100000000</f>
        <v>2.7431890000000001</v>
      </c>
      <c r="AC27" s="46">
        <f xml:space="preserve"> [1]!cb_result_rationamtnontrad(A27)/100000000</f>
        <v>2.7431890000000001</v>
      </c>
      <c r="AD27" s="1">
        <f>[1]!cb_result_efinvestors(A27)</f>
        <v>0</v>
      </c>
      <c r="AE27" s="46">
        <f>[1]!cb_result_efsubscrpamt(A27)/100000000</f>
        <v>3.8499669999999999</v>
      </c>
      <c r="AF27" s="46">
        <f xml:space="preserve"> [1]!cb_result_avairationamttrad(A27)/100000000</f>
        <v>9.1173375524600004</v>
      </c>
      <c r="AG27" s="46">
        <f xml:space="preserve"> [1]!cb_result_placeamnttrad(A27)/100000000</f>
        <v>3.8499669999999999</v>
      </c>
      <c r="AH27" s="46">
        <f>[1]!cb_result_efsubscrponl(A27)/10000</f>
        <v>0.27789999999999998</v>
      </c>
      <c r="AI27" s="46">
        <f xml:space="preserve"> [1]!cb_result_efsubscrpamtonl(A27)/100000000</f>
        <v>73.101380000000006</v>
      </c>
      <c r="AJ27" s="46">
        <f xml:space="preserve"> [1]!s_ipo_bfund(A27)/100000000</f>
        <v>76.951346999999998</v>
      </c>
      <c r="AK27" s="46">
        <f xml:space="preserve"> [1]!cb_result_rationamtonl(A27)/100000000</f>
        <v>0.25602999999999998</v>
      </c>
      <c r="AL27" s="46">
        <f>[1]!cb_result_rationratioonl(A27)</f>
        <v>2.1335833333333332</v>
      </c>
      <c r="AM27" s="46">
        <f>[1]!cb_list_excesspchonl(A27)</f>
        <v>285.5188</v>
      </c>
      <c r="AN27" s="47">
        <f>[1]!cb_result_sucrateonl(A27)</f>
        <v>0.35024</v>
      </c>
      <c r="AO27" s="1" t="str">
        <f>[1]!cb_result_issueonl(A27)</f>
        <v>否</v>
      </c>
      <c r="AP27" s="1">
        <f>[1]!cb_result_efsubscrpoff(A27)</f>
        <v>3036</v>
      </c>
      <c r="AQ27" s="48">
        <f>[1]!cb_list_effectpchvoloff(A27)/100000000</f>
        <v>1.4706900000000001</v>
      </c>
      <c r="AR27" s="48">
        <f>[1]!cb_result_efsubscrpamtoff(A27)/100000000</f>
        <v>1470.69</v>
      </c>
      <c r="AS27" s="48">
        <f xml:space="preserve"> [1]!s_ipo_op_amount(A27)/100000000</f>
        <v>149.81218899999999</v>
      </c>
      <c r="AT27" s="48">
        <f xml:space="preserve"> [1]!cb_result_rationamtoff(A27)/100000000</f>
        <v>5.1508139999999996</v>
      </c>
      <c r="AU27" s="48">
        <f xml:space="preserve"> [1]!cb_result_sucrateoff(A27)</f>
        <v>0.35023100000000001</v>
      </c>
      <c r="AV27" s="48">
        <f xml:space="preserve"> [1]!cb_result_balance(A27)/10000</f>
        <v>0</v>
      </c>
    </row>
    <row r="28" spans="1:48" x14ac:dyDescent="0.15">
      <c r="A28" s="34" t="s">
        <v>106</v>
      </c>
      <c r="B28" s="35" t="str">
        <f>[1]!cb_info_name(A28)</f>
        <v>永东转债</v>
      </c>
      <c r="C28" s="42" t="str">
        <f xml:space="preserve"> [1]!s_refrmkd_preplandate(A28)</f>
        <v>2017-03-23</v>
      </c>
      <c r="D28" s="42" t="str">
        <f>[1]!cb_war_annodatemeeting(A28)</f>
        <v>2017-04-08</v>
      </c>
      <c r="E28" s="42" t="str">
        <f xml:space="preserve"> [1]!cb_list_permitdate(A28)</f>
        <v>2017-01-18</v>
      </c>
      <c r="F28" s="42" t="str">
        <f>[1]!cb_list_announcedate(A28)</f>
        <v>2017-04-13</v>
      </c>
      <c r="G28" s="42" t="str">
        <f>[1]!cb_list_rationchkindate(A28)</f>
        <v>2017-04-14</v>
      </c>
      <c r="H28" s="42" t="str">
        <f>[1]!cb_list_rationdate(A28)</f>
        <v>2017-04-17</v>
      </c>
      <c r="I28" s="42" t="str">
        <f>[1]!cb_list_rationpaymtdate(A28)</f>
        <v>2017-04-17</v>
      </c>
      <c r="J28" s="42">
        <f xml:space="preserve"> [1]!cb_list_dateinstoff(A28)</f>
        <v>0</v>
      </c>
      <c r="K28" s="42" t="str">
        <f>[1]!cb_list_dtonl(A28)</f>
        <v>2017-04-17</v>
      </c>
      <c r="L28" s="42" t="str">
        <f>[1]!cb_list_annocedate(A28)</f>
        <v>2017-04-20</v>
      </c>
      <c r="M28" s="42" t="str">
        <f>[1]!cb_list_type(A28)</f>
        <v>优先配售和上网定价</v>
      </c>
      <c r="N28" s="42" t="str">
        <f>[1]!cb_result_explnration(A28)</f>
        <v>原股东可优先配售的可转债数量为其在股权登记日收市后登记在册的持有发行人股份数按每股配售2.2965元可转债的比例，再按100元/张转换成张数，每1张为一个申购单位。</v>
      </c>
      <c r="O28" s="1" t="str">
        <f>IF([1]!cb_list_rationcode(A28)=0,"",[1]!cb_list_rationcode(A28))</f>
        <v>082753</v>
      </c>
      <c r="P28" s="1" t="str">
        <f>IF(O28="","",[1]!cb_list_rationname(A28))</f>
        <v>永东配债</v>
      </c>
      <c r="Q28" s="1">
        <f>IF(O28="","",[1]!cb_list_rationprice(A28))</f>
        <v>100</v>
      </c>
      <c r="R28" s="1">
        <f>IF(O28="","",[1]!cb_list_rationratiode(A28))</f>
        <v>1</v>
      </c>
      <c r="S28" s="43">
        <f>[1]!cb_result_rationamt(A28)</f>
        <v>2.2965</v>
      </c>
      <c r="T28" s="44">
        <f>[1]!cb_list_rationvol(A28)/10000</f>
        <v>266.33120000000002</v>
      </c>
      <c r="U28" s="1">
        <f>[1]!cb_list_originals(A28)</f>
        <v>0</v>
      </c>
      <c r="V28" s="1" t="str">
        <f>IF([1]!cb_list_pchnameonl(A28)=0,"",[1]!cb_list_pchnameonl(A28))</f>
        <v>永东发债</v>
      </c>
      <c r="W28" s="1">
        <f>IF(V28="","",[1]!cb_list_pchpriceonl(A28))</f>
        <v>100</v>
      </c>
      <c r="X28" s="44">
        <f>IF(V28="","",[1]!cb_list_issuevolonl(A28)/10000)</f>
        <v>73.668000000000006</v>
      </c>
      <c r="Y28" s="44" t="str">
        <f>IF([1]!cb_list_volinstoff(A28)=0,"",[1]!cb_list_volinstoff(A28)/10000)</f>
        <v/>
      </c>
      <c r="Z28" s="45">
        <f>[1]!cb_result_rationcode(A28)</f>
        <v>0</v>
      </c>
      <c r="AA28" s="1">
        <f xml:space="preserve"> [1]!cb_result_efinvestornontrad(A28)</f>
        <v>0</v>
      </c>
      <c r="AB28" s="46">
        <f>[1]!cb_result_efamntnontrad(A28)/100000000</f>
        <v>2.0926849999999999</v>
      </c>
      <c r="AC28" s="46">
        <f xml:space="preserve"> [1]!cb_result_rationamtnontrad(A28)/100000000</f>
        <v>2.0926849999999999</v>
      </c>
      <c r="AD28" s="1">
        <f>[1]!cb_result_efinvestors(A28)</f>
        <v>0</v>
      </c>
      <c r="AE28" s="46">
        <f>[1]!cb_result_efsubscrpamt(A28)/100000000</f>
        <v>0.570627</v>
      </c>
      <c r="AF28" s="46">
        <f xml:space="preserve"> [1]!cb_result_avairationamttrad(A28)/100000000</f>
        <v>1.307282625</v>
      </c>
      <c r="AG28" s="46">
        <f xml:space="preserve"> [1]!cb_result_placeamnttrad(A28)/100000000</f>
        <v>0.570627</v>
      </c>
      <c r="AH28" s="46">
        <f>[1]!cb_result_efsubscrponl(A28)/10000</f>
        <v>0</v>
      </c>
      <c r="AI28" s="46">
        <f xml:space="preserve"> [1]!cb_result_efsubscrpamtonl(A28)/100000000</f>
        <v>55.688180000000003</v>
      </c>
      <c r="AJ28" s="46">
        <f xml:space="preserve"> [1]!s_ipo_bfund(A28)/100000000</f>
        <v>56.258806999999997</v>
      </c>
      <c r="AK28" s="46">
        <f xml:space="preserve"> [1]!cb_result_rationamtonl(A28)/100000000</f>
        <v>0.73668</v>
      </c>
      <c r="AL28" s="46">
        <f>[1]!cb_result_rationratioonl(A28)</f>
        <v>21.667058823529413</v>
      </c>
      <c r="AM28" s="46">
        <f>[1]!cb_list_excesspchonl(A28)</f>
        <v>75.593400000000003</v>
      </c>
      <c r="AN28" s="47">
        <f>[1]!cb_result_sucrateonl(A28)</f>
        <v>1.3228660014</v>
      </c>
      <c r="AO28" s="1" t="str">
        <f>[1]!cb_result_issueonl(A28)</f>
        <v>否</v>
      </c>
      <c r="AP28" s="1">
        <f>[1]!cb_result_efsubscrpoff(A28)</f>
        <v>0</v>
      </c>
      <c r="AQ28" s="48">
        <f>[1]!cb_list_effectpchvoloff(A28)/100000000</f>
        <v>0</v>
      </c>
      <c r="AR28" s="48">
        <f>[1]!cb_result_efsubscrpamtoff(A28)/100000000</f>
        <v>0</v>
      </c>
      <c r="AS28" s="48">
        <f xml:space="preserve"> [1]!s_ipo_op_amount(A28)/100000000</f>
        <v>0</v>
      </c>
      <c r="AT28" s="48">
        <f xml:space="preserve"> [1]!cb_result_rationamtoff(A28)/100000000</f>
        <v>0</v>
      </c>
      <c r="AU28" s="48">
        <f xml:space="preserve"> [1]!cb_result_sucrateoff(A28)</f>
        <v>0</v>
      </c>
      <c r="AV28" s="48">
        <f xml:space="preserve"> [1]!cb_result_balance(A28)/10000</f>
        <v>0</v>
      </c>
    </row>
    <row r="29" spans="1:48" x14ac:dyDescent="0.15">
      <c r="A29" s="34" t="s">
        <v>107</v>
      </c>
      <c r="B29" s="35" t="str">
        <f>[1]!cb_info_name(A29)</f>
        <v>久其转债</v>
      </c>
      <c r="C29" s="42" t="str">
        <f xml:space="preserve"> [1]!s_refrmkd_preplandate(A29)</f>
        <v>2016-07-29</v>
      </c>
      <c r="D29" s="42" t="str">
        <f>[1]!cb_war_annodatemeeting(A29)</f>
        <v>2016-08-23</v>
      </c>
      <c r="E29" s="42" t="str">
        <f xml:space="preserve"> [1]!cb_list_permitdate(A29)</f>
        <v>2017-01-11</v>
      </c>
      <c r="F29" s="42" t="str">
        <f>[1]!cb_list_announcedate(A29)</f>
        <v>2017-06-06</v>
      </c>
      <c r="G29" s="42" t="str">
        <f>[1]!cb_list_rationchkindate(A29)</f>
        <v>2017-06-07</v>
      </c>
      <c r="H29" s="42" t="str">
        <f>[1]!cb_list_rationdate(A29)</f>
        <v>2017-06-08</v>
      </c>
      <c r="I29" s="42" t="str">
        <f>[1]!cb_list_rationpaymtdate(A29)</f>
        <v>2017-06-08</v>
      </c>
      <c r="J29" s="42">
        <f xml:space="preserve"> [1]!cb_list_dateinstoff(A29)</f>
        <v>0</v>
      </c>
      <c r="K29" s="42" t="str">
        <f>[1]!cb_list_dtonl(A29)</f>
        <v>2017-06-08</v>
      </c>
      <c r="L29" s="42" t="str">
        <f>[1]!cb_list_annocedate(A29)</f>
        <v>2017-06-13</v>
      </c>
      <c r="M29" s="42" t="str">
        <f>[1]!cb_list_type(A29)</f>
        <v>优先配售和上网定价</v>
      </c>
      <c r="N29" s="42" t="str">
        <f>[1]!cb_result_explnration(A29)</f>
        <v>原股东可优先配售的可转债数量为其在股权登记日收市后登记在册的持有发行人股份数按每股配售1.1084元可转债的比例，再按100元/张转换成张数，每1张为一个申购单位。</v>
      </c>
      <c r="O29" s="1" t="str">
        <f>IF([1]!cb_list_rationcode(A29)=0,"",[1]!cb_list_rationcode(A29))</f>
        <v>082279</v>
      </c>
      <c r="P29" s="1" t="str">
        <f>IF(O29="","",[1]!cb_list_rationname(A29))</f>
        <v>久其配债</v>
      </c>
      <c r="Q29" s="1">
        <f>IF(O29="","",[1]!cb_list_rationprice(A29))</f>
        <v>100</v>
      </c>
      <c r="R29" s="1">
        <f>IF(O29="","",[1]!cb_list_rationratiode(A29))</f>
        <v>1</v>
      </c>
      <c r="S29" s="43">
        <f>[1]!cb_result_rationamt(A29)</f>
        <v>1.1084000000000001</v>
      </c>
      <c r="T29" s="44">
        <f>[1]!cb_list_rationvol(A29)/10000</f>
        <v>522.14099999999996</v>
      </c>
      <c r="U29" s="1">
        <f>[1]!cb_list_originals(A29)</f>
        <v>0</v>
      </c>
      <c r="V29" s="1" t="str">
        <f>IF([1]!cb_list_pchnameonl(A29)=0,"",[1]!cb_list_pchnameonl(A29))</f>
        <v>久其发债</v>
      </c>
      <c r="W29" s="1">
        <f>IF(V29="","",[1]!cb_list_pchpriceonl(A29))</f>
        <v>100</v>
      </c>
      <c r="X29" s="44">
        <f>IF(V29="","",[1]!cb_list_issuevolonl(A29)/10000)</f>
        <v>257.85899999999998</v>
      </c>
      <c r="Y29" s="44" t="str">
        <f>IF([1]!cb_list_volinstoff(A29)=0,"",[1]!cb_list_volinstoff(A29)/10000)</f>
        <v/>
      </c>
      <c r="Z29" s="45">
        <f>[1]!cb_result_rationcode(A29)</f>
        <v>0</v>
      </c>
      <c r="AA29" s="1">
        <f xml:space="preserve"> [1]!cb_result_efinvestornontrad(A29)</f>
        <v>0</v>
      </c>
      <c r="AB29" s="46">
        <f>[1]!cb_result_efamntnontrad(A29)/100000000</f>
        <v>9.6216999999999997E-2</v>
      </c>
      <c r="AC29" s="46">
        <f xml:space="preserve"> [1]!cb_result_rationamtnontrad(A29)/100000000</f>
        <v>9.6216999999999997E-2</v>
      </c>
      <c r="AD29" s="1">
        <f>[1]!cb_result_efinvestors(A29)</f>
        <v>0</v>
      </c>
      <c r="AE29" s="46">
        <f>[1]!cb_result_efsubscrpamt(A29)/100000000</f>
        <v>5.1251930000000003</v>
      </c>
      <c r="AF29" s="46">
        <f xml:space="preserve"> [1]!cb_result_avairationamttrad(A29)/100000000</f>
        <v>3.1490084810680004</v>
      </c>
      <c r="AG29" s="46">
        <f xml:space="preserve"> [1]!cb_result_placeamnttrad(A29)/100000000</f>
        <v>5.1251930000000003</v>
      </c>
      <c r="AH29" s="46">
        <f>[1]!cb_result_efsubscrponl(A29)/10000</f>
        <v>0</v>
      </c>
      <c r="AI29" s="46">
        <f xml:space="preserve"> [1]!cb_result_efsubscrpamtonl(A29)/100000000</f>
        <v>108.27963</v>
      </c>
      <c r="AJ29" s="46">
        <f xml:space="preserve"> [1]!s_ipo_bfund(A29)/100000000</f>
        <v>113.40482299999999</v>
      </c>
      <c r="AK29" s="46">
        <f xml:space="preserve"> [1]!cb_result_rationamtonl(A29)/100000000</f>
        <v>2.5785900000000002</v>
      </c>
      <c r="AL29" s="46">
        <f>[1]!cb_result_rationratioonl(A29)</f>
        <v>33.058846153846154</v>
      </c>
      <c r="AM29" s="46">
        <f>[1]!cb_list_excesspchonl(A29)</f>
        <v>41.991799999999998</v>
      </c>
      <c r="AN29" s="47">
        <f>[1]!cb_result_sucrateonl(A29)</f>
        <v>2.3814174467</v>
      </c>
      <c r="AO29" s="1" t="str">
        <f>[1]!cb_result_issueonl(A29)</f>
        <v>是</v>
      </c>
      <c r="AP29" s="1">
        <f>[1]!cb_result_efsubscrpoff(A29)</f>
        <v>0</v>
      </c>
      <c r="AQ29" s="48">
        <f>[1]!cb_list_effectpchvoloff(A29)/100000000</f>
        <v>0</v>
      </c>
      <c r="AR29" s="48">
        <f>[1]!cb_result_efsubscrpamtoff(A29)/100000000</f>
        <v>0</v>
      </c>
      <c r="AS29" s="48">
        <f xml:space="preserve"> [1]!s_ipo_op_amount(A29)/100000000</f>
        <v>0</v>
      </c>
      <c r="AT29" s="48">
        <f xml:space="preserve"> [1]!cb_result_rationamtoff(A29)/100000000</f>
        <v>0</v>
      </c>
      <c r="AU29" s="48">
        <f xml:space="preserve"> [1]!cb_result_sucrateoff(A29)</f>
        <v>0</v>
      </c>
      <c r="AV29" s="48">
        <f xml:space="preserve"> [1]!cb_result_balance(A29)/10000</f>
        <v>0</v>
      </c>
    </row>
    <row r="30" spans="1:48" x14ac:dyDescent="0.15">
      <c r="A30" s="34" t="s">
        <v>108</v>
      </c>
      <c r="B30" s="35" t="str">
        <f>[1]!cb_info_name(A30)</f>
        <v>雨虹转债</v>
      </c>
      <c r="C30" s="42" t="str">
        <f xml:space="preserve"> [1]!s_refrmkd_preplandate(A30)</f>
        <v>2016-11-01</v>
      </c>
      <c r="D30" s="42" t="str">
        <f>[1]!cb_war_annodatemeeting(A30)</f>
        <v>2016-11-19</v>
      </c>
      <c r="E30" s="42" t="str">
        <f xml:space="preserve"> [1]!cb_list_permitdate(A30)</f>
        <v>2017-04-26</v>
      </c>
      <c r="F30" s="42" t="str">
        <f>[1]!cb_list_announcedate(A30)</f>
        <v>2017-09-21</v>
      </c>
      <c r="G30" s="42" t="str">
        <f>[1]!cb_list_rationchkindate(A30)</f>
        <v>2017-09-22</v>
      </c>
      <c r="H30" s="42" t="str">
        <f>[1]!cb_list_rationdate(A30)</f>
        <v>2017-09-25</v>
      </c>
      <c r="I30" s="42" t="str">
        <f>[1]!cb_list_rationpaymtdate(A30)</f>
        <v>2017-09-25</v>
      </c>
      <c r="J30" s="42">
        <f xml:space="preserve"> [1]!cb_list_dateinstoff(A30)</f>
        <v>0</v>
      </c>
      <c r="K30" s="42" t="str">
        <f>[1]!cb_list_dtonl(A30)</f>
        <v>2017-09-25</v>
      </c>
      <c r="L30" s="42" t="str">
        <f>[1]!cb_list_annocedate(A30)</f>
        <v>2017-09-29</v>
      </c>
      <c r="M30" s="42" t="str">
        <f>[1]!cb_list_type(A30)</f>
        <v>优先配售和上网定价</v>
      </c>
      <c r="N30" s="42" t="str">
        <f>[1]!cb_result_explnration(A30)</f>
        <v>原股东可优先配售的可转债数量为其在股权登记日（2017年9月22日）收市后登记在册的持有东方雨虹股份数量乘以2.0865元（即每股配售2.0865元面值的可转债），再按每100元/张转换成可转债张数，每1张为一个申购单位。</v>
      </c>
      <c r="O30" s="1" t="str">
        <f>IF([1]!cb_list_rationcode(A30)=0,"",[1]!cb_list_rationcode(A30))</f>
        <v>082271</v>
      </c>
      <c r="P30" s="1" t="str">
        <f>IF(O30="","",[1]!cb_list_rationname(A30))</f>
        <v>雨虹配债</v>
      </c>
      <c r="Q30" s="1">
        <f>IF(O30="","",[1]!cb_list_rationprice(A30))</f>
        <v>100</v>
      </c>
      <c r="R30" s="1">
        <f>IF(O30="","",[1]!cb_list_rationratiode(A30))</f>
        <v>1</v>
      </c>
      <c r="S30" s="43">
        <f>[1]!cb_result_rationamt(A30)</f>
        <v>2.0865</v>
      </c>
      <c r="T30" s="44">
        <f>[1]!cb_list_rationvol(A30)/10000</f>
        <v>1573.1339</v>
      </c>
      <c r="U30" s="1">
        <f>[1]!cb_list_originals(A30)</f>
        <v>12403</v>
      </c>
      <c r="V30" s="1" t="str">
        <f>IF([1]!cb_list_pchnameonl(A30)=0,"",[1]!cb_list_pchnameonl(A30))</f>
        <v>雨虹发债</v>
      </c>
      <c r="W30" s="1">
        <f>IF(V30="","",[1]!cb_list_pchpriceonl(A30))</f>
        <v>100</v>
      </c>
      <c r="X30" s="44">
        <f>IF(V30="","",[1]!cb_list_issuevolonl(A30)/10000)</f>
        <v>264.80020000000002</v>
      </c>
      <c r="Y30" s="44" t="str">
        <f>IF([1]!cb_list_volinstoff(A30)=0,"",[1]!cb_list_volinstoff(A30)/10000)</f>
        <v/>
      </c>
      <c r="Z30" s="45">
        <f>[1]!cb_result_rationcode(A30)</f>
        <v>0</v>
      </c>
      <c r="AA30" s="1">
        <f xml:space="preserve"> [1]!cb_result_efinvestornontrad(A30)</f>
        <v>0</v>
      </c>
      <c r="AB30" s="46">
        <f>[1]!cb_result_efamntnontrad(A30)/100000000</f>
        <v>0</v>
      </c>
      <c r="AC30" s="46">
        <f xml:space="preserve"> [1]!cb_result_rationamtnontrad(A30)/100000000</f>
        <v>0</v>
      </c>
      <c r="AD30" s="1">
        <f>[1]!cb_result_efinvestors(A30)</f>
        <v>0</v>
      </c>
      <c r="AE30" s="46">
        <f>[1]!cb_result_efsubscrpamt(A30)/100000000</f>
        <v>0</v>
      </c>
      <c r="AF30" s="46">
        <f xml:space="preserve"> [1]!cb_result_avairationamttrad(A30)/100000000</f>
        <v>11.900707851435001</v>
      </c>
      <c r="AG30" s="46">
        <f xml:space="preserve"> [1]!cb_result_placeamnttrad(A30)/100000000</f>
        <v>0</v>
      </c>
      <c r="AH30" s="46">
        <f>[1]!cb_result_efsubscrponl(A30)/10000</f>
        <v>261.65050000000002</v>
      </c>
      <c r="AI30" s="46">
        <f xml:space="preserve"> [1]!cb_result_efsubscrpamtonl(A30)/100000000</f>
        <v>202355.96452000001</v>
      </c>
      <c r="AJ30" s="46">
        <f xml:space="preserve"> [1]!s_ipo_bfund(A30)/100000000</f>
        <v>202371.695859</v>
      </c>
      <c r="AK30" s="46">
        <f xml:space="preserve"> [1]!cb_result_rationamtonl(A30)/100000000</f>
        <v>2.648002</v>
      </c>
      <c r="AL30" s="46">
        <f>[1]!cb_result_rationratioonl(A30)</f>
        <v>14.391315217391304</v>
      </c>
      <c r="AM30" s="46">
        <f>[1]!cb_list_excesspchonl(A30)</f>
        <v>76418.357900000003</v>
      </c>
      <c r="AN30" s="47">
        <f>[1]!cb_result_sucrateonl(A30)</f>
        <v>1.3085861000000001E-3</v>
      </c>
      <c r="AO30" s="1" t="str">
        <f>[1]!cb_result_issueonl(A30)</f>
        <v>是</v>
      </c>
      <c r="AP30" s="1">
        <f>[1]!cb_result_efsubscrpoff(A30)</f>
        <v>0</v>
      </c>
      <c r="AQ30" s="48">
        <f>[1]!cb_list_effectpchvoloff(A30)/100000000</f>
        <v>0</v>
      </c>
      <c r="AR30" s="48">
        <f>[1]!cb_result_efsubscrpamtoff(A30)/100000000</f>
        <v>0</v>
      </c>
      <c r="AS30" s="48">
        <f xml:space="preserve"> [1]!s_ipo_op_amount(A30)/100000000</f>
        <v>0</v>
      </c>
      <c r="AT30" s="48">
        <f xml:space="preserve"> [1]!cb_result_rationamtoff(A30)/100000000</f>
        <v>0</v>
      </c>
      <c r="AU30" s="48">
        <f xml:space="preserve"> [1]!cb_result_sucrateoff(A30)</f>
        <v>0</v>
      </c>
      <c r="AV30" s="48">
        <f xml:space="preserve"> [1]!cb_result_balance(A30)/10000</f>
        <v>206.58</v>
      </c>
    </row>
    <row r="31" spans="1:48" x14ac:dyDescent="0.15">
      <c r="A31" s="34" t="s">
        <v>109</v>
      </c>
      <c r="B31" s="35" t="str">
        <f>[1]!cb_info_name(A31)</f>
        <v>金禾转债</v>
      </c>
      <c r="C31" s="42" t="str">
        <f xml:space="preserve"> [1]!s_refrmkd_preplandate(A31)</f>
        <v>2016-12-31</v>
      </c>
      <c r="D31" s="42" t="str">
        <f>[1]!cb_war_annodatemeeting(A31)</f>
        <v>2017-01-17</v>
      </c>
      <c r="E31" s="42" t="str">
        <f xml:space="preserve"> [1]!cb_list_permitdate(A31)</f>
        <v>2017-05-23</v>
      </c>
      <c r="F31" s="42" t="str">
        <f>[1]!cb_list_announcedate(A31)</f>
        <v>2017-10-30</v>
      </c>
      <c r="G31" s="42" t="str">
        <f>[1]!cb_list_rationchkindate(A31)</f>
        <v>2017-10-31</v>
      </c>
      <c r="H31" s="42" t="str">
        <f>[1]!cb_list_rationdate(A31)</f>
        <v>2017-11-01</v>
      </c>
      <c r="I31" s="42" t="str">
        <f>[1]!cb_list_rationpaymtdate(A31)</f>
        <v>2017-11-01</v>
      </c>
      <c r="J31" s="42">
        <f xml:space="preserve"> [1]!cb_list_dateinstoff(A31)</f>
        <v>0</v>
      </c>
      <c r="K31" s="42" t="str">
        <f>[1]!cb_list_dtonl(A31)</f>
        <v>2017-11-01</v>
      </c>
      <c r="L31" s="42" t="str">
        <f>[1]!cb_list_annocedate(A31)</f>
        <v>2017-11-07</v>
      </c>
      <c r="M31" s="42" t="str">
        <f>[1]!cb_list_type(A31)</f>
        <v>优先配售和上网定价</v>
      </c>
      <c r="N31" s="42" t="str">
        <f>[1]!cb_result_explnration(A31)</f>
        <v>原股东可优先配售的可转债数量为其在股权登记日收市后登记在册的持有发行人股份数按每股配售1.0633元可转债的比例，再按100元/张转换成张数，每1张为一个申购单位。</v>
      </c>
      <c r="O31" s="1" t="str">
        <f>IF([1]!cb_list_rationcode(A31)=0,"",[1]!cb_list_rationcode(A31))</f>
        <v>082597</v>
      </c>
      <c r="P31" s="1" t="str">
        <f>IF(O31="","",[1]!cb_list_rationname(A31))</f>
        <v>金禾配债</v>
      </c>
      <c r="Q31" s="1">
        <f>IF(O31="","",[1]!cb_list_rationprice(A31))</f>
        <v>100</v>
      </c>
      <c r="R31" s="1">
        <f>IF(O31="","",[1]!cb_list_rationratiode(A31))</f>
        <v>1</v>
      </c>
      <c r="S31" s="43">
        <f>[1]!cb_result_rationamt(A31)</f>
        <v>1.0632999999999999</v>
      </c>
      <c r="T31" s="44">
        <f>[1]!cb_list_rationvol(A31)/10000</f>
        <v>534.36959999999999</v>
      </c>
      <c r="U31" s="1">
        <f>[1]!cb_list_originals(A31)</f>
        <v>21682</v>
      </c>
      <c r="V31" s="1" t="str">
        <f>IF([1]!cb_list_pchnameonl(A31)=0,"",[1]!cb_list_pchnameonl(A31))</f>
        <v>金禾发债</v>
      </c>
      <c r="W31" s="1">
        <f>IF(V31="","",[1]!cb_list_pchpriceonl(A31))</f>
        <v>100</v>
      </c>
      <c r="X31" s="44">
        <f>IF(V31="","",[1]!cb_list_issuevolonl(A31)/10000)</f>
        <v>65.165199999999999</v>
      </c>
      <c r="Y31" s="44" t="str">
        <f>IF([1]!cb_list_volinstoff(A31)=0,"",[1]!cb_list_volinstoff(A31)/10000)</f>
        <v/>
      </c>
      <c r="Z31" s="45">
        <f>[1]!cb_result_rationcode(A31)</f>
        <v>0</v>
      </c>
      <c r="AA31" s="1">
        <f xml:space="preserve"> [1]!cb_result_efinvestornontrad(A31)</f>
        <v>0</v>
      </c>
      <c r="AB31" s="46">
        <f>[1]!cb_result_efamntnontrad(A31)/100000000</f>
        <v>0</v>
      </c>
      <c r="AC31" s="46">
        <f xml:space="preserve"> [1]!cb_result_rationamtnontrad(A31)/100000000</f>
        <v>0</v>
      </c>
      <c r="AD31" s="1">
        <f>[1]!cb_result_efinvestors(A31)</f>
        <v>0</v>
      </c>
      <c r="AE31" s="46">
        <f>[1]!cb_result_efsubscrpamt(A31)/100000000</f>
        <v>0</v>
      </c>
      <c r="AF31" s="46">
        <f xml:space="preserve"> [1]!cb_result_avairationamttrad(A31)/100000000</f>
        <v>5.9492764224599997</v>
      </c>
      <c r="AG31" s="46">
        <f xml:space="preserve"> [1]!cb_result_placeamnttrad(A31)/100000000</f>
        <v>0</v>
      </c>
      <c r="AH31" s="46">
        <f>[1]!cb_result_efsubscrponl(A31)/10000</f>
        <v>542.36400000000003</v>
      </c>
      <c r="AI31" s="46">
        <f xml:space="preserve"> [1]!cb_result_efsubscrpamtonl(A31)/100000000</f>
        <v>51561.65754</v>
      </c>
      <c r="AJ31" s="46">
        <f xml:space="preserve"> [1]!s_ipo_bfund(A31)/100000000</f>
        <v>51567.001235999996</v>
      </c>
      <c r="AK31" s="46">
        <f xml:space="preserve"> [1]!cb_result_rationamtonl(A31)/100000000</f>
        <v>0.65165200000000001</v>
      </c>
      <c r="AL31" s="46">
        <f>[1]!cb_result_rationratioonl(A31)</f>
        <v>10.860866666666666</v>
      </c>
      <c r="AM31" s="46">
        <f>[1]!cb_list_excesspchonl(A31)</f>
        <v>79124.528999999995</v>
      </c>
      <c r="AN31" s="47">
        <f>[1]!cb_result_sucrateonl(A31)</f>
        <v>1.2638306000000001E-3</v>
      </c>
      <c r="AO31" s="1" t="str">
        <f>[1]!cb_result_issueonl(A31)</f>
        <v>是</v>
      </c>
      <c r="AP31" s="1">
        <f>[1]!cb_result_efsubscrpoff(A31)</f>
        <v>0</v>
      </c>
      <c r="AQ31" s="48">
        <f>[1]!cb_list_effectpchvoloff(A31)/100000000</f>
        <v>0</v>
      </c>
      <c r="AR31" s="48">
        <f>[1]!cb_result_efsubscrpamtoff(A31)/100000000</f>
        <v>0</v>
      </c>
      <c r="AS31" s="48">
        <f xml:space="preserve"> [1]!s_ipo_op_amount(A31)/100000000</f>
        <v>0</v>
      </c>
      <c r="AT31" s="48">
        <f xml:space="preserve"> [1]!cb_result_rationamtoff(A31)/100000000</f>
        <v>0</v>
      </c>
      <c r="AU31" s="48">
        <f xml:space="preserve"> [1]!cb_result_sucrateoff(A31)</f>
        <v>0</v>
      </c>
      <c r="AV31" s="48">
        <f xml:space="preserve"> [1]!cb_result_balance(A31)/10000</f>
        <v>46.5</v>
      </c>
    </row>
    <row r="32" spans="1:48" x14ac:dyDescent="0.15">
      <c r="A32" s="34" t="s">
        <v>110</v>
      </c>
      <c r="B32" s="35" t="str">
        <f>[1]!cb_info_name(A32)</f>
        <v>时达转债</v>
      </c>
      <c r="C32" s="42" t="str">
        <f xml:space="preserve"> [1]!s_refrmkd_preplandate(A32)</f>
        <v>2016-11-29</v>
      </c>
      <c r="D32" s="42" t="str">
        <f>[1]!cb_war_annodatemeeting(A32)</f>
        <v>2016-12-21</v>
      </c>
      <c r="E32" s="42" t="str">
        <f xml:space="preserve"> [1]!cb_list_permitdate(A32)</f>
        <v>2017-06-06</v>
      </c>
      <c r="F32" s="42" t="str">
        <f>[1]!cb_list_announcedate(A32)</f>
        <v>2017-11-02</v>
      </c>
      <c r="G32" s="42" t="str">
        <f>[1]!cb_list_rationchkindate(A32)</f>
        <v>2017-11-03</v>
      </c>
      <c r="H32" s="42" t="str">
        <f>[1]!cb_list_rationdate(A32)</f>
        <v>2017-11-06</v>
      </c>
      <c r="I32" s="42" t="str">
        <f>[1]!cb_list_rationpaymtdate(A32)</f>
        <v>2017-11-06</v>
      </c>
      <c r="J32" s="42">
        <f xml:space="preserve"> [1]!cb_list_dateinstoff(A32)</f>
        <v>0</v>
      </c>
      <c r="K32" s="42" t="str">
        <f>[1]!cb_list_dtonl(A32)</f>
        <v>2017-11-06</v>
      </c>
      <c r="L32" s="42" t="str">
        <f>[1]!cb_list_annocedate(A32)</f>
        <v>2017-11-10</v>
      </c>
      <c r="M32" s="42" t="str">
        <f>[1]!cb_list_type(A32)</f>
        <v>优先配售和上网定价</v>
      </c>
      <c r="N32" s="42" t="str">
        <f>[1]!cb_result_explnration(A32)</f>
        <v>原股东可优先配售的可转债数量为其在股权登记日（2017年11月3日，T-1日）收市后登记在册的持有发行人股份数按每股配售1.4230元可转债的比例计算，并按100元/张转换成张数，每1张为一个申购单位。</v>
      </c>
      <c r="O32" s="1" t="str">
        <f>IF([1]!cb_list_rationcode(A32)=0,"",[1]!cb_list_rationcode(A32))</f>
        <v>082527</v>
      </c>
      <c r="P32" s="1" t="str">
        <f>IF(O32="","",[1]!cb_list_rationname(A32))</f>
        <v>时达配债</v>
      </c>
      <c r="Q32" s="1">
        <f>IF(O32="","",[1]!cb_list_rationprice(A32))</f>
        <v>100</v>
      </c>
      <c r="R32" s="1">
        <f>IF(O32="","",[1]!cb_list_rationratiode(A32))</f>
        <v>1</v>
      </c>
      <c r="S32" s="43">
        <f>[1]!cb_result_rationamt(A32)</f>
        <v>1.423</v>
      </c>
      <c r="T32" s="44">
        <f>[1]!cb_list_rationvol(A32)/10000</f>
        <v>651.92319999999995</v>
      </c>
      <c r="U32" s="1">
        <f>[1]!cb_list_originals(A32)</f>
        <v>20265</v>
      </c>
      <c r="V32" s="1" t="str">
        <f>IF([1]!cb_list_pchnameonl(A32)=0,"",[1]!cb_list_pchnameonl(A32))</f>
        <v>时达发债</v>
      </c>
      <c r="W32" s="1">
        <f>IF(V32="","",[1]!cb_list_pchpriceonl(A32))</f>
        <v>100</v>
      </c>
      <c r="X32" s="44">
        <f>IF(V32="","",[1]!cb_list_issuevolonl(A32)/10000)</f>
        <v>229.1087</v>
      </c>
      <c r="Y32" s="44" t="str">
        <f>IF([1]!cb_list_volinstoff(A32)=0,"",[1]!cb_list_volinstoff(A32)/10000)</f>
        <v/>
      </c>
      <c r="Z32" s="45">
        <f>[1]!cb_result_rationcode(A32)</f>
        <v>0</v>
      </c>
      <c r="AA32" s="1">
        <f xml:space="preserve"> [1]!cb_result_efinvestornontrad(A32)</f>
        <v>0</v>
      </c>
      <c r="AB32" s="46">
        <f>[1]!cb_result_efamntnontrad(A32)/100000000</f>
        <v>0</v>
      </c>
      <c r="AC32" s="46">
        <f xml:space="preserve"> [1]!cb_result_rationamtnontrad(A32)/100000000</f>
        <v>0</v>
      </c>
      <c r="AD32" s="1">
        <f>[1]!cb_result_efinvestors(A32)</f>
        <v>0</v>
      </c>
      <c r="AE32" s="46">
        <f>[1]!cb_result_efsubscrpamt(A32)/100000000</f>
        <v>0</v>
      </c>
      <c r="AF32" s="46">
        <f xml:space="preserve"> [1]!cb_result_avairationamttrad(A32)/100000000</f>
        <v>5.4963456537899997</v>
      </c>
      <c r="AG32" s="46">
        <f xml:space="preserve"> [1]!cb_result_placeamnttrad(A32)/100000000</f>
        <v>0</v>
      </c>
      <c r="AH32" s="46">
        <f>[1]!cb_result_efsubscrponl(A32)/10000</f>
        <v>588.51179999999999</v>
      </c>
      <c r="AI32" s="46">
        <f xml:space="preserve"> [1]!cb_result_efsubscrpamtonl(A32)/100000000</f>
        <v>56645.90178</v>
      </c>
      <c r="AJ32" s="46">
        <f xml:space="preserve"> [1]!s_ipo_bfund(A32)/100000000</f>
        <v>56652.421011999999</v>
      </c>
      <c r="AK32" s="46">
        <f xml:space="preserve"> [1]!cb_result_rationamtonl(A32)/100000000</f>
        <v>2.2910870000000001</v>
      </c>
      <c r="AL32" s="46">
        <f>[1]!cb_result_rationratioonl(A32)</f>
        <v>25.961158097902366</v>
      </c>
      <c r="AM32" s="46">
        <f>[1]!cb_list_excesspchonl(A32)</f>
        <v>24724.4656</v>
      </c>
      <c r="AN32" s="47">
        <f>[1]!cb_result_sucrateonl(A32)</f>
        <v>4.0445767999999997E-3</v>
      </c>
      <c r="AO32" s="1" t="str">
        <f>[1]!cb_result_issueonl(A32)</f>
        <v>是</v>
      </c>
      <c r="AP32" s="1">
        <f>[1]!cb_result_efsubscrpoff(A32)</f>
        <v>0</v>
      </c>
      <c r="AQ32" s="48">
        <f>[1]!cb_list_effectpchvoloff(A32)/100000000</f>
        <v>0</v>
      </c>
      <c r="AR32" s="48">
        <f>[1]!cb_result_efsubscrpamtoff(A32)/100000000</f>
        <v>0</v>
      </c>
      <c r="AS32" s="48">
        <f xml:space="preserve"> [1]!s_ipo_op_amount(A32)/100000000</f>
        <v>0</v>
      </c>
      <c r="AT32" s="48">
        <f xml:space="preserve"> [1]!cb_result_rationamtoff(A32)/100000000</f>
        <v>0</v>
      </c>
      <c r="AU32" s="48">
        <f xml:space="preserve"> [1]!cb_result_sucrateoff(A32)</f>
        <v>0</v>
      </c>
      <c r="AV32" s="48">
        <f xml:space="preserve"> [1]!cb_result_balance(A32)/10000</f>
        <v>147.38</v>
      </c>
    </row>
    <row r="33" spans="1:48" x14ac:dyDescent="0.15">
      <c r="A33" s="34" t="s">
        <v>111</v>
      </c>
      <c r="B33" s="35" t="str">
        <f>[1]!cb_info_name(A33)</f>
        <v>久立转2</v>
      </c>
      <c r="C33" s="42" t="str">
        <f xml:space="preserve"> [1]!s_refrmkd_preplandate(A33)</f>
        <v>2017-04-18</v>
      </c>
      <c r="D33" s="42" t="str">
        <f>[1]!cb_war_annodatemeeting(A33)</f>
        <v>2017-05-06</v>
      </c>
      <c r="E33" s="42" t="str">
        <f xml:space="preserve"> [1]!cb_list_permitdate(A33)</f>
        <v>2017-08-22</v>
      </c>
      <c r="F33" s="42" t="str">
        <f>[1]!cb_list_announcedate(A33)</f>
        <v>2017-11-06</v>
      </c>
      <c r="G33" s="42" t="str">
        <f>[1]!cb_list_rationchkindate(A33)</f>
        <v>2017-11-07</v>
      </c>
      <c r="H33" s="42" t="str">
        <f>[1]!cb_list_rationdate(A33)</f>
        <v>2017-11-08</v>
      </c>
      <c r="I33" s="42" t="str">
        <f>[1]!cb_list_rationpaymtdate(A33)</f>
        <v>2017-11-08</v>
      </c>
      <c r="J33" s="42">
        <f xml:space="preserve"> [1]!cb_list_dateinstoff(A33)</f>
        <v>0</v>
      </c>
      <c r="K33" s="42" t="str">
        <f>[1]!cb_list_dtonl(A33)</f>
        <v>2017-11-08</v>
      </c>
      <c r="L33" s="42" t="str">
        <f>[1]!cb_list_annocedate(A33)</f>
        <v>2017-11-14</v>
      </c>
      <c r="M33" s="42" t="str">
        <f>[1]!cb_list_type(A33)</f>
        <v>优先配售和上网定价</v>
      </c>
      <c r="N33" s="42" t="str">
        <f>[1]!cb_result_explnration(A33)</f>
        <v>原A股股东可优先配售的可转债数量上限为其在股权登记日（2017年11月7日）收市后登记在册的持有的久立特材股份数量按每股配售1.2358元面值可转债的比例计算可配售可转债金额，再按100元/张转换为可转债张数，每1张为一个申购单位。</v>
      </c>
      <c r="O33" s="1" t="str">
        <f>IF([1]!cb_list_rationcode(A33)=0,"",[1]!cb_list_rationcode(A33))</f>
        <v>082318</v>
      </c>
      <c r="P33" s="1" t="str">
        <f>IF(O33="","",[1]!cb_list_rationname(A33))</f>
        <v>久立配债</v>
      </c>
      <c r="Q33" s="1">
        <f>IF(O33="","",[1]!cb_list_rationprice(A33))</f>
        <v>100</v>
      </c>
      <c r="R33" s="1">
        <f>IF(O33="","",[1]!cb_list_rationratiode(A33))</f>
        <v>1</v>
      </c>
      <c r="S33" s="43">
        <f>[1]!cb_result_rationamt(A33)</f>
        <v>1.2358</v>
      </c>
      <c r="T33" s="44">
        <f>[1]!cb_list_rationvol(A33)/10000</f>
        <v>750.88760000000002</v>
      </c>
      <c r="U33" s="1">
        <f>[1]!cb_list_originals(A33)</f>
        <v>24004</v>
      </c>
      <c r="V33" s="1" t="str">
        <f>IF([1]!cb_list_pchnameonl(A33)=0,"",[1]!cb_list_pchnameonl(A33))</f>
        <v>久立发债</v>
      </c>
      <c r="W33" s="1">
        <f>IF(V33="","",[1]!cb_list_pchpriceonl(A33))</f>
        <v>100</v>
      </c>
      <c r="X33" s="44">
        <f>IF(V33="","",[1]!cb_list_issuevolonl(A33)/10000)</f>
        <v>287.13709999999998</v>
      </c>
      <c r="Y33" s="44" t="str">
        <f>IF([1]!cb_list_volinstoff(A33)=0,"",[1]!cb_list_volinstoff(A33)/10000)</f>
        <v/>
      </c>
      <c r="Z33" s="45">
        <f>[1]!cb_result_rationcode(A33)</f>
        <v>0</v>
      </c>
      <c r="AA33" s="1">
        <f xml:space="preserve"> [1]!cb_result_efinvestornontrad(A33)</f>
        <v>0</v>
      </c>
      <c r="AB33" s="46">
        <f>[1]!cb_result_efamntnontrad(A33)/100000000</f>
        <v>0</v>
      </c>
      <c r="AC33" s="46">
        <f xml:space="preserve"> [1]!cb_result_rationamtnontrad(A33)/100000000</f>
        <v>0</v>
      </c>
      <c r="AD33" s="1">
        <f>[1]!cb_result_efinvestors(A33)</f>
        <v>0</v>
      </c>
      <c r="AE33" s="46">
        <f>[1]!cb_result_efsubscrpamt(A33)/100000000</f>
        <v>0</v>
      </c>
      <c r="AF33" s="46">
        <f xml:space="preserve"> [1]!cb_result_avairationamttrad(A33)/100000000</f>
        <v>10.084601323758001</v>
      </c>
      <c r="AG33" s="46">
        <f xml:space="preserve"> [1]!cb_result_placeamnttrad(A33)/100000000</f>
        <v>0</v>
      </c>
      <c r="AH33" s="46">
        <f>[1]!cb_result_efsubscrponl(A33)/10000</f>
        <v>589.67550000000006</v>
      </c>
      <c r="AI33" s="46">
        <f xml:space="preserve"> [1]!cb_result_efsubscrpamtonl(A33)/100000000</f>
        <v>56915.063049999997</v>
      </c>
      <c r="AJ33" s="46">
        <f xml:space="preserve"> [1]!s_ipo_bfund(A33)/100000000</f>
        <v>56922.571925999997</v>
      </c>
      <c r="AK33" s="46">
        <f xml:space="preserve"> [1]!cb_result_rationamtonl(A33)/100000000</f>
        <v>2.8713709999999999</v>
      </c>
      <c r="AL33" s="46">
        <f>[1]!cb_result_rationratioonl(A33)</f>
        <v>27.609336538461537</v>
      </c>
      <c r="AM33" s="46">
        <f>[1]!cb_list_excesspchonl(A33)</f>
        <v>19821.563699999999</v>
      </c>
      <c r="AN33" s="47">
        <f>[1]!cb_result_sucrateonl(A33)</f>
        <v>5.0450106999999998E-3</v>
      </c>
      <c r="AO33" s="1" t="str">
        <f>[1]!cb_result_issueonl(A33)</f>
        <v>是</v>
      </c>
      <c r="AP33" s="1">
        <f>[1]!cb_result_efsubscrpoff(A33)</f>
        <v>0</v>
      </c>
      <c r="AQ33" s="48">
        <f>[1]!cb_list_effectpchvoloff(A33)/100000000</f>
        <v>0</v>
      </c>
      <c r="AR33" s="48">
        <f>[1]!cb_result_efsubscrpamtoff(A33)/100000000</f>
        <v>0</v>
      </c>
      <c r="AS33" s="48">
        <f xml:space="preserve"> [1]!s_ipo_op_amount(A33)/100000000</f>
        <v>0</v>
      </c>
      <c r="AT33" s="48">
        <f xml:space="preserve"> [1]!cb_result_rationamtoff(A33)/100000000</f>
        <v>0</v>
      </c>
      <c r="AU33" s="48">
        <f xml:space="preserve"> [1]!cb_result_sucrateoff(A33)</f>
        <v>0</v>
      </c>
      <c r="AV33" s="48">
        <f xml:space="preserve"> [1]!cb_result_balance(A33)/10000</f>
        <v>197.53</v>
      </c>
    </row>
    <row r="34" spans="1:48" x14ac:dyDescent="0.15">
      <c r="A34" s="34" t="s">
        <v>267</v>
      </c>
      <c r="B34" s="35" t="str">
        <f>[1]!cb_info_name(A34)</f>
        <v>水晶转债</v>
      </c>
      <c r="C34" s="42" t="str">
        <f xml:space="preserve"> [1]!s_refrmkd_preplandate(A34)</f>
        <v>2017-05-04</v>
      </c>
      <c r="D34" s="42" t="str">
        <f>[1]!cb_war_annodatemeeting(A34)</f>
        <v>2017-05-25</v>
      </c>
      <c r="E34" s="42" t="str">
        <f xml:space="preserve"> [1]!cb_list_permitdate(A34)</f>
        <v>2017-08-09</v>
      </c>
      <c r="F34" s="42" t="str">
        <f>[1]!cb_list_announcedate(A34)</f>
        <v>2017-11-15</v>
      </c>
      <c r="G34" s="42" t="str">
        <f>[1]!cb_list_rationchkindate(A34)</f>
        <v>2017-11-16</v>
      </c>
      <c r="H34" s="42" t="str">
        <f>[1]!cb_list_rationdate(A34)</f>
        <v>2017-11-17</v>
      </c>
      <c r="I34" s="42" t="str">
        <f>[1]!cb_list_rationpaymtdate(A34)</f>
        <v>2017-11-17</v>
      </c>
      <c r="J34" s="42">
        <f xml:space="preserve"> [1]!cb_list_dateinstoff(A34)</f>
        <v>0</v>
      </c>
      <c r="K34" s="42" t="str">
        <f>[1]!cb_list_dtonl(A34)</f>
        <v>2017-11-17</v>
      </c>
      <c r="L34" s="42" t="str">
        <f>[1]!cb_list_annocedate(A34)</f>
        <v>2017-11-23</v>
      </c>
      <c r="M34" s="42" t="str">
        <f>[1]!cb_list_type(A34)</f>
        <v>优先配售和上网定价</v>
      </c>
      <c r="N34" s="42" t="str">
        <f>[1]!cb_result_explnration(A34)</f>
        <v>原股东可优先认购的可转债数量为股权登记日（2017年11月16日，T-1日）收市后登记在册的公司A股股份数乘以1.78元（即每股配售1.78元面值的可转债），再按100元/张转换成张数，每1张为一个申购单位。</v>
      </c>
      <c r="O34" s="1" t="str">
        <f>IF([1]!cb_list_rationcode(A34)=0,"",[1]!cb_list_rationcode(A34))</f>
        <v>082273</v>
      </c>
      <c r="P34" s="1" t="str">
        <f>IF(O34="","",[1]!cb_list_rationname(A34))</f>
        <v>水晶配债</v>
      </c>
      <c r="Q34" s="1">
        <f>IF(O34="","",[1]!cb_list_rationprice(A34))</f>
        <v>100</v>
      </c>
      <c r="R34" s="1">
        <f>IF(O34="","",[1]!cb_list_rationratiode(A34))</f>
        <v>1</v>
      </c>
      <c r="S34" s="43">
        <f>[1]!cb_result_rationamt(A34)</f>
        <v>1.78</v>
      </c>
      <c r="T34" s="44">
        <f>[1]!cb_list_rationvol(A34)/10000</f>
        <v>0</v>
      </c>
      <c r="U34" s="1">
        <f>[1]!cb_list_originals(A34)</f>
        <v>0</v>
      </c>
      <c r="V34" s="1" t="str">
        <f>IF([1]!cb_list_pchnameonl(A34)=0,"",[1]!cb_list_pchnameonl(A34))</f>
        <v>水晶发债</v>
      </c>
      <c r="W34" s="1">
        <f>IF(V34="","",[1]!cb_list_pchpriceonl(A34))</f>
        <v>100</v>
      </c>
      <c r="X34" s="44">
        <f>IF(V34="","",[1]!cb_list_issuevolonl(A34)/10000)</f>
        <v>0</v>
      </c>
      <c r="Y34" s="44" t="str">
        <f>IF([1]!cb_list_volinstoff(A34)=0,"",[1]!cb_list_volinstoff(A34)/10000)</f>
        <v/>
      </c>
      <c r="Z34" s="45">
        <f>[1]!cb_result_rationcode(A34)</f>
        <v>0</v>
      </c>
      <c r="AA34" s="1">
        <f xml:space="preserve"> [1]!cb_result_efinvestornontrad(A34)</f>
        <v>0</v>
      </c>
      <c r="AB34" s="46">
        <f>[1]!cb_result_efamntnontrad(A34)/100000000</f>
        <v>0</v>
      </c>
      <c r="AC34" s="46">
        <f xml:space="preserve"> [1]!cb_result_rationamtnontrad(A34)/100000000</f>
        <v>0</v>
      </c>
      <c r="AD34" s="1">
        <f>[1]!cb_result_efinvestors(A34)</f>
        <v>0</v>
      </c>
      <c r="AE34" s="46">
        <f>[1]!cb_result_efsubscrpamt(A34)/100000000</f>
        <v>0</v>
      </c>
      <c r="AF34" s="46">
        <f xml:space="preserve"> [1]!cb_result_avairationamttrad(A34)/100000000</f>
        <v>10.8896009096</v>
      </c>
      <c r="AG34" s="46">
        <f xml:space="preserve"> [1]!cb_result_placeamnttrad(A34)/100000000</f>
        <v>0</v>
      </c>
      <c r="AH34" s="46">
        <f>[1]!cb_result_efsubscrponl(A34)/10000</f>
        <v>0</v>
      </c>
      <c r="AI34" s="46">
        <f xml:space="preserve"> [1]!cb_result_efsubscrpamtonl(A34)/100000000</f>
        <v>0</v>
      </c>
      <c r="AJ34" s="46">
        <f xml:space="preserve"> [1]!s_ipo_bfund(A34)/100000000</f>
        <v>0</v>
      </c>
      <c r="AK34" s="46">
        <f xml:space="preserve"> [1]!cb_result_rationamtonl(A34)/100000000</f>
        <v>0</v>
      </c>
      <c r="AL34" s="46">
        <f>[1]!cb_result_rationratioonl(A34)</f>
        <v>0</v>
      </c>
      <c r="AM34" s="46">
        <f>[1]!cb_list_excesspchonl(A34)</f>
        <v>0</v>
      </c>
      <c r="AN34" s="47">
        <f>[1]!cb_result_sucrateonl(A34)</f>
        <v>0</v>
      </c>
      <c r="AO34" s="1" t="str">
        <f>[1]!cb_result_issueonl(A34)</f>
        <v>是</v>
      </c>
      <c r="AP34" s="1">
        <f>[1]!cb_result_efsubscrpoff(A34)</f>
        <v>0</v>
      </c>
      <c r="AQ34" s="48">
        <f>[1]!cb_list_effectpchvoloff(A34)/100000000</f>
        <v>0</v>
      </c>
      <c r="AR34" s="48">
        <f>[1]!cb_result_efsubscrpamtoff(A34)/100000000</f>
        <v>0</v>
      </c>
      <c r="AS34" s="48">
        <f xml:space="preserve"> [1]!s_ipo_op_amount(A34)/100000000</f>
        <v>0</v>
      </c>
      <c r="AT34" s="48">
        <f xml:space="preserve"> [1]!cb_result_rationamtoff(A34)/100000000</f>
        <v>0</v>
      </c>
      <c r="AU34" s="48">
        <f xml:space="preserve"> [1]!cb_result_sucrateoff(A34)</f>
        <v>0</v>
      </c>
      <c r="AV34" s="48">
        <f xml:space="preserve"> [1]!cb_result_balance(A34)/10000</f>
        <v>0</v>
      </c>
    </row>
    <row r="35" spans="1:48" x14ac:dyDescent="0.15">
      <c r="Z35" s="31"/>
    </row>
    <row r="36" spans="1:48" x14ac:dyDescent="0.15">
      <c r="Z36" s="31"/>
    </row>
    <row r="37" spans="1:48" x14ac:dyDescent="0.15">
      <c r="Z37" s="31"/>
    </row>
    <row r="38" spans="1:48" x14ac:dyDescent="0.15">
      <c r="Z38" s="31"/>
    </row>
    <row r="39" spans="1:48" x14ac:dyDescent="0.15">
      <c r="Z39" s="31"/>
    </row>
    <row r="40" spans="1:48" x14ac:dyDescent="0.15">
      <c r="Z40" s="31"/>
    </row>
    <row r="41" spans="1:48" x14ac:dyDescent="0.15">
      <c r="Z41" s="31"/>
    </row>
    <row r="42" spans="1:48" x14ac:dyDescent="0.15">
      <c r="Z42" s="31"/>
    </row>
    <row r="43" spans="1:48" x14ac:dyDescent="0.15">
      <c r="Z43" s="31"/>
    </row>
    <row r="44" spans="1:48" x14ac:dyDescent="0.15">
      <c r="Z44" s="31"/>
    </row>
    <row r="45" spans="1:48" x14ac:dyDescent="0.15">
      <c r="Z45" s="31"/>
    </row>
    <row r="46" spans="1:48" x14ac:dyDescent="0.15">
      <c r="Z46" s="31"/>
    </row>
    <row r="47" spans="1:48" x14ac:dyDescent="0.15">
      <c r="Z47" s="31"/>
    </row>
    <row r="48" spans="1:48" x14ac:dyDescent="0.15">
      <c r="Z48" s="31"/>
    </row>
    <row r="49" spans="26:26" x14ac:dyDescent="0.15">
      <c r="Z49" s="31"/>
    </row>
    <row r="50" spans="26:26" x14ac:dyDescent="0.15">
      <c r="Z50" s="31"/>
    </row>
    <row r="51" spans="26:26" x14ac:dyDescent="0.15">
      <c r="Z51" s="31"/>
    </row>
    <row r="52" spans="26:26" x14ac:dyDescent="0.15">
      <c r="Z52" s="31"/>
    </row>
    <row r="53" spans="26:26" x14ac:dyDescent="0.15">
      <c r="Z53" s="31"/>
    </row>
    <row r="54" spans="26:26" x14ac:dyDescent="0.15">
      <c r="Z54" s="31"/>
    </row>
    <row r="55" spans="26:26" x14ac:dyDescent="0.15">
      <c r="Z55" s="31"/>
    </row>
    <row r="56" spans="26:26" x14ac:dyDescent="0.15">
      <c r="Z56" s="31"/>
    </row>
    <row r="57" spans="26:26" x14ac:dyDescent="0.15">
      <c r="Z57" s="31"/>
    </row>
    <row r="58" spans="26:26" x14ac:dyDescent="0.15">
      <c r="Z58" s="31"/>
    </row>
    <row r="59" spans="26:26" x14ac:dyDescent="0.15">
      <c r="Z59" s="31"/>
    </row>
    <row r="60" spans="26:26" x14ac:dyDescent="0.15">
      <c r="Z60" s="31"/>
    </row>
    <row r="61" spans="26:26" x14ac:dyDescent="0.15">
      <c r="Z61" s="31"/>
    </row>
    <row r="62" spans="26:26" x14ac:dyDescent="0.15">
      <c r="Z62" s="31"/>
    </row>
    <row r="63" spans="26:26" x14ac:dyDescent="0.15">
      <c r="Z63" s="31"/>
    </row>
    <row r="64" spans="26:26" x14ac:dyDescent="0.15">
      <c r="Z64" s="31"/>
    </row>
    <row r="65" spans="26:26" x14ac:dyDescent="0.15">
      <c r="Z65" s="31"/>
    </row>
    <row r="66" spans="26:26" x14ac:dyDescent="0.15">
      <c r="Z66" s="31"/>
    </row>
    <row r="67" spans="26:26" x14ac:dyDescent="0.15">
      <c r="Z67" s="31"/>
    </row>
    <row r="68" spans="26:26" x14ac:dyDescent="0.15">
      <c r="Z68" s="31"/>
    </row>
    <row r="69" spans="26:26" x14ac:dyDescent="0.15">
      <c r="Z69" s="31"/>
    </row>
    <row r="70" spans="26:26" x14ac:dyDescent="0.15">
      <c r="Z70" s="31"/>
    </row>
    <row r="71" spans="26:26" x14ac:dyDescent="0.15">
      <c r="Z71" s="31"/>
    </row>
    <row r="72" spans="26:26" x14ac:dyDescent="0.15">
      <c r="Z72" s="31"/>
    </row>
    <row r="73" spans="26:26" x14ac:dyDescent="0.15">
      <c r="Z73" s="31"/>
    </row>
    <row r="74" spans="26:26" x14ac:dyDescent="0.15">
      <c r="Z74" s="31"/>
    </row>
    <row r="75" spans="26:26" x14ac:dyDescent="0.15">
      <c r="Z75" s="31"/>
    </row>
    <row r="76" spans="26:26" x14ac:dyDescent="0.15">
      <c r="Z76" s="31"/>
    </row>
    <row r="77" spans="26:26" x14ac:dyDescent="0.15">
      <c r="Z77" s="31"/>
    </row>
    <row r="78" spans="26:26" x14ac:dyDescent="0.15">
      <c r="Z78" s="31"/>
    </row>
    <row r="79" spans="26:26" x14ac:dyDescent="0.15">
      <c r="Z79" s="31"/>
    </row>
    <row r="80" spans="26:26" x14ac:dyDescent="0.15">
      <c r="Z80" s="31"/>
    </row>
    <row r="81" spans="26:26" x14ac:dyDescent="0.15">
      <c r="Z81" s="31"/>
    </row>
    <row r="82" spans="26:26" x14ac:dyDescent="0.15">
      <c r="Z82" s="31"/>
    </row>
    <row r="83" spans="26:26" x14ac:dyDescent="0.15">
      <c r="Z83" s="31"/>
    </row>
    <row r="84" spans="26:26" x14ac:dyDescent="0.15">
      <c r="Z84" s="31"/>
    </row>
    <row r="85" spans="26:26" x14ac:dyDescent="0.15">
      <c r="Z85" s="31"/>
    </row>
    <row r="86" spans="26:26" x14ac:dyDescent="0.15">
      <c r="Z86" s="31"/>
    </row>
    <row r="87" spans="26:26" x14ac:dyDescent="0.15">
      <c r="Z87" s="31"/>
    </row>
    <row r="88" spans="26:26" x14ac:dyDescent="0.15">
      <c r="Z88" s="31"/>
    </row>
    <row r="89" spans="26:26" x14ac:dyDescent="0.15">
      <c r="Z89" s="31"/>
    </row>
    <row r="90" spans="26:26" x14ac:dyDescent="0.15">
      <c r="Z90" s="31"/>
    </row>
    <row r="91" spans="26:26" x14ac:dyDescent="0.15">
      <c r="Z91" s="31"/>
    </row>
    <row r="92" spans="26:26" x14ac:dyDescent="0.15">
      <c r="Z92" s="31"/>
    </row>
    <row r="93" spans="26:26" x14ac:dyDescent="0.15">
      <c r="Z93" s="31"/>
    </row>
    <row r="94" spans="26:26" x14ac:dyDescent="0.15">
      <c r="Z94" s="31"/>
    </row>
    <row r="95" spans="26:26" x14ac:dyDescent="0.15">
      <c r="Z95" s="31"/>
    </row>
    <row r="96" spans="26:26" x14ac:dyDescent="0.15">
      <c r="Z96" s="31"/>
    </row>
    <row r="97" spans="26:26" x14ac:dyDescent="0.15">
      <c r="Z97" s="31"/>
    </row>
    <row r="98" spans="26:26" x14ac:dyDescent="0.15">
      <c r="Z98" s="31"/>
    </row>
    <row r="99" spans="26:26" x14ac:dyDescent="0.15">
      <c r="Z99" s="31"/>
    </row>
    <row r="100" spans="26:26" x14ac:dyDescent="0.15">
      <c r="Z100" s="31"/>
    </row>
    <row r="101" spans="26:26" x14ac:dyDescent="0.15">
      <c r="Z101" s="31"/>
    </row>
    <row r="102" spans="26:26" x14ac:dyDescent="0.15">
      <c r="Z102" s="31"/>
    </row>
    <row r="103" spans="26:26" x14ac:dyDescent="0.15">
      <c r="Z103" s="31"/>
    </row>
    <row r="104" spans="26:26" x14ac:dyDescent="0.15">
      <c r="Z104" s="31"/>
    </row>
    <row r="105" spans="26:26" x14ac:dyDescent="0.15">
      <c r="Z105" s="31"/>
    </row>
    <row r="106" spans="26:26" x14ac:dyDescent="0.15">
      <c r="Z106" s="31"/>
    </row>
    <row r="107" spans="26:26" x14ac:dyDescent="0.15">
      <c r="Z107" s="31"/>
    </row>
    <row r="108" spans="26:26" x14ac:dyDescent="0.15">
      <c r="Z108" s="31"/>
    </row>
    <row r="109" spans="26:26" x14ac:dyDescent="0.15">
      <c r="Z109" s="31"/>
    </row>
    <row r="110" spans="26:26" x14ac:dyDescent="0.15">
      <c r="Z110" s="31"/>
    </row>
    <row r="111" spans="26:26" x14ac:dyDescent="0.15">
      <c r="Z111" s="31"/>
    </row>
    <row r="112" spans="26:26" x14ac:dyDescent="0.15">
      <c r="Z112" s="31"/>
    </row>
    <row r="113" spans="26:47" x14ac:dyDescent="0.15">
      <c r="Z113" s="31"/>
    </row>
    <row r="114" spans="26:47" x14ac:dyDescent="0.15">
      <c r="Z114" s="31"/>
    </row>
    <row r="115" spans="26:47" x14ac:dyDescent="0.15">
      <c r="Z115" s="31"/>
    </row>
    <row r="116" spans="26:47" x14ac:dyDescent="0.15">
      <c r="Z116" s="31"/>
    </row>
    <row r="117" spans="26:47" x14ac:dyDescent="0.15">
      <c r="Z117" s="31"/>
    </row>
    <row r="118" spans="26:47" x14ac:dyDescent="0.15">
      <c r="Z118" s="31"/>
    </row>
    <row r="119" spans="26:47" x14ac:dyDescent="0.15">
      <c r="Z119" s="31"/>
    </row>
    <row r="120" spans="26:47" x14ac:dyDescent="0.15">
      <c r="Z120" s="31"/>
    </row>
    <row r="121" spans="26:47" x14ac:dyDescent="0.15">
      <c r="AU121" s="50">
        <f xml:space="preserve"> [1]!cb_result_sucrateoff(A121)</f>
        <v>0</v>
      </c>
    </row>
  </sheetData>
  <phoneticPr fontId="1" type="noConversion"/>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B117"/>
  <sheetViews>
    <sheetView zoomScaleNormal="100" workbookViewId="0">
      <pane xSplit="2" ySplit="4" topLeftCell="D5" activePane="bottomRight" state="frozen"/>
      <selection pane="topRight" activeCell="C1" sqref="C1"/>
      <selection pane="bottomLeft" activeCell="A5" sqref="A5"/>
      <selection pane="bottomRight" activeCell="K25" sqref="K25"/>
    </sheetView>
  </sheetViews>
  <sheetFormatPr defaultRowHeight="12" x14ac:dyDescent="0.15"/>
  <cols>
    <col min="1" max="1" width="10.5" style="31" bestFit="1" customWidth="1"/>
    <col min="2" max="2" width="13.875" style="31" customWidth="1"/>
    <col min="3" max="3" width="10.375" style="31" customWidth="1"/>
    <col min="4" max="5" width="9" style="31"/>
    <col min="6" max="6" width="10.125" style="31" customWidth="1"/>
    <col min="7" max="11" width="9.625" style="31" customWidth="1"/>
    <col min="12" max="12" width="8" style="55" customWidth="1"/>
    <col min="13" max="13" width="9.875" style="31" customWidth="1"/>
    <col min="14" max="14" width="8.625" style="31" customWidth="1"/>
    <col min="15" max="15" width="8" style="55" customWidth="1"/>
    <col min="16" max="18" width="8.625" style="31" customWidth="1"/>
    <col min="19" max="19" width="9" style="31" customWidth="1"/>
    <col min="20" max="20" width="8" style="55" customWidth="1"/>
    <col min="21" max="24" width="9" style="31" customWidth="1"/>
    <col min="25" max="16384" width="9" style="31"/>
  </cols>
  <sheetData>
    <row r="1" spans="1:28" x14ac:dyDescent="0.15">
      <c r="A1" s="51" t="s">
        <v>107</v>
      </c>
      <c r="B1" s="35" t="str">
        <f>[1]!cb_info_name(A1)</f>
        <v>久其转债</v>
      </c>
      <c r="C1" s="42" t="str">
        <f>[1]!cb_info_underlyingcode(A1)</f>
        <v>002279.SZ</v>
      </c>
      <c r="D1" s="42" t="str">
        <f>[1]!cb_info_underlyingname(A1)</f>
        <v>久其软件</v>
      </c>
      <c r="E1" s="42" t="str">
        <f>[1]!s_refrmkd_preplandate(A1)</f>
        <v>2016-07-29</v>
      </c>
      <c r="F1" s="42" t="str">
        <f>[1]!cb_list_permitdate(A1)</f>
        <v>2017-01-11</v>
      </c>
      <c r="G1" s="42" t="str">
        <f>[1]!cb_list_announcedate(A1)</f>
        <v>2017-06-06</v>
      </c>
      <c r="H1" s="42" t="str">
        <f>[1]!cb_list_dtonl(A1)</f>
        <v>2017-06-08</v>
      </c>
      <c r="I1" s="42" t="str">
        <f>[1]!cb_info_listeddate(A1)</f>
        <v>2017-06-27</v>
      </c>
      <c r="J1" s="42" t="str">
        <f>[1]!cb_info_maturitydate(A1)</f>
        <v>2023-06-08</v>
      </c>
      <c r="K1" s="42"/>
      <c r="L1" s="52">
        <f>IF(G1*F1=0,"",G1-F1)</f>
        <v>146</v>
      </c>
      <c r="M1" s="53">
        <f>IF(L1="","",[1]!s_pq_pctchange(C1,F1,G1-1))</f>
        <v>-6.1583110378192192</v>
      </c>
      <c r="N1" s="54">
        <f>IF(L1="","",M1-[1]!s_pq_pctchange($A$3,G1,H1-1))</f>
        <v>-8.0355846569500997</v>
      </c>
      <c r="O1" s="52">
        <f>IF(G1*H1=0, "", H1-G1)</f>
        <v>2</v>
      </c>
      <c r="P1" s="53">
        <f>IF(O1="","",[1]!s_pq_pctchange(C1,G1,H1-1))</f>
        <v>3.1681559707554596</v>
      </c>
      <c r="Q1" s="54">
        <f>IF(O1="","",P1-[1]!s_pq_pctchange($A$3,G1,H1-1))</f>
        <v>1.2908823516245782</v>
      </c>
      <c r="R1" s="53">
        <f>IF(G1=0,"",[1]!s_pq_pctchange(C1,G1-3,G1-1))</f>
        <v>1.9039735099337873</v>
      </c>
      <c r="S1" s="53">
        <f>IF(G1=0,"",R1-[1]!s_pq_pctchange($A$3,G1-3,G1-1))</f>
        <v>2.4131822384166224</v>
      </c>
      <c r="T1" s="52">
        <f>IF(I1*H1=0,"",I1-H1)</f>
        <v>19</v>
      </c>
      <c r="U1" s="53">
        <f>IF(T1="","",[1]!s_pq_pctchange(C1,H1,I1-1))</f>
        <v>1.1811023622047223</v>
      </c>
      <c r="V1" s="53">
        <f>IF(T1="","",U1-[1]!s_pq_pctchange($A$3,H1,I1-1))</f>
        <v>-2.6170008966627911</v>
      </c>
      <c r="W1" s="53">
        <f>IF(I1=0,"",[1]!s_pq_pctchange(C1,I1,I1+7))</f>
        <v>-0.38910505836573517</v>
      </c>
      <c r="X1" s="53">
        <f>IF(I1=0,"",W1-[1]!s_pq_pctchange(A$3,I1,I1+7))</f>
        <v>0.92241606246550312</v>
      </c>
      <c r="Y1" s="53">
        <f>IF(I1=0,"",[1]!s_pq_pctchange(C1,I1,I1+28))</f>
        <v>-9.9610894941634101</v>
      </c>
      <c r="Z1" s="53">
        <f>IF(I1=0,"",W1-[1]!s_pq_pctchange($A$3,I1,I1+28))</f>
        <v>-1.7922078541272146</v>
      </c>
      <c r="AA1" s="53">
        <f>IF(I1=0,"",[1]!b_pq_pctchange(A1,I1,I1+6,4))</f>
        <v>-1.0353143841515919</v>
      </c>
      <c r="AB1" s="53">
        <f>IF(I1=0,"",[1]!b_pq_pctchange(A1,I1,I1+27,4))</f>
        <v>-3.2997416020671744</v>
      </c>
    </row>
    <row r="2" spans="1:28" x14ac:dyDescent="0.15">
      <c r="A2" s="29" t="s">
        <v>205</v>
      </c>
      <c r="P2" s="39"/>
    </row>
    <row r="3" spans="1:28" x14ac:dyDescent="0.15">
      <c r="A3" s="31" t="s">
        <v>220</v>
      </c>
      <c r="J3" s="40"/>
      <c r="K3" s="40"/>
      <c r="P3" s="40"/>
      <c r="Q3" s="40"/>
      <c r="R3" s="40"/>
    </row>
    <row r="4" spans="1:28" s="57" customFormat="1" ht="48" x14ac:dyDescent="0.15">
      <c r="A4" s="33" t="s">
        <v>112</v>
      </c>
      <c r="B4" s="56" t="s">
        <v>213</v>
      </c>
      <c r="C4" s="56" t="s">
        <v>114</v>
      </c>
      <c r="D4" s="56" t="s">
        <v>115</v>
      </c>
      <c r="E4" s="56" t="s">
        <v>296</v>
      </c>
      <c r="F4" s="56" t="s">
        <v>214</v>
      </c>
      <c r="G4" s="56" t="s">
        <v>215</v>
      </c>
      <c r="H4" s="56" t="s">
        <v>216</v>
      </c>
      <c r="I4" s="56" t="s">
        <v>217</v>
      </c>
      <c r="J4" s="56" t="s">
        <v>218</v>
      </c>
      <c r="K4" s="56"/>
      <c r="L4" s="5" t="s">
        <v>254</v>
      </c>
      <c r="M4" s="2" t="s">
        <v>224</v>
      </c>
      <c r="N4" s="2" t="s">
        <v>219</v>
      </c>
      <c r="O4" s="6" t="s">
        <v>255</v>
      </c>
      <c r="P4" s="2" t="s">
        <v>225</v>
      </c>
      <c r="Q4" s="2" t="s">
        <v>221</v>
      </c>
      <c r="R4" s="2" t="s">
        <v>226</v>
      </c>
      <c r="S4" s="2" t="s">
        <v>222</v>
      </c>
      <c r="T4" s="6" t="s">
        <v>256</v>
      </c>
      <c r="U4" s="3" t="s">
        <v>227</v>
      </c>
      <c r="V4" s="2" t="s">
        <v>223</v>
      </c>
      <c r="W4" s="2" t="s">
        <v>259</v>
      </c>
      <c r="X4" s="2" t="s">
        <v>260</v>
      </c>
      <c r="Y4" s="2" t="s">
        <v>258</v>
      </c>
      <c r="Z4" s="2" t="s">
        <v>257</v>
      </c>
      <c r="AA4" s="4" t="s">
        <v>261</v>
      </c>
      <c r="AB4" s="4" t="s">
        <v>262</v>
      </c>
    </row>
    <row r="5" spans="1:28" ht="13.5" x14ac:dyDescent="0.15">
      <c r="A5" s="14" t="s">
        <v>84</v>
      </c>
      <c r="B5" s="35" t="str">
        <f>[1]!cb_info_name(A5)</f>
        <v>格力转债</v>
      </c>
      <c r="C5" s="42" t="str">
        <f>[1]!cb_info_underlyingcode(A5)</f>
        <v>600185.SH</v>
      </c>
      <c r="D5" s="42" t="str">
        <f>[1]!cb_info_underlyingname(A5)</f>
        <v>格力地产</v>
      </c>
      <c r="E5" s="42" t="str">
        <f>[1]!s_refrmkd_preplandate(A5)</f>
        <v>2013-09-07</v>
      </c>
      <c r="F5" s="42" t="str">
        <f>[1]!cb_list_permitdate(A5)</f>
        <v>2014-11-19</v>
      </c>
      <c r="G5" s="42" t="str">
        <f>[1]!cb_list_announcedate(A5)</f>
        <v>2014-12-23</v>
      </c>
      <c r="H5" s="42" t="str">
        <f>[1]!cb_list_dtonl(A5)</f>
        <v>2014-12-25</v>
      </c>
      <c r="I5" s="42" t="str">
        <f>[1]!cb_info_listeddate(A5)</f>
        <v>2015-01-13</v>
      </c>
      <c r="J5" s="42" t="str">
        <f>[1]!cb_info_maturitydate(A5)</f>
        <v>2019-12-25</v>
      </c>
      <c r="K5" s="42">
        <f>H5-E5</f>
        <v>474</v>
      </c>
      <c r="L5" s="52">
        <f>IF(G5*F5=0,"",G5-F5)</f>
        <v>34</v>
      </c>
      <c r="M5" s="53">
        <f>IF(L5="","",[1]!s_pq_pctchange(C5,F5,G5-1))</f>
        <v>28.269754768392374</v>
      </c>
      <c r="N5" s="54">
        <f>IF(L5="","",M5-[1]!s_pq_pctchange($A$3,G5,H5-1))</f>
        <v>33.103954753603659</v>
      </c>
      <c r="O5" s="52">
        <f>IF(G5*H5=0, "", H5-G5)</f>
        <v>2</v>
      </c>
      <c r="P5" s="53">
        <f>IF(O5="","",[1]!s_pq_pctchange(C5,G5,H5-1))</f>
        <v>2.5491237387148313</v>
      </c>
      <c r="Q5" s="54">
        <f>IF(O5="","",P5-[1]!s_pq_pctchange($A$3,G5,H5-1))</f>
        <v>7.3833237239261162</v>
      </c>
      <c r="R5" s="53">
        <f>IF(G5=0,"",[1]!s_pq_pctchange(C5,G5-3,G5-1))</f>
        <v>-9.9904397705545165</v>
      </c>
      <c r="S5" s="53">
        <f>IF(G5=0,"",R5-[1]!s_pq_pctchange($A$3,G5-3,G5-1))</f>
        <v>-10.324860152403836</v>
      </c>
      <c r="T5" s="52">
        <f>IF(I5*H5=0,"",I5-H5)</f>
        <v>19</v>
      </c>
      <c r="U5" s="53">
        <f>IF(T5="","",[1]!s_pq_pctchange(C5,H5,I5-1))</f>
        <v>-1.6571724495080264</v>
      </c>
      <c r="V5" s="53">
        <f>IF(T5="","",U5-[1]!s_pq_pctchange($A$3,H5,I5-1))</f>
        <v>-10.423650748534309</v>
      </c>
      <c r="W5" s="53">
        <f>IF(I5=0,"",[1]!s_pq_pctchange(C5,I5,I5+7))</f>
        <v>10.479199578725652</v>
      </c>
      <c r="X5" s="53">
        <f>IF(I5=0,"",W5-[1]!s_pq_pctchange(A$3,I5,I5+7))</f>
        <v>13.819215562441379</v>
      </c>
      <c r="Y5" s="53">
        <f>IF(I5=0,"",[1]!s_pq_pctchange(C5,I5,I5+28))</f>
        <v>28.962611901000514</v>
      </c>
      <c r="Z5" s="53">
        <f>IF(I5=0,"",W5-[1]!s_pq_pctchange($A$3,I5,I5+28))</f>
        <v>13.514084835227859</v>
      </c>
      <c r="AA5" s="53">
        <f>IF(I5=0,"",[1]!b_pq_pctchange(A5,I5,I5+6,4))</f>
        <v>0.86792998698106261</v>
      </c>
      <c r="AB5" s="53">
        <f>IF(I5=0,"",[1]!b_pq_pctchange(A5,I5,I5+27,4))</f>
        <v>7.9632576305511504</v>
      </c>
    </row>
    <row r="6" spans="1:28" ht="13.5" x14ac:dyDescent="0.15">
      <c r="A6" s="14" t="s">
        <v>85</v>
      </c>
      <c r="B6" s="35" t="str">
        <f>[1]!cb_info_name(A6)</f>
        <v>航信转债</v>
      </c>
      <c r="C6" s="42" t="str">
        <f>[1]!cb_info_underlyingcode(A6)</f>
        <v>600271.SH</v>
      </c>
      <c r="D6" s="42" t="str">
        <f>[1]!cb_info_underlyingname(A6)</f>
        <v>航天信息</v>
      </c>
      <c r="E6" s="42" t="str">
        <f>[1]!s_refrmkd_preplandate(A6)</f>
        <v>2014-07-17</v>
      </c>
      <c r="F6" s="42" t="str">
        <f>[1]!cb_list_permitdate(A6)</f>
        <v>2015-04-29</v>
      </c>
      <c r="G6" s="42" t="str">
        <f>[1]!cb_list_announcedate(A6)</f>
        <v>2015-06-10</v>
      </c>
      <c r="H6" s="42" t="str">
        <f>[1]!cb_list_dtonl(A6)</f>
        <v>2015-06-12</v>
      </c>
      <c r="I6" s="42" t="str">
        <f>[1]!cb_info_listeddate(A6)</f>
        <v>2015-06-30</v>
      </c>
      <c r="J6" s="42" t="str">
        <f>[1]!cb_info_maturitydate(A6)</f>
        <v>2021-06-12</v>
      </c>
      <c r="K6" s="42">
        <f t="shared" ref="K6:K34" si="0">H6-E6</f>
        <v>330</v>
      </c>
      <c r="L6" s="52">
        <f t="shared" ref="L6:L34" si="1">IF(G6*F6=0,"",G6-F6)</f>
        <v>42</v>
      </c>
      <c r="M6" s="53">
        <f>IF(L6="","",[1]!s_pq_pctchange(C6,F6,G6-1))</f>
        <v>62.510676523830647</v>
      </c>
      <c r="N6" s="54">
        <f>IF(L6="","",M6-[1]!s_pq_pctchange($A$3,G6,H6-1))</f>
        <v>62.715116199081677</v>
      </c>
      <c r="O6" s="52">
        <f t="shared" ref="O6:O34" si="2">IF(G6*H6=0, "", H6-G6)</f>
        <v>2</v>
      </c>
      <c r="P6" s="53">
        <f>IF(O6="","",[1]!s_pq_pctchange(C6,G6,H6-1))</f>
        <v>8.3837806967447257</v>
      </c>
      <c r="Q6" s="54">
        <f>IF(O6="","",P6-[1]!s_pq_pctchange($A$3,G6,H6-1))</f>
        <v>8.5882203719957602</v>
      </c>
      <c r="R6" s="53">
        <f>IF(G6=0,"",[1]!s_pq_pctchange(C6,G6-3,G6-1))</f>
        <v>-6.0118089103596395</v>
      </c>
      <c r="S6" s="53">
        <f>IF(G6=0,"",R6-[1]!s_pq_pctchange($A$3,G6-3,G6-1))</f>
        <v>-7.6733735023950533</v>
      </c>
      <c r="T6" s="52">
        <f t="shared" ref="T6:T34" si="3">IF(I6*H6=0,"",I6-H6)</f>
        <v>18</v>
      </c>
      <c r="U6" s="53">
        <f>IF(T6="","",[1]!s_pq_pctchange(C6,H6,I6-1))</f>
        <v>-38.001896933291192</v>
      </c>
      <c r="V6" s="53">
        <f>IF(T6="","",U6-[1]!s_pq_pctchange($A$3,H6,I6-1))</f>
        <v>-16.989506678909372</v>
      </c>
      <c r="W6" s="53">
        <f>IF(I6=0,"",[1]!s_pq_pctchange(C6,I6,I6+7))</f>
        <v>-2.0227774944756027</v>
      </c>
      <c r="X6" s="53">
        <f>IF(I6=0,"",W6-[1]!s_pq_pctchange(A$3,I6,I6+7))</f>
        <v>4.264781714548004</v>
      </c>
      <c r="Y6" s="53">
        <f>IF(I6=0,"",[1]!s_pq_pctchange(C6,I6,I6+28))</f>
        <v>2.1757606663266982</v>
      </c>
      <c r="Z6" s="53">
        <f>IF(I6=0,"",W6-[1]!s_pq_pctchange($A$3,I6,I6+28))</f>
        <v>7.0539632595263964</v>
      </c>
      <c r="AA6" s="53">
        <f>IF(I6=0,"",[1]!b_pq_pctchange(A6,I6,I6+6,4))</f>
        <v>1.6377649325626173</v>
      </c>
      <c r="AB6" s="53">
        <f>IF(I6=0,"",[1]!b_pq_pctchange(A6,I6,I6+27,4))</f>
        <v>-2.1056977704376565</v>
      </c>
    </row>
    <row r="7" spans="1:28" ht="13.5" x14ac:dyDescent="0.15">
      <c r="A7" s="14" t="s">
        <v>86</v>
      </c>
      <c r="B7" s="35" t="str">
        <f>[1]!cb_info_name(A7)</f>
        <v>三一转债</v>
      </c>
      <c r="C7" s="42" t="str">
        <f>[1]!cb_info_underlyingcode(A7)</f>
        <v>600031.SH</v>
      </c>
      <c r="D7" s="42" t="str">
        <f>[1]!cb_info_underlyingname(A7)</f>
        <v>三一重工</v>
      </c>
      <c r="E7" s="42" t="str">
        <f>[1]!s_refrmkd_preplandate(A7)</f>
        <v>2015-10-24</v>
      </c>
      <c r="F7" s="42" t="str">
        <f>[1]!cb_list_permitdate(A7)</f>
        <v>2015-05-20</v>
      </c>
      <c r="G7" s="42" t="str">
        <f>[1]!cb_list_announcedate(A7)</f>
        <v>2015-12-30</v>
      </c>
      <c r="H7" s="42" t="str">
        <f>[1]!cb_list_dtonl(A7)</f>
        <v>2016-01-04</v>
      </c>
      <c r="I7" s="42" t="str">
        <f>[1]!cb_info_listeddate(A7)</f>
        <v>2016-01-18</v>
      </c>
      <c r="J7" s="42" t="str">
        <f>[1]!cb_info_maturitydate(A7)</f>
        <v>2022-01-04</v>
      </c>
      <c r="K7" s="42">
        <f t="shared" si="0"/>
        <v>72</v>
      </c>
      <c r="L7" s="52">
        <f t="shared" si="1"/>
        <v>224</v>
      </c>
      <c r="M7" s="53">
        <f>IF(L7="","",[1]!s_pq_pctchange(C7,F7,G7-1))</f>
        <v>-39.427824126525614</v>
      </c>
      <c r="N7" s="54">
        <f>IF(L7="","",M7-[1]!s_pq_pctchange($A$3,G7,H7-1))</f>
        <v>-38.607227905147148</v>
      </c>
      <c r="O7" s="52">
        <f t="shared" si="2"/>
        <v>5</v>
      </c>
      <c r="P7" s="53">
        <f>IF(O7="","",[1]!s_pq_pctchange(C7,G7,H7-1))</f>
        <v>1.5432098765432167</v>
      </c>
      <c r="Q7" s="54">
        <f>IF(O7="","",P7-[1]!s_pq_pctchange($A$3,G7,H7-1))</f>
        <v>2.3638060979216835</v>
      </c>
      <c r="R7" s="53">
        <f>IF(G7=0,"",[1]!s_pq_pctchange(C7,G7-3,G7-1))</f>
        <v>-1.9667170953101443</v>
      </c>
      <c r="S7" s="53">
        <f>IF(G7=0,"",R7-[1]!s_pq_pctchange($A$3,G7-3,G7-1))</f>
        <v>2.1883814334766605E-2</v>
      </c>
      <c r="T7" s="52">
        <f t="shared" si="3"/>
        <v>14</v>
      </c>
      <c r="U7" s="53">
        <f>IF(T7="","",[1]!s_pq_pctchange(C7,H7,I7-1))</f>
        <v>-16.109422492401226</v>
      </c>
      <c r="V7" s="53">
        <f>IF(T7="","",U7-[1]!s_pq_pctchange($A$3,H7,I7-1))</f>
        <v>0.30102587824809746</v>
      </c>
      <c r="W7" s="53">
        <f>IF(I7=0,"",[1]!s_pq_pctchange(C7,I7,I7+7))</f>
        <v>-1.4492753623188248</v>
      </c>
      <c r="X7" s="53">
        <f>IF(I7=0,"",W7-[1]!s_pq_pctchange(A$3,I7,I7+7))</f>
        <v>-1.7749175203240819</v>
      </c>
      <c r="Y7" s="53">
        <f>IF(I7=0,"",[1]!s_pq_pctchange(C7,I7,I7+28))</f>
        <v>-15.03623188405796</v>
      </c>
      <c r="Z7" s="53">
        <f>IF(I7=0,"",W7-[1]!s_pq_pctchange($A$3,I7,I7+28))</f>
        <v>4.0665433999395821</v>
      </c>
      <c r="AA7" s="53">
        <f>IF(I7=0,"",[1]!b_pq_pctchange(A7,I7,I7+6,4))</f>
        <v>-1.587891169096475</v>
      </c>
      <c r="AB7" s="53">
        <f>IF(I7=0,"",[1]!b_pq_pctchange(A7,I7,I7+27,4))</f>
        <v>-1.7550376079487422</v>
      </c>
    </row>
    <row r="8" spans="1:28" ht="13.5" x14ac:dyDescent="0.15">
      <c r="A8" s="14" t="s">
        <v>87</v>
      </c>
      <c r="B8" s="35" t="str">
        <f>[1]!cb_info_name(A8)</f>
        <v>国贸转债</v>
      </c>
      <c r="C8" s="42" t="str">
        <f>[1]!cb_info_underlyingcode(A8)</f>
        <v>600755.SH</v>
      </c>
      <c r="D8" s="42" t="str">
        <f>[1]!cb_info_underlyingname(A8)</f>
        <v>厦门国贸</v>
      </c>
      <c r="E8" s="42" t="str">
        <f>[1]!s_refrmkd_preplandate(A8)</f>
        <v>2015-02-04</v>
      </c>
      <c r="F8" s="42" t="str">
        <f>[1]!cb_list_permitdate(A8)</f>
        <v>2015-05-29</v>
      </c>
      <c r="G8" s="42" t="str">
        <f>[1]!cb_list_announcedate(A8)</f>
        <v>2015-12-31</v>
      </c>
      <c r="H8" s="42" t="str">
        <f>[1]!cb_list_dtonl(A8)</f>
        <v>2016-01-05</v>
      </c>
      <c r="I8" s="42" t="str">
        <f>[1]!cb_info_listeddate(A8)</f>
        <v>2016-01-19</v>
      </c>
      <c r="J8" s="42" t="str">
        <f>[1]!cb_info_maturitydate(A8)</f>
        <v>2022-01-05</v>
      </c>
      <c r="K8" s="42">
        <f t="shared" si="0"/>
        <v>335</v>
      </c>
      <c r="L8" s="52">
        <f t="shared" si="1"/>
        <v>216</v>
      </c>
      <c r="M8" s="53">
        <f>IF(L8="","",[1]!s_pq_pctchange(C8,F8,G8-1))</f>
        <v>-34.399688988780106</v>
      </c>
      <c r="N8" s="54">
        <f>IF(L8="","",M8-[1]!s_pq_pctchange($A$3,G8,H8-1))</f>
        <v>-26.535274073904432</v>
      </c>
      <c r="O8" s="52">
        <f t="shared" si="2"/>
        <v>5</v>
      </c>
      <c r="P8" s="53">
        <f>IF(O8="","",[1]!s_pq_pctchange(C8,G8,H8-1))</f>
        <v>-3.1973539140022322</v>
      </c>
      <c r="Q8" s="54">
        <f>IF(O8="","",P8-[1]!s_pq_pctchange($A$3,G8,H8-1))</f>
        <v>4.6670610008734403</v>
      </c>
      <c r="R8" s="53">
        <f>IF(G8=0,"",[1]!s_pq_pctchange(C8,G8-3,G8-1))</f>
        <v>0.55432372505546113</v>
      </c>
      <c r="S8" s="53">
        <f>IF(G8=0,"",R8-[1]!s_pq_pctchange($A$3,G8-3,G8-1))</f>
        <v>2.4569286172953397</v>
      </c>
      <c r="T8" s="52">
        <f t="shared" si="3"/>
        <v>14</v>
      </c>
      <c r="U8" s="53">
        <f>IF(T8="","",[1]!s_pq_pctchange(C8,H8,I8-1))</f>
        <v>-27.107061503416841</v>
      </c>
      <c r="V8" s="53">
        <f>IF(T8="","",U8-[1]!s_pq_pctchange($A$3,H8,I8-1))</f>
        <v>-17.354082445248388</v>
      </c>
      <c r="W8" s="53">
        <f>IF(I8=0,"",[1]!s_pq_pctchange(C8,I8,I8+7))</f>
        <v>-7.8125000000000107</v>
      </c>
      <c r="X8" s="53">
        <f>IF(I8=0,"",W8-[1]!s_pq_pctchange(A$3,I8,I8+7))</f>
        <v>-1.7365858574500121</v>
      </c>
      <c r="Y8" s="53">
        <f>IF(I8=0,"",[1]!s_pq_pctchange(C8,I8,I8+28))</f>
        <v>-3.125</v>
      </c>
      <c r="Z8" s="53">
        <f>IF(I8=0,"",W8-[1]!s_pq_pctchange($A$3,I8,I8+28))</f>
        <v>-4.8197911774635056</v>
      </c>
      <c r="AA8" s="53">
        <f>IF(I8=0,"",[1]!b_pq_pctchange(A8,I8,I8+6,4))</f>
        <v>0.93681116825864286</v>
      </c>
      <c r="AB8" s="53">
        <f>IF(I8=0,"",[1]!b_pq_pctchange(A8,I8,I8+27,4))</f>
        <v>2.1124173401910467</v>
      </c>
    </row>
    <row r="9" spans="1:28" ht="13.5" x14ac:dyDescent="0.15">
      <c r="A9" s="14" t="s">
        <v>88</v>
      </c>
      <c r="B9" s="35" t="str">
        <f>[1]!cb_info_name(A9)</f>
        <v>九州转债</v>
      </c>
      <c r="C9" s="42" t="str">
        <f>[1]!cb_info_underlyingcode(A9)</f>
        <v>600998.SH</v>
      </c>
      <c r="D9" s="42" t="str">
        <f>[1]!cb_info_underlyingname(A9)</f>
        <v>九州通</v>
      </c>
      <c r="E9" s="42" t="str">
        <f>[1]!s_refrmkd_preplandate(A9)</f>
        <v>2015-12-04</v>
      </c>
      <c r="F9" s="42" t="str">
        <f>[1]!cb_list_permitdate(A9)</f>
        <v>2015-05-29</v>
      </c>
      <c r="G9" s="42" t="str">
        <f>[1]!cb_list_announcedate(A9)</f>
        <v>2016-01-13</v>
      </c>
      <c r="H9" s="42" t="str">
        <f>[1]!cb_list_dtonl(A9)</f>
        <v>2016-01-15</v>
      </c>
      <c r="I9" s="42" t="str">
        <f>[1]!cb_info_listeddate(A9)</f>
        <v>2016-01-29</v>
      </c>
      <c r="J9" s="42" t="str">
        <f>[1]!cb_info_maturitydate(A9)</f>
        <v>2022-01-15</v>
      </c>
      <c r="K9" s="42">
        <f t="shared" si="0"/>
        <v>42</v>
      </c>
      <c r="L9" s="52">
        <f t="shared" si="1"/>
        <v>229</v>
      </c>
      <c r="M9" s="53">
        <f>IF(L9="","",[1]!s_pq_pctchange(C9,F9,G9-1))</f>
        <v>-45.613456464379951</v>
      </c>
      <c r="N9" s="54">
        <f>IF(L9="","",M9-[1]!s_pq_pctchange($A$3,G9,H9-1))</f>
        <v>-45.795733478858146</v>
      </c>
      <c r="O9" s="52">
        <f t="shared" si="2"/>
        <v>2</v>
      </c>
      <c r="P9" s="53">
        <f>IF(O9="","",[1]!s_pq_pctchange(C9,G9,H9-1))</f>
        <v>0.66707095209219691</v>
      </c>
      <c r="Q9" s="54">
        <f>IF(O9="","",P9-[1]!s_pq_pctchange($A$3,G9,H9-1))</f>
        <v>0.48479393761400313</v>
      </c>
      <c r="R9" s="53">
        <f>IF(G9=0,"",[1]!s_pq_pctchange(C9,G9-3,G9-1))</f>
        <v>-3.6236119228521324</v>
      </c>
      <c r="S9" s="53">
        <f>IF(G9=0,"",R9-[1]!s_pq_pctchange($A$3,G9-3,G9-1))</f>
        <v>0.71524150105494178</v>
      </c>
      <c r="T9" s="52">
        <f t="shared" si="3"/>
        <v>14</v>
      </c>
      <c r="U9" s="53">
        <f>IF(T9="","",[1]!s_pq_pctchange(C9,H9,I9-1))</f>
        <v>-7.8313253012048172</v>
      </c>
      <c r="V9" s="53">
        <f>IF(T9="","",U9-[1]!s_pq_pctchange($A$3,H9,I9-1))</f>
        <v>3.5859352319623223</v>
      </c>
      <c r="W9" s="53">
        <f>IF(I9=0,"",[1]!s_pq_pctchange(C9,I9,I9+7))</f>
        <v>16.274509803921553</v>
      </c>
      <c r="X9" s="53">
        <f>IF(I9=0,"",W9-[1]!s_pq_pctchange(A$3,I9,I9+7))</f>
        <v>12.418777488736385</v>
      </c>
      <c r="Y9" s="53">
        <f>IF(I9=0,"",[1]!s_pq_pctchange(C9,I9,I9+28))</f>
        <v>2.8104575163398593</v>
      </c>
      <c r="Z9" s="53">
        <f>IF(I9=0,"",W9-[1]!s_pq_pctchange($A$3,I9,I9+28))</f>
        <v>12.970990042843143</v>
      </c>
      <c r="AA9" s="53">
        <f>IF(I9=0,"",[1]!b_pq_pctchange(A9,I9,I9+6,4))</f>
        <v>13.319130805283338</v>
      </c>
      <c r="AB9" s="53">
        <f>IF(I9=0,"",[1]!b_pq_pctchange(A9,I9,I9+27,4))</f>
        <v>11.640391989774178</v>
      </c>
    </row>
    <row r="10" spans="1:28" ht="13.5" x14ac:dyDescent="0.15">
      <c r="A10" s="14" t="s">
        <v>89</v>
      </c>
      <c r="B10" s="35" t="str">
        <f>[1]!cb_info_name(A10)</f>
        <v>济川转债</v>
      </c>
      <c r="C10" s="42" t="str">
        <f>[1]!cb_info_underlyingcode(A10)</f>
        <v>600566.SH</v>
      </c>
      <c r="D10" s="42" t="str">
        <f>[1]!cb_info_underlyingname(A10)</f>
        <v>济川药业</v>
      </c>
      <c r="E10" s="42" t="str">
        <f>[1]!s_refrmkd_preplandate(A10)</f>
        <v>2017-05-10</v>
      </c>
      <c r="F10" s="42" t="str">
        <f>[1]!cb_list_permitdate(A10)</f>
        <v>2017-08-15</v>
      </c>
      <c r="G10" s="42" t="str">
        <f>[1]!cb_list_announcedate(A10)</f>
        <v>2017-11-09</v>
      </c>
      <c r="H10" s="42" t="str">
        <f>[1]!cb_list_dtonl(A10)</f>
        <v>2017-11-13</v>
      </c>
      <c r="I10" s="42">
        <f>[1]!cb_info_listeddate(A10)</f>
        <v>0</v>
      </c>
      <c r="J10" s="42" t="str">
        <f>[1]!cb_info_maturitydate(A10)</f>
        <v>2022-11-13</v>
      </c>
      <c r="K10" s="42">
        <f t="shared" si="0"/>
        <v>187</v>
      </c>
      <c r="L10" s="52">
        <f t="shared" si="1"/>
        <v>86</v>
      </c>
      <c r="M10" s="53">
        <f>IF(L10="","",[1]!s_pq_pctchange(C10,F10,G10-1))</f>
        <v>12.936288088642666</v>
      </c>
      <c r="N10" s="54">
        <f>IF(L10="","",M10-[1]!s_pq_pctchange($A$3,G10,H10-1))</f>
        <v>11.357597129783613</v>
      </c>
      <c r="O10" s="52">
        <f t="shared" si="2"/>
        <v>4</v>
      </c>
      <c r="P10" s="53">
        <f>IF(O10="","",[1]!s_pq_pctchange(C10,G10,H10-1))</f>
        <v>3.115035565366675</v>
      </c>
      <c r="Q10" s="54">
        <f>IF(O10="","",P10-[1]!s_pq_pctchange($A$3,G10,H10-1))</f>
        <v>1.5363446065076225</v>
      </c>
      <c r="R10" s="53">
        <f>IF(G10=0,"",[1]!s_pq_pctchange(C10,G10-3,G10-1))</f>
        <v>3.5297105129507456</v>
      </c>
      <c r="S10" s="53">
        <f>IF(G10=0,"",R10-[1]!s_pq_pctchange($A$3,G10-3,G10-1))</f>
        <v>2.1444867523451761</v>
      </c>
      <c r="T10" s="52" t="str">
        <f t="shared" si="3"/>
        <v/>
      </c>
      <c r="U10" s="53" t="str">
        <f>IF(T10="","",[1]!s_pq_pctchange(C10,H10,I10-1))</f>
        <v/>
      </c>
      <c r="V10" s="53" t="str">
        <f>IF(T10="","",U10-[1]!s_pq_pctchange($A$3,H10,I10-1))</f>
        <v/>
      </c>
      <c r="W10" s="53" t="str">
        <f>IF(I10=0,"",[1]!s_pq_pctchange(C10,I10,I10+7))</f>
        <v/>
      </c>
      <c r="X10" s="53" t="str">
        <f>IF(I10=0,"",W10-[1]!s_pq_pctchange(A$3,I10,I10+7))</f>
        <v/>
      </c>
      <c r="Y10" s="53" t="str">
        <f>IF(I10=0,"",[1]!s_pq_pctchange(C10,I10,I10+28))</f>
        <v/>
      </c>
      <c r="Z10" s="53" t="str">
        <f>IF(I10=0,"",W10-[1]!s_pq_pctchange($A$3,I10,I10+28))</f>
        <v/>
      </c>
      <c r="AA10" s="53" t="str">
        <f>IF(I10=0,"",[1]!b_pq_pctchange(A10,I10,I10+6,4))</f>
        <v/>
      </c>
      <c r="AB10" s="53" t="str">
        <f>IF(I10=0,"",[1]!b_pq_pctchange(A10,I10,I10+27,4))</f>
        <v/>
      </c>
    </row>
    <row r="11" spans="1:28" ht="13.5" x14ac:dyDescent="0.15">
      <c r="A11" s="14" t="s">
        <v>266</v>
      </c>
      <c r="B11" s="35" t="str">
        <f>[1]!cb_info_name(A11)</f>
        <v>宝信转债</v>
      </c>
      <c r="C11" s="42" t="str">
        <f>[1]!cb_info_underlyingcode(A11)</f>
        <v>600845.SH</v>
      </c>
      <c r="D11" s="42" t="str">
        <f>[1]!cb_info_underlyingname(A11)</f>
        <v>宝信软件</v>
      </c>
      <c r="E11" s="42" t="str">
        <f>[1]!s_refrmkd_preplandate(A11)</f>
        <v>2016-10-25</v>
      </c>
      <c r="F11" s="42" t="str">
        <f>[1]!cb_list_permitdate(A11)</f>
        <v>2017-07-22</v>
      </c>
      <c r="G11" s="42" t="str">
        <f>[1]!cb_list_announcedate(A11)</f>
        <v>2017-11-15</v>
      </c>
      <c r="H11" s="42" t="str">
        <f>[1]!cb_list_dtonl(A11)</f>
        <v>2017-11-17</v>
      </c>
      <c r="I11" s="42">
        <f>[1]!cb_info_listeddate(A11)</f>
        <v>0</v>
      </c>
      <c r="J11" s="42" t="str">
        <f>[1]!cb_info_maturitydate(A11)</f>
        <v>2023-11-17</v>
      </c>
      <c r="K11" s="42">
        <f t="shared" si="0"/>
        <v>388</v>
      </c>
      <c r="L11" s="52">
        <f t="shared" si="1"/>
        <v>116</v>
      </c>
      <c r="M11" s="53">
        <f>IF(L11="","",[1]!s_pq_pctchange(C11,F11,G11-1))</f>
        <v>19.704749679075718</v>
      </c>
      <c r="N11" s="54">
        <f>IF(L11="","",M11-[1]!s_pq_pctchange($A$3,G11,H11-1))</f>
        <v>19.566649770090105</v>
      </c>
      <c r="O11" s="52">
        <f t="shared" si="2"/>
        <v>2</v>
      </c>
      <c r="P11" s="53">
        <f>IF(O11="","",[1]!s_pq_pctchange(C11,G11,H11-1))</f>
        <v>1.6621983914209215</v>
      </c>
      <c r="Q11" s="54">
        <f>IF(O11="","",P11-[1]!s_pq_pctchange($A$3,G11,H11-1))</f>
        <v>1.5240984824353099</v>
      </c>
      <c r="R11" s="53">
        <f>IF(G11=0,"",[1]!s_pq_pctchange(C11,G11-3,G11-1))</f>
        <v>5.1889452904681388</v>
      </c>
      <c r="S11" s="53">
        <f>IF(G11=0,"",R11-[1]!s_pq_pctchange($A$3,G11-3,G11-1))</f>
        <v>5.4944042215851363</v>
      </c>
      <c r="T11" s="52" t="str">
        <f t="shared" si="3"/>
        <v/>
      </c>
      <c r="U11" s="53" t="str">
        <f>IF(T11="","",[1]!s_pq_pctchange(C11,H11,I11-1))</f>
        <v/>
      </c>
      <c r="V11" s="53" t="str">
        <f>IF(T11="","",U11-[1]!s_pq_pctchange($A$3,H11,I11-1))</f>
        <v/>
      </c>
      <c r="W11" s="53" t="str">
        <f>IF(I11=0,"",[1]!s_pq_pctchange(C11,I11,I11+7))</f>
        <v/>
      </c>
      <c r="X11" s="53" t="str">
        <f>IF(I11=0,"",W11-[1]!s_pq_pctchange(A$3,I11,I11+7))</f>
        <v/>
      </c>
      <c r="Y11" s="53" t="str">
        <f>IF(I11=0,"",[1]!s_pq_pctchange(C11,I11,I11+28))</f>
        <v/>
      </c>
      <c r="Z11" s="53" t="str">
        <f>IF(I11=0,"",W11-[1]!s_pq_pctchange($A$3,I11,I11+28))</f>
        <v/>
      </c>
      <c r="AA11" s="53" t="str">
        <f>IF(I11=0,"",[1]!b_pq_pctchange(A11,I11,I11+6,4))</f>
        <v/>
      </c>
      <c r="AB11" s="53" t="str">
        <f>IF(I11=0,"",[1]!b_pq_pctchange(A11,I11,I11+27,4))</f>
        <v/>
      </c>
    </row>
    <row r="12" spans="1:28" ht="13.5" x14ac:dyDescent="0.15">
      <c r="A12" s="14" t="s">
        <v>90</v>
      </c>
      <c r="B12" s="35" t="str">
        <f>[1]!cb_info_name(A12)</f>
        <v>电气转债</v>
      </c>
      <c r="C12" s="42" t="str">
        <f>[1]!cb_info_underlyingcode(A12)</f>
        <v>601727.SH</v>
      </c>
      <c r="D12" s="42" t="str">
        <f>[1]!cb_info_underlyingname(A12)</f>
        <v>上海电气</v>
      </c>
      <c r="E12" s="42" t="str">
        <f>[1]!s_refrmkd_preplandate(A12)</f>
        <v>2014-06-06</v>
      </c>
      <c r="F12" s="42" t="str">
        <f>[1]!cb_list_permitdate(A12)</f>
        <v>2014-12-24</v>
      </c>
      <c r="G12" s="42" t="str">
        <f>[1]!cb_list_announcedate(A12)</f>
        <v>2015-01-29</v>
      </c>
      <c r="H12" s="42" t="str">
        <f>[1]!cb_list_dtonl(A12)</f>
        <v>2015-02-02</v>
      </c>
      <c r="I12" s="42" t="str">
        <f>[1]!cb_info_listeddate(A12)</f>
        <v>2015-02-16</v>
      </c>
      <c r="J12" s="42" t="str">
        <f>[1]!cb_info_maturitydate(A12)</f>
        <v>2021-02-02</v>
      </c>
      <c r="K12" s="42">
        <f t="shared" si="0"/>
        <v>241</v>
      </c>
      <c r="L12" s="52">
        <f t="shared" si="1"/>
        <v>36</v>
      </c>
      <c r="M12" s="53">
        <f>IF(L12="","",[1]!s_pq_pctchange(C12,F12,G12-1))</f>
        <v>45.355191256830587</v>
      </c>
      <c r="N12" s="54">
        <f>IF(L12="","",M12-[1]!s_pq_pctchange($A$3,G12,H12-1))</f>
        <v>47.934614475639194</v>
      </c>
      <c r="O12" s="52">
        <f t="shared" si="2"/>
        <v>4</v>
      </c>
      <c r="P12" s="53">
        <f>IF(O12="","",[1]!s_pq_pctchange(C12,G12,H12-1))</f>
        <v>2.7255639097744311</v>
      </c>
      <c r="Q12" s="54">
        <f>IF(O12="","",P12-[1]!s_pq_pctchange($A$3,G12,H12-1))</f>
        <v>5.3049871285830381</v>
      </c>
      <c r="R12" s="53">
        <f>IF(G12=0,"",[1]!s_pq_pctchange(C12,G12-3,G12-1))</f>
        <v>3.5019455252918386</v>
      </c>
      <c r="S12" s="53">
        <f>IF(G12=0,"",R12-[1]!s_pq_pctchange($A$3,G12-3,G12-1))</f>
        <v>4.8012871332288265</v>
      </c>
      <c r="T12" s="52">
        <f t="shared" si="3"/>
        <v>14</v>
      </c>
      <c r="U12" s="53">
        <f>IF(T12="","",[1]!s_pq_pctchange(C12,H12,I12-1))</f>
        <v>-10.430009149130836</v>
      </c>
      <c r="V12" s="53">
        <f>IF(T12="","",U12-[1]!s_pq_pctchange($A$3,H12,I12-1))</f>
        <v>-11.461866334831949</v>
      </c>
      <c r="W12" s="53">
        <f>IF(I12=0,"",[1]!s_pq_pctchange(C12,I12,I12+7))</f>
        <v>-0.91930541368744345</v>
      </c>
      <c r="X12" s="53">
        <f>IF(I12=0,"",W12-[1]!s_pq_pctchange(A$3,I12,I12+7))</f>
        <v>-2.432175792276825</v>
      </c>
      <c r="Y12" s="53">
        <f>IF(I12=0,"",[1]!s_pq_pctchange(C12,I12,I12+28))</f>
        <v>9.6016343207354637</v>
      </c>
      <c r="Z12" s="53">
        <f>IF(I12=0,"",W12-[1]!s_pq_pctchange($A$3,I12,I12+28))</f>
        <v>-7.716270565850591</v>
      </c>
      <c r="AA12" s="53">
        <f>IF(I12=0,"",[1]!b_pq_pctchange(A12,I12,I12+6,4))</f>
        <v>2.1228715025129281</v>
      </c>
      <c r="AB12" s="53">
        <f>IF(I12=0,"",[1]!b_pq_pctchange(A12,I12,I12+27,4))</f>
        <v>1.702797989648196</v>
      </c>
    </row>
    <row r="13" spans="1:28" ht="13.5" x14ac:dyDescent="0.15">
      <c r="A13" s="14" t="s">
        <v>91</v>
      </c>
      <c r="B13" s="35" t="str">
        <f>[1]!cb_info_name(A13)</f>
        <v>广汽转债</v>
      </c>
      <c r="C13" s="42" t="str">
        <f>[1]!cb_info_underlyingcode(A13)</f>
        <v>601238.SH</v>
      </c>
      <c r="D13" s="42" t="str">
        <f>[1]!cb_info_underlyingname(A13)</f>
        <v>广汽集团</v>
      </c>
      <c r="E13" s="42" t="str">
        <f>[1]!s_refrmkd_preplandate(A13)</f>
        <v>2015-08-01</v>
      </c>
      <c r="F13" s="42" t="str">
        <f>[1]!cb_list_permitdate(A13)</f>
        <v>2015-12-11</v>
      </c>
      <c r="G13" s="42" t="str">
        <f>[1]!cb_list_announcedate(A13)</f>
        <v>2016-01-20</v>
      </c>
      <c r="H13" s="42" t="str">
        <f>[1]!cb_list_dtonl(A13)</f>
        <v>2016-01-22</v>
      </c>
      <c r="I13" s="42" t="str">
        <f>[1]!cb_info_listeddate(A13)</f>
        <v>2016-02-04</v>
      </c>
      <c r="J13" s="42" t="str">
        <f>[1]!cb_info_maturitydate(A13)</f>
        <v>2022-01-22</v>
      </c>
      <c r="K13" s="42">
        <f t="shared" si="0"/>
        <v>174</v>
      </c>
      <c r="L13" s="52">
        <f t="shared" si="1"/>
        <v>40</v>
      </c>
      <c r="M13" s="53">
        <f>IF(L13="","",[1]!s_pq_pctchange(C13,F13,G13-1))</f>
        <v>-4.0240518038853086</v>
      </c>
      <c r="N13" s="54">
        <f>IF(L13="","",M13-[1]!s_pq_pctchange($A$3,G13,H13-1))</f>
        <v>0.37477528476849198</v>
      </c>
      <c r="O13" s="52">
        <f t="shared" si="2"/>
        <v>2</v>
      </c>
      <c r="P13" s="53">
        <f>IF(O13="","",[1]!s_pq_pctchange(C13,G13,H13-1))</f>
        <v>-1.3975903614457774</v>
      </c>
      <c r="Q13" s="54">
        <f>IF(O13="","",P13-[1]!s_pq_pctchange($A$3,G13,H13-1))</f>
        <v>3.0012367272080231</v>
      </c>
      <c r="R13" s="53">
        <f>IF(G13=0,"",[1]!s_pq_pctchange(C13,G13-3,G13-1))</f>
        <v>8.4117032392894373</v>
      </c>
      <c r="S13" s="53">
        <f>IF(G13=0,"",R13-[1]!s_pq_pctchange($A$3,G13-3,G13-1))</f>
        <v>5.0643472112702046</v>
      </c>
      <c r="T13" s="52">
        <f t="shared" si="3"/>
        <v>13</v>
      </c>
      <c r="U13" s="53">
        <f>IF(T13="","",[1]!s_pq_pctchange(C13,H13,I13-1))</f>
        <v>-1.2218963831867047</v>
      </c>
      <c r="V13" s="53">
        <f>IF(T13="","",U13-[1]!s_pq_pctchange($A$3,H13,I13-1))</f>
        <v>3.0848846742046465</v>
      </c>
      <c r="W13" s="53">
        <f>IF(I13=0,"",[1]!s_pq_pctchange(C13,I13,I13+7))</f>
        <v>0.643245917862445</v>
      </c>
      <c r="X13" s="53">
        <f>IF(I13=0,"",W13-[1]!s_pq_pctchange(A$3,I13,I13+7))</f>
        <v>0.12942235196324869</v>
      </c>
      <c r="Y13" s="53">
        <f>IF(I13=0,"",[1]!s_pq_pctchange(C13,I13,I13+28))</f>
        <v>-4.6511627906976827</v>
      </c>
      <c r="Z13" s="53">
        <f>IF(I13=0,"",W13-[1]!s_pq_pctchange($A$3,I13,I13+28))</f>
        <v>-3.0799400975414004</v>
      </c>
      <c r="AA13" s="53">
        <f>IF(I13=0,"",[1]!b_pq_pctchange(A13,I13,I13+6,4))</f>
        <v>1.5598507968803015</v>
      </c>
      <c r="AB13" s="53">
        <f>IF(I13=0,"",[1]!b_pq_pctchange(A13,I13,I13+27,4))</f>
        <v>1.1529331976941333</v>
      </c>
    </row>
    <row r="14" spans="1:28" ht="13.5" x14ac:dyDescent="0.15">
      <c r="A14" s="14" t="s">
        <v>92</v>
      </c>
      <c r="B14" s="35" t="str">
        <f>[1]!cb_info_name(A14)</f>
        <v>江南转债</v>
      </c>
      <c r="C14" s="42" t="str">
        <f>[1]!cb_info_underlyingcode(A14)</f>
        <v>601199.SH</v>
      </c>
      <c r="D14" s="42" t="str">
        <f>[1]!cb_info_underlyingname(A14)</f>
        <v>江南水务</v>
      </c>
      <c r="E14" s="42" t="str">
        <f>[1]!s_refrmkd_preplandate(A14)</f>
        <v>2014-12-30</v>
      </c>
      <c r="F14" s="42" t="str">
        <f>[1]!cb_list_permitdate(A14)</f>
        <v>2015-12-25</v>
      </c>
      <c r="G14" s="42" t="str">
        <f>[1]!cb_list_announcedate(A14)</f>
        <v>2016-03-16</v>
      </c>
      <c r="H14" s="42" t="str">
        <f>[1]!cb_list_dtonl(A14)</f>
        <v>2016-03-18</v>
      </c>
      <c r="I14" s="42" t="str">
        <f>[1]!cb_info_listeddate(A14)</f>
        <v>2016-04-05</v>
      </c>
      <c r="J14" s="42" t="str">
        <f>[1]!cb_info_maturitydate(A14)</f>
        <v>2022-03-18</v>
      </c>
      <c r="K14" s="42">
        <f t="shared" si="0"/>
        <v>444</v>
      </c>
      <c r="L14" s="52">
        <f t="shared" si="1"/>
        <v>82</v>
      </c>
      <c r="M14" s="53">
        <f>IF(L14="","",[1]!s_pq_pctchange(C14,F14,G14-1))</f>
        <v>-5.6167979002624602</v>
      </c>
      <c r="N14" s="54">
        <f>IF(L14="","",M14-[1]!s_pq_pctchange($A$3,G14,H14-1))</f>
        <v>-7.2242074199561745</v>
      </c>
      <c r="O14" s="52">
        <f t="shared" si="2"/>
        <v>2</v>
      </c>
      <c r="P14" s="53">
        <f>IF(O14="","",[1]!s_pq_pctchange(C14,G14,H14-1))</f>
        <v>-0.27808676307009561</v>
      </c>
      <c r="Q14" s="54">
        <f>IF(O14="","",P14-[1]!s_pq_pctchange($A$3,G14,H14-1))</f>
        <v>-1.88549628276381</v>
      </c>
      <c r="R14" s="53">
        <f>IF(G14=0,"",[1]!s_pq_pctchange(C14,G14-3,G14-1))</f>
        <v>10.714285714285744</v>
      </c>
      <c r="S14" s="53">
        <f>IF(G14=0,"",R14-[1]!s_pq_pctchange($A$3,G14-3,G14-1))</f>
        <v>8.8425204160918369</v>
      </c>
      <c r="T14" s="52">
        <f t="shared" si="3"/>
        <v>18</v>
      </c>
      <c r="U14" s="53">
        <f>IF(T14="","",[1]!s_pq_pctchange(C14,H14,I14-1))</f>
        <v>-1.5616285554935883</v>
      </c>
      <c r="V14" s="53">
        <f>IF(T14="","",U14-[1]!s_pq_pctchange($A$3,H14,I14-1))</f>
        <v>-4.6885339408943345</v>
      </c>
      <c r="W14" s="53">
        <f>IF(I14=0,"",[1]!s_pq_pctchange(C14,I14,I14+7))</f>
        <v>4.0226628895184025</v>
      </c>
      <c r="X14" s="53">
        <f>IF(I14=0,"",W14-[1]!s_pq_pctchange(A$3,I14,I14+7))</f>
        <v>4.1295906514056018</v>
      </c>
      <c r="Y14" s="53">
        <f>IF(I14=0,"",[1]!s_pq_pctchange(C14,I14,I14+28))</f>
        <v>6.6288951841360078</v>
      </c>
      <c r="Z14" s="53">
        <f>IF(I14=0,"",W14-[1]!s_pq_pctchange($A$3,I14,I14+28))</f>
        <v>4.2819854471636827</v>
      </c>
      <c r="AA14" s="53">
        <f>IF(I14=0,"",[1]!b_pq_pctchange(A14,I14,I14+6,4))</f>
        <v>-0.13934045517882554</v>
      </c>
      <c r="AB14" s="53">
        <f>IF(I14=0,"",[1]!b_pq_pctchange(A14,I14,I14+27,4))</f>
        <v>-3.0964545595293389</v>
      </c>
    </row>
    <row r="15" spans="1:28" ht="13.5" x14ac:dyDescent="0.15">
      <c r="A15" s="14" t="s">
        <v>93</v>
      </c>
      <c r="B15" s="35" t="str">
        <f>[1]!cb_info_name(A15)</f>
        <v>光大转债</v>
      </c>
      <c r="C15" s="42" t="str">
        <f>[1]!cb_info_underlyingcode(A15)</f>
        <v>601818.SH</v>
      </c>
      <c r="D15" s="42" t="str">
        <f>[1]!cb_info_underlyingname(A15)</f>
        <v>光大银行</v>
      </c>
      <c r="E15" s="42" t="str">
        <f>[1]!s_refrmkd_preplandate(A15)</f>
        <v>2016-06-07</v>
      </c>
      <c r="F15" s="42" t="str">
        <f>[1]!cb_list_permitdate(A15)</f>
        <v>2017-01-18</v>
      </c>
      <c r="G15" s="42" t="str">
        <f>[1]!cb_list_announcedate(A15)</f>
        <v>2017-03-15</v>
      </c>
      <c r="H15" s="42" t="str">
        <f>[1]!cb_list_dtonl(A15)</f>
        <v>2017-03-17</v>
      </c>
      <c r="I15" s="42" t="str">
        <f>[1]!cb_info_listeddate(A15)</f>
        <v>2017-04-05</v>
      </c>
      <c r="J15" s="42" t="str">
        <f>[1]!cb_info_maturitydate(A15)</f>
        <v>2023-03-17</v>
      </c>
      <c r="K15" s="42">
        <f t="shared" si="0"/>
        <v>283</v>
      </c>
      <c r="L15" s="52">
        <f t="shared" si="1"/>
        <v>56</v>
      </c>
      <c r="M15" s="53">
        <f>IF(L15="","",[1]!s_pq_pctchange(C15,F15,G15-1))</f>
        <v>6.8181818181818343</v>
      </c>
      <c r="N15" s="54">
        <f>IF(L15="","",M15-[1]!s_pq_pctchange($A$3,G15,H15-1))</f>
        <v>6.1003513041998803</v>
      </c>
      <c r="O15" s="52">
        <f t="shared" si="2"/>
        <v>2</v>
      </c>
      <c r="P15" s="53">
        <f>IF(O15="","",[1]!s_pq_pctchange(C15,G15,H15-1))</f>
        <v>0.47281323877068626</v>
      </c>
      <c r="Q15" s="54">
        <f>IF(O15="","",P15-[1]!s_pq_pctchange($A$3,G15,H15-1))</f>
        <v>-0.24501727521126782</v>
      </c>
      <c r="R15" s="53">
        <f>IF(G15=0,"",[1]!s_pq_pctchange(C15,G15-3,G15-1))</f>
        <v>2.1739130434782705</v>
      </c>
      <c r="S15" s="53">
        <f>IF(G15=0,"",R15-[1]!s_pq_pctchange($A$3,G15-3,G15-1))</f>
        <v>1.3336939420341087</v>
      </c>
      <c r="T15" s="52">
        <f t="shared" si="3"/>
        <v>19</v>
      </c>
      <c r="U15" s="53">
        <f>IF(T15="","",[1]!s_pq_pctchange(C15,H15,I15-1))</f>
        <v>-3.294117647058814</v>
      </c>
      <c r="V15" s="53">
        <f>IF(T15="","",U15-[1]!s_pq_pctchange($A$3,H15,I15-1))</f>
        <v>-2.5627934553999476</v>
      </c>
      <c r="W15" s="53">
        <f>IF(I15=0,"",[1]!s_pq_pctchange(C15,I15,I15+7))</f>
        <v>-1.9464720194647289</v>
      </c>
      <c r="X15" s="53">
        <f>IF(I15=0,"",W15-[1]!s_pq_pctchange(A$3,I15,I15+7))</f>
        <v>-3.4913938094122243</v>
      </c>
      <c r="Y15" s="53">
        <f>IF(I15=0,"",[1]!s_pq_pctchange(C15,I15,I15+28))</f>
        <v>-5.8394160583941757</v>
      </c>
      <c r="Z15" s="53">
        <f>IF(I15=0,"",W15-[1]!s_pq_pctchange($A$3,I15,I15+28))</f>
        <v>-0.70466834529434585</v>
      </c>
      <c r="AA15" s="53">
        <f>IF(I15=0,"",[1]!b_pq_pctchange(A15,I15,I15+6,4))</f>
        <v>0.28155339805825852</v>
      </c>
      <c r="AB15" s="53">
        <f>IF(I15=0,"",[1]!b_pq_pctchange(A15,I15,I15+27,4))</f>
        <v>-1.9417475728155338</v>
      </c>
    </row>
    <row r="16" spans="1:28" ht="13.5" x14ac:dyDescent="0.15">
      <c r="A16" s="14" t="s">
        <v>94</v>
      </c>
      <c r="B16" s="35" t="str">
        <f>[1]!cb_info_name(A16)</f>
        <v>骆驼转债</v>
      </c>
      <c r="C16" s="42" t="str">
        <f>[1]!cb_info_underlyingcode(A16)</f>
        <v>601311.SH</v>
      </c>
      <c r="D16" s="42" t="str">
        <f>[1]!cb_info_underlyingname(A16)</f>
        <v>骆驼股份</v>
      </c>
      <c r="E16" s="42" t="str">
        <f>[1]!s_refrmkd_preplandate(A16)</f>
        <v>2016-05-07</v>
      </c>
      <c r="F16" s="42" t="str">
        <f>[1]!cb_list_permitdate(A16)</f>
        <v>2016-12-07</v>
      </c>
      <c r="G16" s="42" t="str">
        <f>[1]!cb_list_announcedate(A16)</f>
        <v>2017-03-22</v>
      </c>
      <c r="H16" s="42" t="str">
        <f>[1]!cb_list_dtonl(A16)</f>
        <v>2017-03-24</v>
      </c>
      <c r="I16" s="42" t="str">
        <f>[1]!cb_info_listeddate(A16)</f>
        <v>2017-04-13</v>
      </c>
      <c r="J16" s="42" t="str">
        <f>[1]!cb_info_maturitydate(A16)</f>
        <v>2023-03-24</v>
      </c>
      <c r="K16" s="42">
        <f t="shared" si="0"/>
        <v>321</v>
      </c>
      <c r="L16" s="52">
        <f t="shared" si="1"/>
        <v>105</v>
      </c>
      <c r="M16" s="53">
        <f>IF(L16="","",[1]!s_pq_pctchange(C16,F16,G16-1))</f>
        <v>-7.2102052135330048</v>
      </c>
      <c r="N16" s="54">
        <f>IF(L16="","",M16-[1]!s_pq_pctchange($A$3,G16,H16-1))</f>
        <v>-7.0841762772476997</v>
      </c>
      <c r="O16" s="52">
        <f t="shared" si="2"/>
        <v>2</v>
      </c>
      <c r="P16" s="53">
        <f>IF(O16="","",[1]!s_pq_pctchange(C16,G16,H16-1))</f>
        <v>-0.59772863120144404</v>
      </c>
      <c r="Q16" s="54">
        <f>IF(O16="","",P16-[1]!s_pq_pctchange($A$3,G16,H16-1))</f>
        <v>-0.47169969491613895</v>
      </c>
      <c r="R16" s="53">
        <f>IF(G16=0,"",[1]!s_pq_pctchange(C16,G16-3,G16-1))</f>
        <v>0.23966446974235112</v>
      </c>
      <c r="S16" s="53">
        <f>IF(G16=0,"",R16-[1]!s_pq_pctchange($A$3,G16-3,G16-1))</f>
        <v>-0.35647197453883006</v>
      </c>
      <c r="T16" s="52">
        <f t="shared" si="3"/>
        <v>20</v>
      </c>
      <c r="U16" s="53">
        <f>IF(T16="","",[1]!s_pq_pctchange(C16,H16,I16-1))</f>
        <v>-2.8262176788935611</v>
      </c>
      <c r="V16" s="53">
        <f>IF(T16="","",U16-[1]!s_pq_pctchange($A$3,H16,I16-1))</f>
        <v>-4.1971246360777652</v>
      </c>
      <c r="W16" s="53">
        <f>IF(I16=0,"",[1]!s_pq_pctchange(C16,I16,I16+7))</f>
        <v>-1.547029702970304</v>
      </c>
      <c r="X16" s="53">
        <f>IF(I16=0,"",W16-[1]!s_pq_pctchange(A$3,I16,I16+7))</f>
        <v>-0.18240692155514493</v>
      </c>
      <c r="Y16" s="53">
        <f>IF(I16=0,"",[1]!s_pq_pctchange(C16,I16,I16+28))</f>
        <v>-12.06683168316831</v>
      </c>
      <c r="Z16" s="53">
        <f>IF(I16=0,"",W16-[1]!s_pq_pctchange($A$3,I16,I16+28))</f>
        <v>2.8067377527769666</v>
      </c>
      <c r="AA16" s="53">
        <f>IF(I16=0,"",[1]!b_pq_pctchange(A16,I16,I16+6,4))</f>
        <v>-3.6623773958427011</v>
      </c>
      <c r="AB16" s="53">
        <f>IF(I16=0,"",[1]!b_pq_pctchange(A16,I16,I16+27,4))</f>
        <v>-4.8861693512102882</v>
      </c>
    </row>
    <row r="17" spans="1:28" ht="13.5" x14ac:dyDescent="0.15">
      <c r="A17" s="14" t="s">
        <v>95</v>
      </c>
      <c r="B17" s="35" t="str">
        <f>[1]!cb_info_name(A17)</f>
        <v>国君转债</v>
      </c>
      <c r="C17" s="42" t="str">
        <f>[1]!cb_info_underlyingcode(A17)</f>
        <v>601211.SH</v>
      </c>
      <c r="D17" s="42" t="str">
        <f>[1]!cb_info_underlyingname(A17)</f>
        <v>国泰君安</v>
      </c>
      <c r="E17" s="42" t="str">
        <f>[1]!s_refrmkd_preplandate(A17)</f>
        <v>2017-02-21</v>
      </c>
      <c r="F17" s="42" t="str">
        <f>[1]!cb_list_permitdate(A17)</f>
        <v>2016-12-21</v>
      </c>
      <c r="G17" s="42" t="str">
        <f>[1]!cb_list_announcedate(A17)</f>
        <v>2017-07-05</v>
      </c>
      <c r="H17" s="42" t="str">
        <f>[1]!cb_list_dtonl(A17)</f>
        <v>2017-07-07</v>
      </c>
      <c r="I17" s="42" t="str">
        <f>[1]!cb_info_listeddate(A17)</f>
        <v>2017-07-24</v>
      </c>
      <c r="J17" s="42" t="str">
        <f>[1]!cb_info_maturitydate(A17)</f>
        <v>2023-07-07</v>
      </c>
      <c r="K17" s="42">
        <f t="shared" si="0"/>
        <v>136</v>
      </c>
      <c r="L17" s="52">
        <f t="shared" si="1"/>
        <v>196</v>
      </c>
      <c r="M17" s="53">
        <f>IF(L17="","",[1]!s_pq_pctchange(C17,F17,G17-1))</f>
        <v>10.345464585139652</v>
      </c>
      <c r="N17" s="54">
        <f>IF(L17="","",M17-[1]!s_pq_pctchange($A$3,G17,H17-1))</f>
        <v>9.2373768451962768</v>
      </c>
      <c r="O17" s="52">
        <f t="shared" si="2"/>
        <v>2</v>
      </c>
      <c r="P17" s="53">
        <f>IF(O17="","",[1]!s_pq_pctchange(C17,G17,H17-1))</f>
        <v>-0.78934385791811223</v>
      </c>
      <c r="Q17" s="54">
        <f>IF(O17="","",P17-[1]!s_pq_pctchange($A$3,G17,H17-1))</f>
        <v>-1.8974315978614875</v>
      </c>
      <c r="R17" s="53">
        <f>IF(G17=0,"",[1]!s_pq_pctchange(C17,G17-3,G17-1))</f>
        <v>-1.1701608971233513</v>
      </c>
      <c r="S17" s="53">
        <f>IF(G17=0,"",R17-[1]!s_pq_pctchange($A$3,G17-3,G17-1))</f>
        <v>0.10652802411165174</v>
      </c>
      <c r="T17" s="52">
        <f t="shared" si="3"/>
        <v>17</v>
      </c>
      <c r="U17" s="53">
        <f>IF(T17="","",[1]!s_pq_pctchange(C17,H17,I17-1))</f>
        <v>5.4699154649428205</v>
      </c>
      <c r="V17" s="53">
        <f>IF(T17="","",U17-[1]!s_pq_pctchange($A$3,H17,I17-1))</f>
        <v>3.5983556233681435</v>
      </c>
      <c r="W17" s="53">
        <f>IF(I17=0,"",[1]!s_pq_pctchange(C17,I17,I17+7))</f>
        <v>-1.5087223008015016</v>
      </c>
      <c r="X17" s="53">
        <f>IF(I17=0,"",W17-[1]!s_pq_pctchange(A$3,I17,I17+7))</f>
        <v>-1.7574914358779115</v>
      </c>
      <c r="Y17" s="53">
        <f>IF(I17=0,"",[1]!s_pq_pctchange(C17,I17,I17+28))</f>
        <v>-6.2706270627062803</v>
      </c>
      <c r="Z17" s="53">
        <f>IF(I17=0,"",W17-[1]!s_pq_pctchange($A$3,I17,I17+28))</f>
        <v>-1.8411931472130272</v>
      </c>
      <c r="AA17" s="53">
        <f>IF(I17=0,"",[1]!b_pq_pctchange(A17,I17,I17+6,4))</f>
        <v>-0.51662361469877882</v>
      </c>
      <c r="AB17" s="53">
        <f>IF(I17=0,"",[1]!b_pq_pctchange(A17,I17,I17+27,4))</f>
        <v>1.6331972335638645</v>
      </c>
    </row>
    <row r="18" spans="1:28" ht="13.5" x14ac:dyDescent="0.15">
      <c r="A18" s="14" t="s">
        <v>96</v>
      </c>
      <c r="B18" s="35" t="str">
        <f>[1]!cb_info_name(A18)</f>
        <v>林洋转债</v>
      </c>
      <c r="C18" s="42" t="str">
        <f>[1]!cb_info_underlyingcode(A18)</f>
        <v>601222.SH</v>
      </c>
      <c r="D18" s="42" t="str">
        <f>[1]!cb_info_underlyingname(A18)</f>
        <v>林洋能源</v>
      </c>
      <c r="E18" s="42" t="str">
        <f>[1]!s_refrmkd_preplandate(A18)</f>
        <v>2016-11-22</v>
      </c>
      <c r="F18" s="42" t="str">
        <f>[1]!cb_list_permitdate(A18)</f>
        <v>2017-06-06</v>
      </c>
      <c r="G18" s="42" t="str">
        <f>[1]!cb_list_announcedate(A18)</f>
        <v>2017-10-25</v>
      </c>
      <c r="H18" s="42" t="str">
        <f>[1]!cb_list_dtonl(A18)</f>
        <v>2017-10-27</v>
      </c>
      <c r="I18" s="42" t="str">
        <f>[1]!cb_info_listeddate(A18)</f>
        <v>2017-11-13</v>
      </c>
      <c r="J18" s="42" t="str">
        <f>[1]!cb_info_maturitydate(A18)</f>
        <v>2023-10-27</v>
      </c>
      <c r="K18" s="42">
        <f t="shared" si="0"/>
        <v>339</v>
      </c>
      <c r="L18" s="52">
        <f t="shared" si="1"/>
        <v>141</v>
      </c>
      <c r="M18" s="53">
        <f>IF(L18="","",[1]!s_pq_pctchange(C18,F18,G18-1))</f>
        <v>18.218738980710803</v>
      </c>
      <c r="N18" s="54">
        <f>IF(L18="","",M18-[1]!s_pq_pctchange($A$3,G18,H18-1))</f>
        <v>17.35547837119298</v>
      </c>
      <c r="O18" s="52">
        <f t="shared" si="2"/>
        <v>2</v>
      </c>
      <c r="P18" s="53">
        <f>IF(O18="","",[1]!s_pq_pctchange(C18,G18,H18-1))</f>
        <v>5.8620689655172642</v>
      </c>
      <c r="Q18" s="54">
        <f>IF(O18="","",P18-[1]!s_pq_pctchange($A$3,G18,H18-1))</f>
        <v>4.9988083559994401</v>
      </c>
      <c r="R18" s="53">
        <f>IF(G18=0,"",[1]!s_pq_pctchange(C18,G18-3,G18-1))</f>
        <v>3.8186157517899666</v>
      </c>
      <c r="S18" s="53">
        <f>IF(G18=0,"",R18-[1]!s_pq_pctchange($A$3,G18-3,G18-1))</f>
        <v>2.9898781268425489</v>
      </c>
      <c r="T18" s="52">
        <f t="shared" si="3"/>
        <v>17</v>
      </c>
      <c r="U18" s="53">
        <f>IF(T18="","",[1]!s_pq_pctchange(C18,H18,I18-1))</f>
        <v>9.1205211726384192</v>
      </c>
      <c r="V18" s="53">
        <f>IF(T18="","",U18-[1]!s_pq_pctchange($A$3,H18,I18-1))</f>
        <v>6.1573617459673278</v>
      </c>
      <c r="W18" s="53">
        <f>IF(I18=0,"",[1]!s_pq_pctchange(C18,I18,I18+7))</f>
        <v>2.5870646766169125</v>
      </c>
      <c r="X18" s="53">
        <f>IF(I18=0,"",W18-[1]!s_pq_pctchange(A$3,I18,I18+7))</f>
        <v>2.754845537254158</v>
      </c>
      <c r="Y18" s="53">
        <f>IF(I18=0,"",[1]!s_pq_pctchange(C18,I18,I18+28))</f>
        <v>2.5870646766169125</v>
      </c>
      <c r="Z18" s="53">
        <f>IF(I18=0,"",W18-[1]!s_pq_pctchange($A$3,I18,I18+28))</f>
        <v>2.754845537254158</v>
      </c>
      <c r="AA18" s="53">
        <f>IF(I18=0,"",[1]!b_pq_pctchange(A18,I18,I18+6,4))</f>
        <v>3.2268768145997515</v>
      </c>
      <c r="AB18" s="53">
        <f>IF(I18=0,"",[1]!b_pq_pctchange(A18,I18,I18+27,4))</f>
        <v>3.2268768145997515</v>
      </c>
    </row>
    <row r="19" spans="1:28" ht="13.5" x14ac:dyDescent="0.15">
      <c r="A19" s="14" t="s">
        <v>97</v>
      </c>
      <c r="B19" s="35" t="str">
        <f>[1]!cb_info_name(A19)</f>
        <v>隆基转债</v>
      </c>
      <c r="C19" s="42" t="str">
        <f>[1]!cb_info_underlyingcode(A19)</f>
        <v>601012.SH</v>
      </c>
      <c r="D19" s="42" t="str">
        <f>[1]!cb_info_underlyingname(A19)</f>
        <v>隆基股份</v>
      </c>
      <c r="E19" s="42" t="str">
        <f>[1]!s_refrmkd_preplandate(A19)</f>
        <v>2017-01-24</v>
      </c>
      <c r="F19" s="42" t="str">
        <f>[1]!cb_list_permitdate(A19)</f>
        <v>2017-07-11</v>
      </c>
      <c r="G19" s="42" t="str">
        <f>[1]!cb_list_announcedate(A19)</f>
        <v>2017-10-31</v>
      </c>
      <c r="H19" s="42" t="str">
        <f>[1]!cb_list_dtonl(A19)</f>
        <v>2017-11-02</v>
      </c>
      <c r="I19" s="42" t="str">
        <f>[1]!cb_info_listeddate(A19)</f>
        <v>2017-11-20</v>
      </c>
      <c r="J19" s="42" t="str">
        <f>[1]!cb_info_maturitydate(A19)</f>
        <v>2023-11-02</v>
      </c>
      <c r="K19" s="42">
        <f t="shared" si="0"/>
        <v>282</v>
      </c>
      <c r="L19" s="52">
        <f t="shared" si="1"/>
        <v>112</v>
      </c>
      <c r="M19" s="53">
        <f>IF(L19="","",[1]!s_pq_pctchange(C19,F19,G19-1))</f>
        <v>81.645215444879682</v>
      </c>
      <c r="N19" s="54">
        <f>IF(L19="","",M19-[1]!s_pq_pctchange($A$3,G19,H19-1))</f>
        <v>81.971913920569435</v>
      </c>
      <c r="O19" s="52">
        <f t="shared" si="2"/>
        <v>2</v>
      </c>
      <c r="P19" s="53">
        <f>IF(O19="","",[1]!s_pq_pctchange(C19,G19,H19-1))</f>
        <v>-9.242144177448175E-2</v>
      </c>
      <c r="Q19" s="54">
        <f>IF(O19="","",P19-[1]!s_pq_pctchange($A$3,G19,H19-1))</f>
        <v>0.23427703391527555</v>
      </c>
      <c r="R19" s="53">
        <f>IF(G19=0,"",[1]!s_pq_pctchange(C19,G19-3,G19-1))</f>
        <v>1.4692091278524666</v>
      </c>
      <c r="S19" s="53">
        <f>IF(G19=0,"",R19-[1]!s_pq_pctchange($A$3,G19-3,G19-1))</f>
        <v>1.7736819933225956</v>
      </c>
      <c r="T19" s="52">
        <f t="shared" si="3"/>
        <v>18</v>
      </c>
      <c r="U19" s="53">
        <f>IF(T19="","",[1]!s_pq_pctchange(C19,H19,I19-1))</f>
        <v>23.435090965155723</v>
      </c>
      <c r="V19" s="53">
        <f>IF(T19="","",U19-[1]!s_pq_pctchange($A$3,H19,I19-1))</f>
        <v>20.723048212852468</v>
      </c>
      <c r="W19" s="53">
        <f>IF(I19=0,"",[1]!s_pq_pctchange(C19,I19,I19+7))</f>
        <v>0</v>
      </c>
      <c r="X19" s="53">
        <f>IF(I19=0,"",W19-[1]!s_pq_pctchange(A$3,I19,I19+7))</f>
        <v>0</v>
      </c>
      <c r="Y19" s="53">
        <f>IF(I19=0,"",[1]!s_pq_pctchange(C19,I19,I19+28))</f>
        <v>0</v>
      </c>
      <c r="Z19" s="53">
        <f>IF(I19=0,"",W19-[1]!s_pq_pctchange($A$3,I19,I19+28))</f>
        <v>0</v>
      </c>
      <c r="AA19" s="53">
        <f>IF(I19=0,"",[1]!b_pq_pctchange(A19,I19,I19+6,4))</f>
        <v>0</v>
      </c>
      <c r="AB19" s="53">
        <f>IF(I19=0,"",[1]!b_pq_pctchange(A19,I19,I19+27,4))</f>
        <v>0</v>
      </c>
    </row>
    <row r="20" spans="1:28" ht="13.5" x14ac:dyDescent="0.15">
      <c r="A20" s="14" t="s">
        <v>98</v>
      </c>
      <c r="B20" s="35" t="str">
        <f>[1]!cb_info_name(A20)</f>
        <v>小康转债</v>
      </c>
      <c r="C20" s="42" t="str">
        <f>[1]!cb_info_underlyingcode(A20)</f>
        <v>601127.SH</v>
      </c>
      <c r="D20" s="42" t="str">
        <f>[1]!cb_info_underlyingname(A20)</f>
        <v>小康股份</v>
      </c>
      <c r="E20" s="42" t="str">
        <f>[1]!s_refrmkd_preplandate(A20)</f>
        <v>2017-04-06</v>
      </c>
      <c r="F20" s="42" t="str">
        <f>[1]!cb_list_permitdate(A20)</f>
        <v>2017-08-02</v>
      </c>
      <c r="G20" s="42" t="str">
        <f>[1]!cb_list_announcedate(A20)</f>
        <v>2017-11-02</v>
      </c>
      <c r="H20" s="42" t="str">
        <f>[1]!cb_list_dtonl(A20)</f>
        <v>2017-11-06</v>
      </c>
      <c r="I20" s="42" t="str">
        <f>[1]!cb_info_listeddate(A20)</f>
        <v>2017-11-21</v>
      </c>
      <c r="J20" s="42" t="str">
        <f>[1]!cb_info_maturitydate(A20)</f>
        <v>2023-11-06</v>
      </c>
      <c r="K20" s="42">
        <f t="shared" si="0"/>
        <v>214</v>
      </c>
      <c r="L20" s="52">
        <f t="shared" si="1"/>
        <v>92</v>
      </c>
      <c r="M20" s="53">
        <f>IF(L20="","",[1]!s_pq_pctchange(C20,F20,G20-1))</f>
        <v>20.578947368421051</v>
      </c>
      <c r="N20" s="54">
        <f>IF(L20="","",M20-[1]!s_pq_pctchange($A$3,G20,H20-1))</f>
        <v>20.677135285662462</v>
      </c>
      <c r="O20" s="52">
        <f t="shared" si="2"/>
        <v>4</v>
      </c>
      <c r="P20" s="53">
        <f>IF(O20="","",[1]!s_pq_pctchange(C20,G20,H20-1))</f>
        <v>1.8332605848974115</v>
      </c>
      <c r="Q20" s="54">
        <f>IF(O20="","",P20-[1]!s_pq_pctchange($A$3,G20,H20-1))</f>
        <v>1.9314485021388217</v>
      </c>
      <c r="R20" s="53">
        <f>IF(G20=0,"",[1]!s_pq_pctchange(C20,G20-3,G20-1))</f>
        <v>-1.4623655913978517</v>
      </c>
      <c r="S20" s="53">
        <f>IF(G20=0,"",R20-[1]!s_pq_pctchange($A$3,G20-3,G20-1))</f>
        <v>-0.83218895844835439</v>
      </c>
      <c r="T20" s="52">
        <f t="shared" si="3"/>
        <v>15</v>
      </c>
      <c r="U20" s="53">
        <f>IF(T20="","",[1]!s_pq_pctchange(C20,H20,I20-1))</f>
        <v>4.6720960137162759</v>
      </c>
      <c r="V20" s="53">
        <f>IF(T20="","",U20-[1]!s_pq_pctchange($A$3,H20,I20-1))</f>
        <v>1.8591033252386424</v>
      </c>
      <c r="W20" s="53">
        <f>IF(I20=0,"",[1]!s_pq_pctchange(C20,I20,I20+7))</f>
        <v>0</v>
      </c>
      <c r="X20" s="53">
        <f>IF(I20=0,"",W20-[1]!s_pq_pctchange(A$3,I20,I20+7))</f>
        <v>0</v>
      </c>
      <c r="Y20" s="53">
        <f>IF(I20=0,"",[1]!s_pq_pctchange(C20,I20,I20+28))</f>
        <v>0</v>
      </c>
      <c r="Z20" s="53">
        <f>IF(I20=0,"",W20-[1]!s_pq_pctchange($A$3,I20,I20+28))</f>
        <v>0</v>
      </c>
      <c r="AA20" s="53">
        <f>IF(I20=0,"",[1]!b_pq_pctchange(A20,I20,I20+6,4))</f>
        <v>0</v>
      </c>
      <c r="AB20" s="53">
        <f>IF(I20=0,"",[1]!b_pq_pctchange(A20,I20,I20+27,4))</f>
        <v>0</v>
      </c>
    </row>
    <row r="21" spans="1:28" ht="13.5" x14ac:dyDescent="0.15">
      <c r="A21" s="14" t="s">
        <v>99</v>
      </c>
      <c r="B21" s="35" t="str">
        <f>[1]!cb_info_name(A21)</f>
        <v>嘉澳转债</v>
      </c>
      <c r="C21" s="42" t="str">
        <f>[1]!cb_info_underlyingcode(A21)</f>
        <v>603822.SH</v>
      </c>
      <c r="D21" s="42" t="str">
        <f>[1]!cb_info_underlyingname(A21)</f>
        <v>嘉澳环保</v>
      </c>
      <c r="E21" s="42" t="str">
        <f>[1]!s_refrmkd_preplandate(A21)</f>
        <v>2017-03-16</v>
      </c>
      <c r="F21" s="42" t="str">
        <f>[1]!cb_list_permitdate(A21)</f>
        <v>2017-08-29</v>
      </c>
      <c r="G21" s="42" t="str">
        <f>[1]!cb_list_announcedate(A21)</f>
        <v>2017-11-08</v>
      </c>
      <c r="H21" s="42" t="str">
        <f>[1]!cb_list_dtonl(A21)</f>
        <v>2017-11-10</v>
      </c>
      <c r="I21" s="42">
        <f>[1]!cb_info_listeddate(A21)</f>
        <v>0</v>
      </c>
      <c r="J21" s="42" t="str">
        <f>[1]!cb_info_maturitydate(A21)</f>
        <v>2023-11-10</v>
      </c>
      <c r="K21" s="42">
        <f t="shared" si="0"/>
        <v>239</v>
      </c>
      <c r="L21" s="52">
        <f t="shared" si="1"/>
        <v>71</v>
      </c>
      <c r="M21" s="53">
        <f>IF(L21="","",[1]!s_pq_pctchange(C21,F21,G21-1))</f>
        <v>2.9777886258237851</v>
      </c>
      <c r="N21" s="54">
        <f>IF(L21="","",M21-[1]!s_pq_pctchange($A$3,G21,H21-1))</f>
        <v>2.4436992457133266</v>
      </c>
      <c r="O21" s="52">
        <f t="shared" si="2"/>
        <v>2</v>
      </c>
      <c r="P21" s="53">
        <f>IF(O21="","",[1]!s_pq_pctchange(C21,G21,H21-1))</f>
        <v>5.7359563877696251</v>
      </c>
      <c r="Q21" s="54">
        <f>IF(O21="","",P21-[1]!s_pq_pctchange($A$3,G21,H21-1))</f>
        <v>5.2018670076591667</v>
      </c>
      <c r="R21" s="53">
        <f>IF(G21=0,"",[1]!s_pq_pctchange(C21,G21-3,G21-1))</f>
        <v>-0.1656412683388564</v>
      </c>
      <c r="S21" s="53">
        <f>IF(G21=0,"",R21-[1]!s_pq_pctchange($A$3,G21-3,G21-1))</f>
        <v>-1.7071703682489781</v>
      </c>
      <c r="T21" s="52" t="str">
        <f t="shared" si="3"/>
        <v/>
      </c>
      <c r="U21" s="53" t="str">
        <f>IF(T21="","",[1]!s_pq_pctchange(C21,H21,I21-1))</f>
        <v/>
      </c>
      <c r="V21" s="53" t="str">
        <f>IF(T21="","",U21-[1]!s_pq_pctchange($A$3,H21,I21-1))</f>
        <v/>
      </c>
      <c r="W21" s="53" t="str">
        <f>IF(I21=0,"",[1]!s_pq_pctchange(C21,I21,I21+7))</f>
        <v/>
      </c>
      <c r="X21" s="53" t="str">
        <f>IF(I21=0,"",W21-[1]!s_pq_pctchange(A$3,I21,I21+7))</f>
        <v/>
      </c>
      <c r="Y21" s="53" t="str">
        <f>IF(I21=0,"",[1]!s_pq_pctchange(C21,I21,I21+28))</f>
        <v/>
      </c>
      <c r="Z21" s="53" t="str">
        <f>IF(I21=0,"",W21-[1]!s_pq_pctchange($A$3,I21,I21+28))</f>
        <v/>
      </c>
      <c r="AA21" s="53" t="str">
        <f>IF(I21=0,"",[1]!b_pq_pctchange(A21,I21,I21+6,4))</f>
        <v/>
      </c>
      <c r="AB21" s="53" t="str">
        <f>IF(I21=0,"",[1]!b_pq_pctchange(A21,I21,I21+27,4))</f>
        <v/>
      </c>
    </row>
    <row r="22" spans="1:28" ht="13.5" x14ac:dyDescent="0.15">
      <c r="A22" s="14" t="s">
        <v>100</v>
      </c>
      <c r="B22" s="35" t="str">
        <f>[1]!cb_info_name(A22)</f>
        <v>蓝标转债</v>
      </c>
      <c r="C22" s="42" t="str">
        <f>[1]!cb_info_underlyingcode(A22)</f>
        <v>300058.SZ</v>
      </c>
      <c r="D22" s="42" t="str">
        <f>[1]!cb_info_underlyingname(A22)</f>
        <v>蓝色光标</v>
      </c>
      <c r="E22" s="42" t="str">
        <f>[1]!s_refrmkd_preplandate(A22)</f>
        <v>2015-07-30</v>
      </c>
      <c r="F22" s="42" t="str">
        <f>[1]!cb_list_permitdate(A22)</f>
        <v>2015-05-29</v>
      </c>
      <c r="G22" s="42" t="str">
        <f>[1]!cb_list_announcedate(A22)</f>
        <v>2015-12-16</v>
      </c>
      <c r="H22" s="42" t="str">
        <f>[1]!cb_list_dtonl(A22)</f>
        <v>2015-12-18</v>
      </c>
      <c r="I22" s="42" t="str">
        <f>[1]!cb_info_listeddate(A22)</f>
        <v>2016-01-08</v>
      </c>
      <c r="J22" s="42" t="str">
        <f>[1]!cb_info_maturitydate(A22)</f>
        <v>2021-12-18</v>
      </c>
      <c r="K22" s="42">
        <f t="shared" si="0"/>
        <v>141</v>
      </c>
      <c r="L22" s="52">
        <f t="shared" si="1"/>
        <v>201</v>
      </c>
      <c r="M22" s="53">
        <f>IF(L22="","",[1]!s_pq_pctchange(C22,F22,G22-1))</f>
        <v>-22.156574261659923</v>
      </c>
      <c r="N22" s="54">
        <f>IF(L22="","",M22-[1]!s_pq_pctchange($A$3,G22,H22-1))</f>
        <v>-23.821250296678976</v>
      </c>
      <c r="O22" s="52">
        <f t="shared" si="2"/>
        <v>2</v>
      </c>
      <c r="P22" s="53">
        <f>IF(O22="","",[1]!s_pq_pctchange(C22,G22,H22-1))</f>
        <v>5.7382785164450834</v>
      </c>
      <c r="Q22" s="54">
        <f>IF(O22="","",P22-[1]!s_pq_pctchange($A$3,G22,H22-1))</f>
        <v>4.0736024814260308</v>
      </c>
      <c r="R22" s="53">
        <f>IF(G22=0,"",[1]!s_pq_pctchange(C22,G22-3,G22-1))</f>
        <v>5.8518518518518414</v>
      </c>
      <c r="S22" s="53">
        <f>IF(G22=0,"",R22-[1]!s_pq_pctchange($A$3,G22-3,G22-1))</f>
        <v>3.4591579635844472</v>
      </c>
      <c r="T22" s="52">
        <f t="shared" si="3"/>
        <v>21</v>
      </c>
      <c r="U22" s="53">
        <f>IF(T22="","",[1]!s_pq_pctchange(C22,H22,I22-1))</f>
        <v>-20.648577101257448</v>
      </c>
      <c r="V22" s="53">
        <f>IF(T22="","",U22-[1]!s_pq_pctchange($A$3,H22,I22-1))</f>
        <v>-8.3610917525858479</v>
      </c>
      <c r="W22" s="53">
        <f>IF(I22=0,"",[1]!s_pq_pctchange(C22,I22,I22+7))</f>
        <v>0</v>
      </c>
      <c r="X22" s="53">
        <f>IF(I22=0,"",W22-[1]!s_pq_pctchange(A$3,I22,I22+7))</f>
        <v>5.3319165383244993</v>
      </c>
      <c r="Y22" s="53">
        <f>IF(I22=0,"",[1]!s_pq_pctchange(C22,I22,I22+28))</f>
        <v>-21.3511259382819</v>
      </c>
      <c r="Z22" s="53">
        <f>IF(I22=0,"",W22-[1]!s_pq_pctchange($A$3,I22,I22+28))</f>
        <v>10.03509335994508</v>
      </c>
      <c r="AA22" s="53">
        <f>IF(I22=0,"",[1]!b_pq_pctchange(A22,I22,I22+6,4))</f>
        <v>0</v>
      </c>
      <c r="AB22" s="53">
        <f>IF(I22=0,"",[1]!b_pq_pctchange(A22,I22,I22+27,4))</f>
        <v>11.5</v>
      </c>
    </row>
    <row r="23" spans="1:28" ht="13.5" x14ac:dyDescent="0.15">
      <c r="A23" s="14" t="s">
        <v>101</v>
      </c>
      <c r="B23" s="35" t="str">
        <f>[1]!cb_info_name(A23)</f>
        <v>海印转债</v>
      </c>
      <c r="C23" s="42" t="str">
        <f>[1]!cb_info_underlyingcode(A23)</f>
        <v>000861.SZ</v>
      </c>
      <c r="D23" s="42" t="str">
        <f>[1]!cb_info_underlyingname(A23)</f>
        <v>海印股份</v>
      </c>
      <c r="E23" s="42" t="str">
        <f>[1]!s_refrmkd_preplandate(A23)</f>
        <v>2015-06-28</v>
      </c>
      <c r="F23" s="42" t="str">
        <f>[1]!cb_list_permitdate(A23)</f>
        <v>2016-01-29</v>
      </c>
      <c r="G23" s="42" t="str">
        <f>[1]!cb_list_announcedate(A23)</f>
        <v>2016-06-06</v>
      </c>
      <c r="H23" s="42" t="str">
        <f>[1]!cb_list_dtonl(A23)</f>
        <v>2016-06-08</v>
      </c>
      <c r="I23" s="42" t="str">
        <f>[1]!cb_info_listeddate(A23)</f>
        <v>2016-07-01</v>
      </c>
      <c r="J23" s="42" t="str">
        <f>[1]!cb_info_maturitydate(A23)</f>
        <v>2022-06-08</v>
      </c>
      <c r="K23" s="42">
        <f t="shared" si="0"/>
        <v>346</v>
      </c>
      <c r="L23" s="52">
        <f t="shared" si="1"/>
        <v>129</v>
      </c>
      <c r="M23" s="53">
        <f>IF(L23="","",[1]!s_pq_pctchange(C23,F23,G23-1))</f>
        <v>16.926503340757225</v>
      </c>
      <c r="N23" s="54">
        <f>IF(L23="","",M23-[1]!s_pq_pctchange($A$3,G23,H23-1))</f>
        <v>17.311283759061968</v>
      </c>
      <c r="O23" s="52">
        <f t="shared" si="2"/>
        <v>2</v>
      </c>
      <c r="P23" s="53">
        <f>IF(O23="","",[1]!s_pq_pctchange(C23,G23,H23-1))</f>
        <v>-0.19047619047619646</v>
      </c>
      <c r="Q23" s="54">
        <f>IF(O23="","",P23-[1]!s_pq_pctchange($A$3,G23,H23-1))</f>
        <v>0.19430422782854562</v>
      </c>
      <c r="R23" s="53">
        <f>IF(G23=0,"",[1]!s_pq_pctchange(C23,G23-3,G23-1))</f>
        <v>0</v>
      </c>
      <c r="S23" s="53">
        <f>IF(G23=0,"",R23-[1]!s_pq_pctchange($A$3,G23-3,G23-1))</f>
        <v>-0.70177140302845054</v>
      </c>
      <c r="T23" s="52">
        <f t="shared" si="3"/>
        <v>23</v>
      </c>
      <c r="U23" s="53">
        <f>IF(T23="","",[1]!s_pq_pctchange(C23,H23,I23-1))</f>
        <v>-5.7251908396946494</v>
      </c>
      <c r="V23" s="53">
        <f>IF(T23="","",U23-[1]!s_pq_pctchange($A$3,H23,I23-1))</f>
        <v>-4.9970759599204939</v>
      </c>
      <c r="W23" s="53">
        <f>IF(I23=0,"",[1]!s_pq_pctchange(C23,I23,I23+7))</f>
        <v>1.6194331983805599</v>
      </c>
      <c r="X23" s="53">
        <f>IF(I23=0,"",W23-[1]!s_pq_pctchange(A$3,I23,I23+7))</f>
        <v>0.40318840340947126</v>
      </c>
      <c r="Y23" s="53">
        <f>IF(I23=0,"",[1]!s_pq_pctchange(C23,I23,I23+28))</f>
        <v>-3.2388663967611309</v>
      </c>
      <c r="Z23" s="53">
        <f>IF(I23=0,"",W23-[1]!s_pq_pctchange($A$3,I23,I23+28))</f>
        <v>3.3806925560142531E-2</v>
      </c>
      <c r="AA23" s="53">
        <f>IF(I23=0,"",[1]!b_pq_pctchange(A23,I23,I23+6,4))</f>
        <v>-0.34957264957265471</v>
      </c>
      <c r="AB23" s="53">
        <f>IF(I23=0,"",[1]!b_pq_pctchange(A23,I23,I23+27,4))</f>
        <v>-0.16239316239316043</v>
      </c>
    </row>
    <row r="24" spans="1:28" ht="13.5" x14ac:dyDescent="0.15">
      <c r="A24" s="14" t="s">
        <v>102</v>
      </c>
      <c r="B24" s="35" t="str">
        <f>[1]!cb_info_name(A24)</f>
        <v>模塑转债</v>
      </c>
      <c r="C24" s="42" t="str">
        <f>[1]!cb_info_underlyingcode(A24)</f>
        <v>000700.SZ</v>
      </c>
      <c r="D24" s="42" t="str">
        <f>[1]!cb_info_underlyingname(A24)</f>
        <v>模塑科技</v>
      </c>
      <c r="E24" s="42" t="str">
        <f>[1]!s_refrmkd_preplandate(A24)</f>
        <v>2017-05-27</v>
      </c>
      <c r="F24" s="42" t="str">
        <f>[1]!cb_list_permitdate(A24)</f>
        <v>2016-12-21</v>
      </c>
      <c r="G24" s="42" t="str">
        <f>[1]!cb_list_announcedate(A24)</f>
        <v>2017-05-31</v>
      </c>
      <c r="H24" s="42" t="str">
        <f>[1]!cb_list_dtonl(A24)</f>
        <v>2017-06-02</v>
      </c>
      <c r="I24" s="42" t="str">
        <f>[1]!cb_info_listeddate(A24)</f>
        <v>2017-06-26</v>
      </c>
      <c r="J24" s="42" t="str">
        <f>[1]!cb_info_maturitydate(A24)</f>
        <v>2023-06-02</v>
      </c>
      <c r="K24" s="42">
        <f t="shared" si="0"/>
        <v>6</v>
      </c>
      <c r="L24" s="52">
        <f t="shared" si="1"/>
        <v>161</v>
      </c>
      <c r="M24" s="53">
        <f>IF(L24="","",[1]!s_pq_pctchange(C24,F24,G24-1))</f>
        <v>-16.830071282541748</v>
      </c>
      <c r="N24" s="54">
        <f>IF(L24="","",M24-[1]!s_pq_pctchange($A$3,G24,H24-1))</f>
        <v>-17.327241966259542</v>
      </c>
      <c r="O24" s="52">
        <f t="shared" si="2"/>
        <v>2</v>
      </c>
      <c r="P24" s="53">
        <f>IF(O24="","",[1]!s_pq_pctchange(C24,G24,H24-1))</f>
        <v>-3.0567685589519611</v>
      </c>
      <c r="Q24" s="54">
        <f>IF(O24="","",P24-[1]!s_pq_pctchange($A$3,G24,H24-1))</f>
        <v>-3.5539392426697569</v>
      </c>
      <c r="R24" s="53">
        <f>IF(G24=0,"",[1]!s_pq_pctchange(C24,G24-3,G24-1))</f>
        <v>0</v>
      </c>
      <c r="S24" s="53">
        <f>IF(G24=0,"",R24-[1]!s_pq_pctchange($A$3,G24-3,G24-1))</f>
        <v>0</v>
      </c>
      <c r="T24" s="52">
        <f t="shared" si="3"/>
        <v>24</v>
      </c>
      <c r="U24" s="53">
        <f>IF(T24="","",[1]!s_pq_pctchange(C24,H24,I24-1))</f>
        <v>11.861861861861867</v>
      </c>
      <c r="V24" s="53">
        <f>IF(T24="","",U24-[1]!s_pq_pctchange($A$3,H24,I24-1))</f>
        <v>8.2839811616996819</v>
      </c>
      <c r="W24" s="53">
        <f>IF(I24=0,"",[1]!s_pq_pctchange(C24,I24,I24+7))</f>
        <v>8.5906040268456394</v>
      </c>
      <c r="X24" s="53">
        <f>IF(I24=0,"",W24-[1]!s_pq_pctchange(A$3,I24,I24+7))</f>
        <v>7.8187546674224793</v>
      </c>
      <c r="Y24" s="53">
        <f>IF(I24=0,"",[1]!s_pq_pctchange(C24,I24,I24+28))</f>
        <v>8.5906040268456394</v>
      </c>
      <c r="Z24" s="53">
        <f>IF(I24=0,"",W24-[1]!s_pq_pctchange($A$3,I24,I24+28))</f>
        <v>5.2621637578234246</v>
      </c>
      <c r="AA24" s="53">
        <f>IF(I24=0,"",[1]!b_pq_pctchange(A24,I24,I24+6,4))</f>
        <v>2.3008849557522075</v>
      </c>
      <c r="AB24" s="53">
        <f>IF(I24=0,"",[1]!b_pq_pctchange(A24,I24,I24+27,4))</f>
        <v>2.3008849557522075</v>
      </c>
    </row>
    <row r="25" spans="1:28" ht="13.5" x14ac:dyDescent="0.15">
      <c r="A25" s="14" t="s">
        <v>103</v>
      </c>
      <c r="B25" s="35" t="str">
        <f>[1]!cb_info_name(A25)</f>
        <v>顺昌转债</v>
      </c>
      <c r="C25" s="42" t="str">
        <f>[1]!cb_info_underlyingcode(A25)</f>
        <v>002245.SZ</v>
      </c>
      <c r="D25" s="42" t="str">
        <f>[1]!cb_info_underlyingname(A25)</f>
        <v>澳洋顺昌</v>
      </c>
      <c r="E25" s="42" t="str">
        <f>[1]!s_refrmkd_preplandate(A25)</f>
        <v>2015-08-04</v>
      </c>
      <c r="F25" s="42" t="str">
        <f>[1]!cb_list_permitdate(A25)</f>
        <v>2015-04-01</v>
      </c>
      <c r="G25" s="42" t="str">
        <f>[1]!cb_list_announcedate(A25)</f>
        <v>2016-01-20</v>
      </c>
      <c r="H25" s="42" t="str">
        <f>[1]!cb_list_dtonl(A25)</f>
        <v>2016-01-22</v>
      </c>
      <c r="I25" s="42" t="str">
        <f>[1]!cb_info_listeddate(A25)</f>
        <v>2016-02-23</v>
      </c>
      <c r="J25" s="42" t="str">
        <f>[1]!cb_info_maturitydate(A25)</f>
        <v>2022-01-22</v>
      </c>
      <c r="K25" s="42">
        <f t="shared" si="0"/>
        <v>171</v>
      </c>
      <c r="L25" s="52">
        <f t="shared" si="1"/>
        <v>294</v>
      </c>
      <c r="M25" s="53">
        <f>IF(L25="","",[1]!s_pq_pctchange(C25,F25,G25-1))</f>
        <v>-24.507283633247635</v>
      </c>
      <c r="N25" s="54">
        <f>IF(L25="","",M25-[1]!s_pq_pctchange($A$3,G25,H25-1))</f>
        <v>-20.108456544593835</v>
      </c>
      <c r="O25" s="52">
        <f t="shared" si="2"/>
        <v>2</v>
      </c>
      <c r="P25" s="53">
        <f>IF(O25="","",[1]!s_pq_pctchange(C25,G25,H25-1))</f>
        <v>-8.9670828603859434</v>
      </c>
      <c r="Q25" s="54">
        <f>IF(O25="","",P25-[1]!s_pq_pctchange($A$3,G25,H25-1))</f>
        <v>-4.5682557717321428</v>
      </c>
      <c r="R25" s="53">
        <f>IF(G25=0,"",[1]!s_pq_pctchange(C25,G25-3,G25-1))</f>
        <v>8.7654320987654586</v>
      </c>
      <c r="S25" s="53">
        <f>IF(G25=0,"",R25-[1]!s_pq_pctchange($A$3,G25-3,G25-1))</f>
        <v>5.4180760707462259</v>
      </c>
      <c r="T25" s="52">
        <f t="shared" si="3"/>
        <v>32</v>
      </c>
      <c r="U25" s="53">
        <f>IF(T25="","",[1]!s_pq_pctchange(C25,H25,I25-1))</f>
        <v>0.74812967581048273</v>
      </c>
      <c r="V25" s="53">
        <f>IF(T25="","",U25-[1]!s_pq_pctchange($A$3,H25,I25-1))</f>
        <v>-0.46958840279245351</v>
      </c>
      <c r="W25" s="53">
        <f>IF(I25=0,"",[1]!s_pq_pctchange(C25,I25,I25+7))</f>
        <v>-18.316831683168321</v>
      </c>
      <c r="X25" s="53">
        <f>IF(I25=0,"",W25-[1]!s_pq_pctchange(A$3,I25,I25+7))</f>
        <v>-12.283430135972106</v>
      </c>
      <c r="Y25" s="53">
        <f>IF(I25=0,"",[1]!s_pq_pctchange(C25,I25,I25+28))</f>
        <v>-2.1039603960396058</v>
      </c>
      <c r="Z25" s="53">
        <f>IF(I25=0,"",W25-[1]!s_pq_pctchange($A$3,I25,I25+28))</f>
        <v>-21.745088895121064</v>
      </c>
      <c r="AA25" s="53">
        <f>IF(I25=0,"",[1]!b_pq_pctchange(A25,I25,I25+6,4))</f>
        <v>-6.2336664104534973</v>
      </c>
      <c r="AB25" s="53">
        <f>IF(I25=0,"",[1]!b_pq_pctchange(A25,I25,I25+27,4))</f>
        <v>-2.2290545734050666</v>
      </c>
    </row>
    <row r="26" spans="1:28" ht="13.5" x14ac:dyDescent="0.15">
      <c r="A26" s="14" t="s">
        <v>104</v>
      </c>
      <c r="B26" s="35" t="str">
        <f>[1]!cb_info_name(A26)</f>
        <v>辉丰转债</v>
      </c>
      <c r="C26" s="42" t="str">
        <f>[1]!cb_info_underlyingcode(A26)</f>
        <v>002496.SZ</v>
      </c>
      <c r="D26" s="42" t="str">
        <f>[1]!cb_info_underlyingname(A26)</f>
        <v>辉丰股份</v>
      </c>
      <c r="E26" s="42" t="str">
        <f>[1]!s_refrmkd_preplandate(A26)</f>
        <v>2015-05-28</v>
      </c>
      <c r="F26" s="42" t="str">
        <f>[1]!cb_list_permitdate(A26)</f>
        <v>2015-12-30</v>
      </c>
      <c r="G26" s="42" t="str">
        <f>[1]!cb_list_announcedate(A26)</f>
        <v>2016-04-18</v>
      </c>
      <c r="H26" s="42" t="str">
        <f>[1]!cb_list_dtonl(A26)</f>
        <v>2016-04-21</v>
      </c>
      <c r="I26" s="42" t="str">
        <f>[1]!cb_info_listeddate(A26)</f>
        <v>2016-05-17</v>
      </c>
      <c r="J26" s="42" t="str">
        <f>[1]!cb_info_maturitydate(A26)</f>
        <v>2022-04-21</v>
      </c>
      <c r="K26" s="42">
        <f t="shared" si="0"/>
        <v>329</v>
      </c>
      <c r="L26" s="52">
        <f t="shared" si="1"/>
        <v>110</v>
      </c>
      <c r="M26" s="53">
        <f>IF(L26="","",[1]!s_pq_pctchange(C26,F26,G26-1))</f>
        <v>-0.10266940451745254</v>
      </c>
      <c r="N26" s="54">
        <f>IF(L26="","",M26-[1]!s_pq_pctchange($A$3,G26,H26-1))</f>
        <v>2.6837969580912668</v>
      </c>
      <c r="O26" s="52">
        <f t="shared" si="2"/>
        <v>3</v>
      </c>
      <c r="P26" s="53">
        <f>IF(O26="","",[1]!s_pq_pctchange(C26,G26,H26-1))</f>
        <v>-7.8451524494690066</v>
      </c>
      <c r="Q26" s="54">
        <f>IF(O26="","",P26-[1]!s_pq_pctchange($A$3,G26,H26-1))</f>
        <v>-5.0586860868602876</v>
      </c>
      <c r="R26" s="53">
        <f>IF(G26=0,"",[1]!s_pq_pctchange(C26,G26-3,G26-1))</f>
        <v>-1.650943396226412</v>
      </c>
      <c r="S26" s="53">
        <f>IF(G26=0,"",R26-[1]!s_pq_pctchange($A$3,G26-3,G26-1))</f>
        <v>-1.540229541264182</v>
      </c>
      <c r="T26" s="52">
        <f t="shared" si="3"/>
        <v>26</v>
      </c>
      <c r="U26" s="53">
        <f>IF(T26="","",[1]!s_pq_pctchange(C26,H26,I26-1))</f>
        <v>0.14869888475836923</v>
      </c>
      <c r="V26" s="53">
        <f>IF(T26="","",U26-[1]!s_pq_pctchange($A$3,H26,I26-1))</f>
        <v>2.8433605826304831</v>
      </c>
      <c r="W26" s="53">
        <f>IF(I26=0,"",[1]!s_pq_pctchange(C26,I26,I26+7))</f>
        <v>1.1507052709725185</v>
      </c>
      <c r="X26" s="53">
        <f>IF(I26=0,"",W26-[1]!s_pq_pctchange(A$3,I26,I26+7))</f>
        <v>2.1765448601443249</v>
      </c>
      <c r="Y26" s="53">
        <f>IF(I26=0,"",[1]!s_pq_pctchange(C26,I26,I26+28))</f>
        <v>-17.257496573344444</v>
      </c>
      <c r="Z26" s="53">
        <f>IF(I26=0,"",W26-[1]!s_pq_pctchange($A$3,I26,I26+28))</f>
        <v>1.7750404543637743</v>
      </c>
      <c r="AA26" s="53">
        <f>IF(I26=0,"",[1]!b_pq_pctchange(A26,I26,I26+6,4))</f>
        <v>-2.0723018735156957</v>
      </c>
      <c r="AB26" s="53">
        <f>IF(I26=0,"",[1]!b_pq_pctchange(A26,I26,I26+27,4))</f>
        <v>-3.9317442167297023</v>
      </c>
    </row>
    <row r="27" spans="1:28" ht="13.5" x14ac:dyDescent="0.15">
      <c r="A27" s="14" t="s">
        <v>105</v>
      </c>
      <c r="B27" s="35" t="str">
        <f>[1]!cb_info_name(A27)</f>
        <v>洪涛转债</v>
      </c>
      <c r="C27" s="42" t="str">
        <f>[1]!cb_info_underlyingcode(A27)</f>
        <v>002325.SZ</v>
      </c>
      <c r="D27" s="42" t="str">
        <f>[1]!cb_info_underlyingname(A27)</f>
        <v>洪涛股份</v>
      </c>
      <c r="E27" s="42" t="str">
        <f>[1]!s_refrmkd_preplandate(A27)</f>
        <v>2015-11-21</v>
      </c>
      <c r="F27" s="42" t="str">
        <f>[1]!cb_list_permitdate(A27)</f>
        <v>2016-03-11</v>
      </c>
      <c r="G27" s="42" t="str">
        <f>[1]!cb_list_announcedate(A27)</f>
        <v>2016-07-27</v>
      </c>
      <c r="H27" s="42" t="str">
        <f>[1]!cb_list_dtonl(A27)</f>
        <v>2016-07-29</v>
      </c>
      <c r="I27" s="42" t="str">
        <f>[1]!cb_info_listeddate(A27)</f>
        <v>2016-08-23</v>
      </c>
      <c r="J27" s="42" t="str">
        <f>[1]!cb_info_maturitydate(A27)</f>
        <v>2022-07-29</v>
      </c>
      <c r="K27" s="42">
        <f t="shared" si="0"/>
        <v>251</v>
      </c>
      <c r="L27" s="52">
        <f t="shared" si="1"/>
        <v>138</v>
      </c>
      <c r="M27" s="53">
        <f>IF(L27="","",[1]!s_pq_pctchange(C27,F27,G27-1))</f>
        <v>32.9451095423128</v>
      </c>
      <c r="N27" s="54">
        <f>IF(L27="","",M27-[1]!s_pq_pctchange($A$3,G27,H27-1))</f>
        <v>34.426999524665938</v>
      </c>
      <c r="O27" s="52">
        <f t="shared" si="2"/>
        <v>2</v>
      </c>
      <c r="P27" s="53">
        <f>IF(O27="","",[1]!s_pq_pctchange(C27,G27,H27-1))</f>
        <v>-4.2718446601942013</v>
      </c>
      <c r="Q27" s="54">
        <f>IF(O27="","",P27-[1]!s_pq_pctchange($A$3,G27,H27-1))</f>
        <v>-2.7899546778410662</v>
      </c>
      <c r="R27" s="53">
        <f>IF(G27=0,"",[1]!s_pq_pctchange(C27,G27-3,G27-1))</f>
        <v>5.9670781893004232</v>
      </c>
      <c r="S27" s="53">
        <f>IF(G27=0,"",R27-[1]!s_pq_pctchange($A$3,G27-3,G27-1))</f>
        <v>4.5895939381987549</v>
      </c>
      <c r="T27" s="52">
        <f t="shared" si="3"/>
        <v>25</v>
      </c>
      <c r="U27" s="53">
        <f>IF(T27="","",[1]!s_pq_pctchange(C27,H27,I27-1))</f>
        <v>4.0567951318458695</v>
      </c>
      <c r="V27" s="53">
        <f>IF(T27="","",U27-[1]!s_pq_pctchange($A$3,H27,I27-1))</f>
        <v>0.46618666182294266</v>
      </c>
      <c r="W27" s="53">
        <f>IF(I27=0,"",[1]!s_pq_pctchange(C27,I27,I27+7))</f>
        <v>-7.6023391812865437</v>
      </c>
      <c r="X27" s="53">
        <f>IF(I27=0,"",W27-[1]!s_pq_pctchange(A$3,I27,I27+7))</f>
        <v>-6.8588802410921694</v>
      </c>
      <c r="Y27" s="53">
        <f>IF(I27=0,"",[1]!s_pq_pctchange(C27,I27,I27+28))</f>
        <v>-10.818713450292405</v>
      </c>
      <c r="Z27" s="53">
        <f>IF(I27=0,"",W27-[1]!s_pq_pctchange($A$3,I27,I27+28))</f>
        <v>-5.2230649861599643</v>
      </c>
      <c r="AA27" s="53">
        <f>IF(I27=0,"",[1]!b_pq_pctchange(A27,I27,I27+6,4))</f>
        <v>-6.4887663233037962E-2</v>
      </c>
      <c r="AB27" s="53">
        <f>IF(I27=0,"",[1]!b_pq_pctchange(A27,I27,I27+27,4))</f>
        <v>-0.43799172682294285</v>
      </c>
    </row>
    <row r="28" spans="1:28" ht="13.5" x14ac:dyDescent="0.15">
      <c r="A28" s="14" t="s">
        <v>106</v>
      </c>
      <c r="B28" s="35" t="str">
        <f>[1]!cb_info_name(A28)</f>
        <v>永东转债</v>
      </c>
      <c r="C28" s="42" t="str">
        <f>[1]!cb_info_underlyingcode(A28)</f>
        <v>002753.SZ</v>
      </c>
      <c r="D28" s="42" t="str">
        <f>[1]!cb_info_underlyingname(A28)</f>
        <v>永东股份</v>
      </c>
      <c r="E28" s="42" t="str">
        <f>[1]!s_refrmkd_preplandate(A28)</f>
        <v>2017-03-23</v>
      </c>
      <c r="F28" s="42" t="str">
        <f>[1]!cb_list_permitdate(A28)</f>
        <v>2017-01-18</v>
      </c>
      <c r="G28" s="42" t="str">
        <f>[1]!cb_list_announcedate(A28)</f>
        <v>2017-04-13</v>
      </c>
      <c r="H28" s="42" t="str">
        <f>[1]!cb_list_dtonl(A28)</f>
        <v>2017-04-17</v>
      </c>
      <c r="I28" s="42" t="str">
        <f>[1]!cb_info_listeddate(A28)</f>
        <v>2017-05-12</v>
      </c>
      <c r="J28" s="42" t="str">
        <f>[1]!cb_info_maturitydate(A28)</f>
        <v>2023-04-17</v>
      </c>
      <c r="K28" s="42">
        <f t="shared" si="0"/>
        <v>25</v>
      </c>
      <c r="L28" s="52">
        <f t="shared" si="1"/>
        <v>85</v>
      </c>
      <c r="M28" s="53">
        <f>IF(L28="","",[1]!s_pq_pctchange(C28,F28,G28-1))</f>
        <v>-10.262008733624462</v>
      </c>
      <c r="N28" s="54">
        <f>IF(L28="","",M28-[1]!s_pq_pctchange($A$3,G28,H28-1))</f>
        <v>-9.60850821800069</v>
      </c>
      <c r="O28" s="52">
        <f t="shared" si="2"/>
        <v>4</v>
      </c>
      <c r="P28" s="53">
        <f>IF(O28="","",[1]!s_pq_pctchange(C28,G28,H28-1))</f>
        <v>-1.320820298922476</v>
      </c>
      <c r="Q28" s="54">
        <f>IF(O28="","",P28-[1]!s_pq_pctchange($A$3,G28,H28-1))</f>
        <v>-0.66731978329870323</v>
      </c>
      <c r="R28" s="53">
        <f>IF(G28=0,"",[1]!s_pq_pctchange(C28,G28-3,G28-1))</f>
        <v>-4.1958041958041985</v>
      </c>
      <c r="S28" s="53">
        <f>IF(G28=0,"",R28-[1]!s_pq_pctchange($A$3,G28-3,G28-1))</f>
        <v>-3.9676653614384998</v>
      </c>
      <c r="T28" s="52">
        <f t="shared" si="3"/>
        <v>25</v>
      </c>
      <c r="U28" s="53">
        <f>IF(T28="","",[1]!s_pq_pctchange(C28,H28,I28-1))</f>
        <v>-13.913349771046146</v>
      </c>
      <c r="V28" s="53">
        <f>IF(T28="","",U28-[1]!s_pq_pctchange($A$3,H28,I28-1))</f>
        <v>-10.188742503222459</v>
      </c>
      <c r="W28" s="53">
        <f>IF(I28=0,"",[1]!s_pq_pctchange(C28,I28,I28+7))</f>
        <v>4.8281505728314134</v>
      </c>
      <c r="X28" s="53">
        <f>IF(I28=0,"",W28-[1]!s_pq_pctchange(A$3,I28,I28+7))</f>
        <v>3.421886659202622</v>
      </c>
      <c r="Y28" s="53">
        <f>IF(I28=0,"",[1]!s_pq_pctchange(C28,I28,I28+28))</f>
        <v>1.3093289689034338</v>
      </c>
      <c r="Z28" s="53">
        <f>IF(I28=0,"",W28-[1]!s_pq_pctchange($A$3,I28,I28+28))</f>
        <v>-1.7118422217615503</v>
      </c>
      <c r="AA28" s="53">
        <f>IF(I28=0,"",[1]!b_pq_pctchange(A28,I28,I28+6,4))</f>
        <v>-0.17920792079207662</v>
      </c>
      <c r="AB28" s="53">
        <f>IF(I28=0,"",[1]!b_pq_pctchange(A28,I28,I28+27,4))</f>
        <v>1.2752475247524719</v>
      </c>
    </row>
    <row r="29" spans="1:28" ht="13.5" x14ac:dyDescent="0.15">
      <c r="A29" s="14" t="s">
        <v>107</v>
      </c>
      <c r="B29" s="35" t="str">
        <f>[1]!cb_info_name(A29)</f>
        <v>久其转债</v>
      </c>
      <c r="C29" s="42" t="str">
        <f>[1]!cb_info_underlyingcode(A29)</f>
        <v>002279.SZ</v>
      </c>
      <c r="D29" s="42" t="str">
        <f>[1]!cb_info_underlyingname(A29)</f>
        <v>久其软件</v>
      </c>
      <c r="E29" s="42" t="str">
        <f>[1]!s_refrmkd_preplandate(A29)</f>
        <v>2016-07-29</v>
      </c>
      <c r="F29" s="42" t="str">
        <f>[1]!cb_list_permitdate(A29)</f>
        <v>2017-01-11</v>
      </c>
      <c r="G29" s="42" t="str">
        <f>[1]!cb_list_announcedate(A29)</f>
        <v>2017-06-06</v>
      </c>
      <c r="H29" s="42" t="str">
        <f>[1]!cb_list_dtonl(A29)</f>
        <v>2017-06-08</v>
      </c>
      <c r="I29" s="42" t="str">
        <f>[1]!cb_info_listeddate(A29)</f>
        <v>2017-06-27</v>
      </c>
      <c r="J29" s="42" t="str">
        <f>[1]!cb_info_maturitydate(A29)</f>
        <v>2023-06-08</v>
      </c>
      <c r="K29" s="42">
        <f t="shared" si="0"/>
        <v>314</v>
      </c>
      <c r="L29" s="52">
        <f t="shared" si="1"/>
        <v>146</v>
      </c>
      <c r="M29" s="53">
        <f>IF(L29="","",[1]!s_pq_pctchange(C29,F29,G29-1))</f>
        <v>-6.1583110378192192</v>
      </c>
      <c r="N29" s="54">
        <f>IF(L29="","",M29-[1]!s_pq_pctchange($A$3,G29,H29-1))</f>
        <v>-8.0355846569500997</v>
      </c>
      <c r="O29" s="52">
        <f t="shared" si="2"/>
        <v>2</v>
      </c>
      <c r="P29" s="53">
        <f>IF(O29="","",[1]!s_pq_pctchange(C29,G29,H29-1))</f>
        <v>3.1681559707554596</v>
      </c>
      <c r="Q29" s="54">
        <f>IF(O29="","",P29-[1]!s_pq_pctchange($A$3,G29,H29-1))</f>
        <v>1.2908823516245782</v>
      </c>
      <c r="R29" s="53">
        <f>IF(G29=0,"",[1]!s_pq_pctchange(C29,G29-3,G29-1))</f>
        <v>1.9039735099337873</v>
      </c>
      <c r="S29" s="53">
        <f>IF(G29=0,"",R29-[1]!s_pq_pctchange($A$3,G29-3,G29-1))</f>
        <v>2.4131822384166224</v>
      </c>
      <c r="T29" s="52">
        <f t="shared" si="3"/>
        <v>19</v>
      </c>
      <c r="U29" s="53">
        <f>IF(T29="","",[1]!s_pq_pctchange(C29,H29,I29-1))</f>
        <v>1.1811023622047223</v>
      </c>
      <c r="V29" s="53">
        <f>IF(T29="","",U29-[1]!s_pq_pctchange($A$3,H29,I29-1))</f>
        <v>-2.6170008966627911</v>
      </c>
      <c r="W29" s="53">
        <f>IF(I29=0,"",[1]!s_pq_pctchange(C29,I29,I29+7))</f>
        <v>-0.38910505836573517</v>
      </c>
      <c r="X29" s="53">
        <f>IF(I29=0,"",W29-[1]!s_pq_pctchange(A$3,I29,I29+7))</f>
        <v>0.92241606246550312</v>
      </c>
      <c r="Y29" s="53">
        <f>IF(I29=0,"",[1]!s_pq_pctchange(C29,I29,I29+28))</f>
        <v>-9.9610894941634101</v>
      </c>
      <c r="Z29" s="53">
        <f>IF(I29=0,"",W29-[1]!s_pq_pctchange($A$3,I29,I29+28))</f>
        <v>-1.7922078541272146</v>
      </c>
      <c r="AA29" s="53">
        <f>IF(I29=0,"",[1]!b_pq_pctchange(A29,I29,I29+6,4))</f>
        <v>-1.0353143841515919</v>
      </c>
      <c r="AB29" s="53">
        <f>IF(I29=0,"",[1]!b_pq_pctchange(A29,I29,I29+27,4))</f>
        <v>-3.2997416020671744</v>
      </c>
    </row>
    <row r="30" spans="1:28" ht="13.5" x14ac:dyDescent="0.15">
      <c r="A30" s="14" t="s">
        <v>108</v>
      </c>
      <c r="B30" s="35" t="str">
        <f>[1]!cb_info_name(A30)</f>
        <v>雨虹转债</v>
      </c>
      <c r="C30" s="42" t="str">
        <f>[1]!cb_info_underlyingcode(A30)</f>
        <v>002271.SZ</v>
      </c>
      <c r="D30" s="42" t="str">
        <f>[1]!cb_info_underlyingname(A30)</f>
        <v>东方雨虹</v>
      </c>
      <c r="E30" s="42" t="str">
        <f>[1]!s_refrmkd_preplandate(A30)</f>
        <v>2016-11-01</v>
      </c>
      <c r="F30" s="42" t="str">
        <f>[1]!cb_list_permitdate(A30)</f>
        <v>2017-04-26</v>
      </c>
      <c r="G30" s="42" t="str">
        <f>[1]!cb_list_announcedate(A30)</f>
        <v>2017-09-21</v>
      </c>
      <c r="H30" s="42" t="str">
        <f>[1]!cb_list_dtonl(A30)</f>
        <v>2017-09-25</v>
      </c>
      <c r="I30" s="42" t="str">
        <f>[1]!cb_info_listeddate(A30)</f>
        <v>2017-10-20</v>
      </c>
      <c r="J30" s="42" t="str">
        <f>[1]!cb_info_maturitydate(A30)</f>
        <v>2023-09-25</v>
      </c>
      <c r="K30" s="42">
        <f t="shared" si="0"/>
        <v>328</v>
      </c>
      <c r="L30" s="52">
        <f t="shared" si="1"/>
        <v>148</v>
      </c>
      <c r="M30" s="53">
        <f>IF(L30="","",[1]!s_pq_pctchange(C30,F30,G30-1))</f>
        <v>33.499152706649717</v>
      </c>
      <c r="N30" s="54">
        <f>IF(L30="","",M30-[1]!s_pq_pctchange($A$3,G30,H30-1))</f>
        <v>33.621598489926797</v>
      </c>
      <c r="O30" s="52">
        <f t="shared" si="2"/>
        <v>4</v>
      </c>
      <c r="P30" s="53">
        <f>IF(O30="","",[1]!s_pq_pctchange(C30,G30,H30-1))</f>
        <v>2.6385224274406482</v>
      </c>
      <c r="Q30" s="54">
        <f>IF(O30="","",P30-[1]!s_pq_pctchange($A$3,G30,H30-1))</f>
        <v>2.7609682107177291</v>
      </c>
      <c r="R30" s="53">
        <f>IF(G30=0,"",[1]!s_pq_pctchange(C30,G30-3,G30-1))</f>
        <v>4.4364838798567119</v>
      </c>
      <c r="S30" s="53">
        <f>IF(G30=0,"",R30-[1]!s_pq_pctchange($A$3,G30-3,G30-1))</f>
        <v>4.1457520088046929</v>
      </c>
      <c r="T30" s="52">
        <f t="shared" si="3"/>
        <v>25</v>
      </c>
      <c r="U30" s="53">
        <f>IF(T30="","",[1]!s_pq_pctchange(C30,H30,I30-1))</f>
        <v>4.1131105398457546</v>
      </c>
      <c r="V30" s="53">
        <f>IF(T30="","",U30-[1]!s_pq_pctchange($A$3,H30,I30-1))</f>
        <v>1.6762770405462701</v>
      </c>
      <c r="W30" s="53">
        <f>IF(I30=0,"",[1]!s_pq_pctchange(C30,I30,I30+7))</f>
        <v>-1.5061728395061702</v>
      </c>
      <c r="X30" s="53">
        <f>IF(I30=0,"",W30-[1]!s_pq_pctchange(A$3,I30,I30+7))</f>
        <v>-3.8137877593935943</v>
      </c>
      <c r="Y30" s="53">
        <f>IF(I30=0,"",[1]!s_pq_pctchange(C30,I30,I30+28))</f>
        <v>-5.7283950617283974</v>
      </c>
      <c r="Z30" s="53">
        <f>IF(I30=0,"",W30-[1]!s_pq_pctchange($A$3,I30,I30+28))</f>
        <v>-5.9262102856158734</v>
      </c>
      <c r="AA30" s="53">
        <f>IF(I30=0,"",[1]!b_pq_pctchange(A30,I30,I30+6,4))</f>
        <v>-1.9655181025798902</v>
      </c>
      <c r="AB30" s="53">
        <f>IF(I30=0,"",[1]!b_pq_pctchange(A30,I30,I30+27,4))</f>
        <v>-2.7563873094629523</v>
      </c>
    </row>
    <row r="31" spans="1:28" ht="13.5" x14ac:dyDescent="0.15">
      <c r="A31" s="14" t="s">
        <v>109</v>
      </c>
      <c r="B31" s="35" t="str">
        <f>[1]!cb_info_name(A31)</f>
        <v>金禾转债</v>
      </c>
      <c r="C31" s="42" t="str">
        <f>[1]!cb_info_underlyingcode(A31)</f>
        <v>002597.SZ</v>
      </c>
      <c r="D31" s="42" t="str">
        <f>[1]!cb_info_underlyingname(A31)</f>
        <v>金禾实业</v>
      </c>
      <c r="E31" s="42" t="str">
        <f>[1]!s_refrmkd_preplandate(A31)</f>
        <v>2016-12-31</v>
      </c>
      <c r="F31" s="42" t="str">
        <f>[1]!cb_list_permitdate(A31)</f>
        <v>2017-05-23</v>
      </c>
      <c r="G31" s="42" t="str">
        <f>[1]!cb_list_announcedate(A31)</f>
        <v>2017-10-30</v>
      </c>
      <c r="H31" s="42" t="str">
        <f>[1]!cb_list_dtonl(A31)</f>
        <v>2017-11-01</v>
      </c>
      <c r="I31" s="42">
        <f>[1]!cb_info_listeddate(A31)</f>
        <v>0</v>
      </c>
      <c r="J31" s="42" t="str">
        <f>[1]!cb_info_maturitydate(A31)</f>
        <v>2023-11-01</v>
      </c>
      <c r="K31" s="42">
        <f t="shared" si="0"/>
        <v>305</v>
      </c>
      <c r="L31" s="52">
        <f t="shared" si="1"/>
        <v>160</v>
      </c>
      <c r="M31" s="53">
        <f>IF(L31="","",[1]!s_pq_pctchange(C31,F31,G31-1))</f>
        <v>22.302158273381288</v>
      </c>
      <c r="N31" s="54">
        <f>IF(L31="","",M31-[1]!s_pq_pctchange($A$3,G31,H31-1))</f>
        <v>22.681318463532993</v>
      </c>
      <c r="O31" s="52">
        <f t="shared" si="2"/>
        <v>2</v>
      </c>
      <c r="P31" s="53">
        <f>IF(O31="","",[1]!s_pq_pctchange(C31,G31,H31-1))</f>
        <v>-2.0588235294117685</v>
      </c>
      <c r="Q31" s="54">
        <f>IF(O31="","",P31-[1]!s_pq_pctchange($A$3,G31,H31-1))</f>
        <v>-1.6796633392600624</v>
      </c>
      <c r="R31" s="53">
        <f>IF(G31=0,"",[1]!s_pq_pctchange(C31,G31-3,G31-1))</f>
        <v>-0.25146689019279744</v>
      </c>
      <c r="S31" s="53">
        <f>IF(G31=0,"",R31-[1]!s_pq_pctchange($A$3,G31-3,G31-1))</f>
        <v>-0.96241882118435207</v>
      </c>
      <c r="T31" s="52" t="str">
        <f t="shared" si="3"/>
        <v/>
      </c>
      <c r="U31" s="53" t="str">
        <f>IF(T31="","",[1]!s_pq_pctchange(C31,H31,I31-1))</f>
        <v/>
      </c>
      <c r="V31" s="53" t="str">
        <f>IF(T31="","",U31-[1]!s_pq_pctchange($A$3,H31,I31-1))</f>
        <v/>
      </c>
      <c r="W31" s="53" t="str">
        <f>IF(I31=0,"",[1]!s_pq_pctchange(C31,I31,I31+7))</f>
        <v/>
      </c>
      <c r="X31" s="53" t="str">
        <f>IF(I31=0,"",W31-[1]!s_pq_pctchange(A$3,I31,I31+7))</f>
        <v/>
      </c>
      <c r="Y31" s="53" t="str">
        <f>IF(I31=0,"",[1]!s_pq_pctchange(C31,I31,I31+28))</f>
        <v/>
      </c>
      <c r="Z31" s="53" t="str">
        <f>IF(I31=0,"",W31-[1]!s_pq_pctchange($A$3,I31,I31+28))</f>
        <v/>
      </c>
      <c r="AA31" s="53" t="str">
        <f>IF(I31=0,"",[1]!b_pq_pctchange(A31,I31,I31+6,4))</f>
        <v/>
      </c>
      <c r="AB31" s="53" t="str">
        <f>IF(I31=0,"",[1]!b_pq_pctchange(A31,I31,I31+27,4))</f>
        <v/>
      </c>
    </row>
    <row r="32" spans="1:28" ht="13.5" x14ac:dyDescent="0.15">
      <c r="A32" s="14" t="s">
        <v>110</v>
      </c>
      <c r="B32" s="35" t="str">
        <f>[1]!cb_info_name(A32)</f>
        <v>时达转债</v>
      </c>
      <c r="C32" s="42" t="str">
        <f>[1]!cb_info_underlyingcode(A32)</f>
        <v>002527.SZ</v>
      </c>
      <c r="D32" s="42" t="str">
        <f>[1]!cb_info_underlyingname(A32)</f>
        <v>新时达</v>
      </c>
      <c r="E32" s="42" t="str">
        <f>[1]!s_refrmkd_preplandate(A32)</f>
        <v>2016-11-29</v>
      </c>
      <c r="F32" s="42" t="str">
        <f>[1]!cb_list_permitdate(A32)</f>
        <v>2017-06-06</v>
      </c>
      <c r="G32" s="42" t="str">
        <f>[1]!cb_list_announcedate(A32)</f>
        <v>2017-11-02</v>
      </c>
      <c r="H32" s="42" t="str">
        <f>[1]!cb_list_dtonl(A32)</f>
        <v>2017-11-06</v>
      </c>
      <c r="I32" s="42">
        <f>[1]!cb_info_listeddate(A32)</f>
        <v>0</v>
      </c>
      <c r="J32" s="42" t="str">
        <f>[1]!cb_info_maturitydate(A32)</f>
        <v>2023-11-06</v>
      </c>
      <c r="K32" s="42">
        <f t="shared" si="0"/>
        <v>342</v>
      </c>
      <c r="L32" s="52">
        <f t="shared" si="1"/>
        <v>149</v>
      </c>
      <c r="M32" s="53">
        <f>IF(L32="","",[1]!s_pq_pctchange(C32,F32,G32-1))</f>
        <v>18.566313897167873</v>
      </c>
      <c r="N32" s="54">
        <f>IF(L32="","",M32-[1]!s_pq_pctchange($A$3,G32,H32-1))</f>
        <v>18.664501814409284</v>
      </c>
      <c r="O32" s="52">
        <f t="shared" si="2"/>
        <v>4</v>
      </c>
      <c r="P32" s="53">
        <f>IF(O32="","",[1]!s_pq_pctchange(C32,G32,H32-1))</f>
        <v>-2.0016680567139233</v>
      </c>
      <c r="Q32" s="54">
        <f>IF(O32="","",P32-[1]!s_pq_pctchange($A$3,G32,H32-1))</f>
        <v>-1.9034801394725132</v>
      </c>
      <c r="R32" s="53">
        <f>IF(G32=0,"",[1]!s_pq_pctchange(C32,G32-3,G32-1))</f>
        <v>3.3620689655172287</v>
      </c>
      <c r="S32" s="53">
        <f>IF(G32=0,"",R32-[1]!s_pq_pctchange($A$3,G32-3,G32-1))</f>
        <v>3.992245598466726</v>
      </c>
      <c r="T32" s="52" t="str">
        <f t="shared" si="3"/>
        <v/>
      </c>
      <c r="U32" s="53" t="str">
        <f>IF(T32="","",[1]!s_pq_pctchange(C32,H32,I32-1))</f>
        <v/>
      </c>
      <c r="V32" s="53" t="str">
        <f>IF(T32="","",U32-[1]!s_pq_pctchange($A$3,H32,I32-1))</f>
        <v/>
      </c>
      <c r="W32" s="53" t="str">
        <f>IF(I32=0,"",[1]!s_pq_pctchange(C32,I32,I32+7))</f>
        <v/>
      </c>
      <c r="X32" s="53" t="str">
        <f>IF(I32=0,"",W32-[1]!s_pq_pctchange(A$3,I32,I32+7))</f>
        <v/>
      </c>
      <c r="Y32" s="53" t="str">
        <f>IF(I32=0,"",[1]!s_pq_pctchange(C32,I32,I32+28))</f>
        <v/>
      </c>
      <c r="Z32" s="53" t="str">
        <f>IF(I32=0,"",W32-[1]!s_pq_pctchange($A$3,I32,I32+28))</f>
        <v/>
      </c>
      <c r="AA32" s="53" t="str">
        <f>IF(I32=0,"",[1]!b_pq_pctchange(A32,I32,I32+6,4))</f>
        <v/>
      </c>
      <c r="AB32" s="53" t="str">
        <f>IF(I32=0,"",[1]!b_pq_pctchange(A32,I32,I32+27,4))</f>
        <v/>
      </c>
    </row>
    <row r="33" spans="1:28" ht="13.5" x14ac:dyDescent="0.15">
      <c r="A33" s="14" t="s">
        <v>111</v>
      </c>
      <c r="B33" s="35" t="str">
        <f>[1]!cb_info_name(A33)</f>
        <v>久立转2</v>
      </c>
      <c r="C33" s="42" t="str">
        <f>[1]!cb_info_underlyingcode(A33)</f>
        <v>002318.SZ</v>
      </c>
      <c r="D33" s="42" t="str">
        <f>[1]!cb_info_underlyingname(A33)</f>
        <v>久立特材</v>
      </c>
      <c r="E33" s="42" t="str">
        <f>[1]!s_refrmkd_preplandate(A33)</f>
        <v>2017-04-18</v>
      </c>
      <c r="F33" s="42" t="str">
        <f>[1]!cb_list_permitdate(A33)</f>
        <v>2017-08-22</v>
      </c>
      <c r="G33" s="42" t="str">
        <f>[1]!cb_list_announcedate(A33)</f>
        <v>2017-11-06</v>
      </c>
      <c r="H33" s="42" t="str">
        <f>[1]!cb_list_dtonl(A33)</f>
        <v>2017-11-08</v>
      </c>
      <c r="I33" s="42">
        <f>[1]!cb_info_listeddate(A33)</f>
        <v>0</v>
      </c>
      <c r="J33" s="42" t="str">
        <f>[1]!cb_info_maturitydate(A33)</f>
        <v>2023-11-08</v>
      </c>
      <c r="K33" s="42">
        <f t="shared" si="0"/>
        <v>204</v>
      </c>
      <c r="L33" s="52">
        <f t="shared" si="1"/>
        <v>76</v>
      </c>
      <c r="M33" s="53">
        <f>IF(L33="","",[1]!s_pq_pctchange(C33,F33,G33-1))</f>
        <v>-4.5238095238095299</v>
      </c>
      <c r="N33" s="54">
        <f>IF(L33="","",M33-[1]!s_pq_pctchange($A$3,G33,H33-1))</f>
        <v>-6.0653386237196516</v>
      </c>
      <c r="O33" s="52">
        <f t="shared" si="2"/>
        <v>2</v>
      </c>
      <c r="P33" s="53">
        <f>IF(O33="","",[1]!s_pq_pctchange(C33,G33,H33-1))</f>
        <v>3.7406483790523692</v>
      </c>
      <c r="Q33" s="54">
        <f>IF(O33="","",P33-[1]!s_pq_pctchange($A$3,G33,H33-1))</f>
        <v>2.1991192791422476</v>
      </c>
      <c r="R33" s="53">
        <f>IF(G33=0,"",[1]!s_pq_pctchange(C33,G33-3,G33-1))</f>
        <v>-1.5950920245398792</v>
      </c>
      <c r="S33" s="53">
        <f>IF(G33=0,"",R33-[1]!s_pq_pctchange($A$3,G33-3,G33-1))</f>
        <v>-1.4841025088761173</v>
      </c>
      <c r="T33" s="52" t="str">
        <f t="shared" si="3"/>
        <v/>
      </c>
      <c r="U33" s="53" t="str">
        <f>IF(T33="","",[1]!s_pq_pctchange(C33,H33,I33-1))</f>
        <v/>
      </c>
      <c r="V33" s="53" t="str">
        <f>IF(T33="","",U33-[1]!s_pq_pctchange($A$3,H33,I33-1))</f>
        <v/>
      </c>
      <c r="W33" s="53" t="str">
        <f>IF(I33=0,"",[1]!s_pq_pctchange(C33,I33,I33+7))</f>
        <v/>
      </c>
      <c r="X33" s="53" t="str">
        <f>IF(I33=0,"",W33-[1]!s_pq_pctchange(A$3,I33,I33+7))</f>
        <v/>
      </c>
      <c r="Y33" s="53" t="str">
        <f>IF(I33=0,"",[1]!s_pq_pctchange(C33,I33,I33+28))</f>
        <v/>
      </c>
      <c r="Z33" s="53" t="str">
        <f>IF(I33=0,"",W33-[1]!s_pq_pctchange($A$3,I33,I33+28))</f>
        <v/>
      </c>
      <c r="AA33" s="53" t="str">
        <f>IF(I33=0,"",[1]!b_pq_pctchange(A33,I33,I33+6,4))</f>
        <v/>
      </c>
      <c r="AB33" s="53" t="str">
        <f>IF(I33=0,"",[1]!b_pq_pctchange(A33,I33,I33+27,4))</f>
        <v/>
      </c>
    </row>
    <row r="34" spans="1:28" ht="13.5" x14ac:dyDescent="0.15">
      <c r="A34" s="14" t="s">
        <v>267</v>
      </c>
      <c r="B34" s="35" t="str">
        <f>[1]!cb_info_name(A34)</f>
        <v>水晶转债</v>
      </c>
      <c r="C34" s="42" t="str">
        <f>[1]!cb_info_underlyingcode(A34)</f>
        <v>002273.SZ</v>
      </c>
      <c r="D34" s="42" t="str">
        <f>[1]!cb_info_underlyingname(A34)</f>
        <v>水晶光电</v>
      </c>
      <c r="E34" s="42" t="str">
        <f>[1]!s_refrmkd_preplandate(A34)</f>
        <v>2017-05-04</v>
      </c>
      <c r="F34" s="42" t="str">
        <f>[1]!cb_list_permitdate(A34)</f>
        <v>2017-08-09</v>
      </c>
      <c r="G34" s="42" t="str">
        <f>[1]!cb_list_announcedate(A34)</f>
        <v>2017-11-15</v>
      </c>
      <c r="H34" s="42" t="str">
        <f>[1]!cb_list_dtonl(A34)</f>
        <v>2017-11-17</v>
      </c>
      <c r="I34" s="42">
        <f>[1]!cb_info_listeddate(A34)</f>
        <v>0</v>
      </c>
      <c r="J34" s="42" t="str">
        <f>[1]!cb_info_maturitydate(A34)</f>
        <v>2023-11-17</v>
      </c>
      <c r="K34" s="42">
        <f t="shared" si="0"/>
        <v>197</v>
      </c>
      <c r="L34" s="52">
        <f t="shared" si="1"/>
        <v>98</v>
      </c>
      <c r="M34" s="53">
        <f>IF(L34="","",[1]!s_pq_pctchange(C34,F34,G34-1))</f>
        <v>33.648223121907336</v>
      </c>
      <c r="N34" s="54">
        <f>IF(L34="","",M34-[1]!s_pq_pctchange($A$3,G34,H34-1))</f>
        <v>33.510123212921727</v>
      </c>
      <c r="O34" s="52">
        <f t="shared" si="2"/>
        <v>2</v>
      </c>
      <c r="P34" s="53">
        <f>IF(O34="","",[1]!s_pq_pctchange(C34,G34,H34-1))</f>
        <v>-0.26926960619320095</v>
      </c>
      <c r="Q34" s="54">
        <f>IF(O34="","",P34-[1]!s_pq_pctchange($A$3,G34,H34-1))</f>
        <v>-0.40736951517881259</v>
      </c>
      <c r="R34" s="53">
        <f>IF(G34=0,"",[1]!s_pq_pctchange(C34,G34-3,G34-1))</f>
        <v>-2.6220911176663364</v>
      </c>
      <c r="S34" s="53">
        <f>IF(G34=0,"",R34-[1]!s_pq_pctchange($A$3,G34-3,G34-1))</f>
        <v>-2.3166321865493389</v>
      </c>
      <c r="T34" s="52" t="str">
        <f t="shared" si="3"/>
        <v/>
      </c>
      <c r="U34" s="53" t="str">
        <f>IF(T34="","",[1]!s_pq_pctchange(C34,H34,I34-1))</f>
        <v/>
      </c>
      <c r="V34" s="53" t="str">
        <f>IF(T34="","",U34-[1]!s_pq_pctchange($A$3,H34,I34-1))</f>
        <v/>
      </c>
      <c r="W34" s="53" t="str">
        <f>IF(I34=0,"",[1]!s_pq_pctchange(C34,I34,I34+7))</f>
        <v/>
      </c>
      <c r="X34" s="53" t="str">
        <f>IF(I34=0,"",W34-[1]!s_pq_pctchange(A$3,I34,I34+7))</f>
        <v/>
      </c>
      <c r="Y34" s="53" t="str">
        <f>IF(I34=0,"",[1]!s_pq_pctchange(C34,I34,I34+28))</f>
        <v/>
      </c>
      <c r="Z34" s="53" t="str">
        <f>IF(I34=0,"",W34-[1]!s_pq_pctchange($A$3,I34,I34+28))</f>
        <v/>
      </c>
      <c r="AA34" s="53" t="str">
        <f>IF(I34=0,"",[1]!b_pq_pctchange(A34,I34,I34+6,4))</f>
        <v/>
      </c>
      <c r="AB34" s="53" t="str">
        <f>IF(I34=0,"",[1]!b_pq_pctchange(A34,I34,I34+27,4))</f>
        <v/>
      </c>
    </row>
    <row r="35" spans="1:28" x14ac:dyDescent="0.15">
      <c r="L35" s="31"/>
      <c r="O35" s="31"/>
      <c r="T35" s="31"/>
    </row>
    <row r="36" spans="1:28" x14ac:dyDescent="0.15">
      <c r="L36" s="31"/>
      <c r="O36" s="31"/>
      <c r="T36" s="31"/>
    </row>
    <row r="37" spans="1:28" x14ac:dyDescent="0.15">
      <c r="L37" s="31"/>
      <c r="O37" s="31"/>
      <c r="T37" s="31"/>
    </row>
    <row r="38" spans="1:28" x14ac:dyDescent="0.15">
      <c r="L38" s="31"/>
      <c r="O38" s="31"/>
      <c r="T38" s="31"/>
    </row>
    <row r="39" spans="1:28" x14ac:dyDescent="0.15">
      <c r="L39" s="31"/>
      <c r="O39" s="31"/>
      <c r="T39" s="31"/>
    </row>
    <row r="40" spans="1:28" x14ac:dyDescent="0.15">
      <c r="L40" s="31"/>
      <c r="O40" s="31"/>
      <c r="T40" s="31"/>
    </row>
    <row r="41" spans="1:28" x14ac:dyDescent="0.15">
      <c r="L41" s="31"/>
      <c r="O41" s="31"/>
      <c r="T41" s="31"/>
    </row>
    <row r="42" spans="1:28" x14ac:dyDescent="0.15">
      <c r="L42" s="31"/>
      <c r="O42" s="31"/>
      <c r="T42" s="31"/>
    </row>
    <row r="43" spans="1:28" x14ac:dyDescent="0.15">
      <c r="L43" s="31"/>
      <c r="O43" s="31"/>
      <c r="T43" s="31"/>
    </row>
    <row r="44" spans="1:28" x14ac:dyDescent="0.15">
      <c r="L44" s="31"/>
      <c r="O44" s="31"/>
      <c r="T44" s="31"/>
    </row>
    <row r="45" spans="1:28" x14ac:dyDescent="0.15">
      <c r="L45" s="31"/>
      <c r="O45" s="31"/>
      <c r="T45" s="31"/>
    </row>
    <row r="46" spans="1:28" x14ac:dyDescent="0.15">
      <c r="L46" s="31"/>
      <c r="O46" s="31"/>
      <c r="T46" s="31"/>
    </row>
    <row r="47" spans="1:28" x14ac:dyDescent="0.15">
      <c r="L47" s="31"/>
      <c r="O47" s="31"/>
      <c r="T47" s="31"/>
    </row>
    <row r="48" spans="1:28" x14ac:dyDescent="0.15">
      <c r="L48" s="31"/>
      <c r="O48" s="31"/>
      <c r="T48" s="31"/>
    </row>
    <row r="49" spans="12:20" x14ac:dyDescent="0.15">
      <c r="L49" s="31"/>
      <c r="O49" s="31"/>
      <c r="T49" s="31"/>
    </row>
    <row r="50" spans="12:20" x14ac:dyDescent="0.15">
      <c r="L50" s="31"/>
      <c r="O50" s="31"/>
      <c r="T50" s="31"/>
    </row>
    <row r="51" spans="12:20" x14ac:dyDescent="0.15">
      <c r="L51" s="31"/>
      <c r="O51" s="31"/>
      <c r="T51" s="31"/>
    </row>
    <row r="52" spans="12:20" x14ac:dyDescent="0.15">
      <c r="L52" s="31"/>
      <c r="O52" s="31"/>
      <c r="T52" s="31"/>
    </row>
    <row r="53" spans="12:20" x14ac:dyDescent="0.15">
      <c r="L53" s="31"/>
      <c r="O53" s="31"/>
      <c r="T53" s="31"/>
    </row>
    <row r="54" spans="12:20" x14ac:dyDescent="0.15">
      <c r="L54" s="31"/>
      <c r="O54" s="31"/>
      <c r="T54" s="31"/>
    </row>
    <row r="55" spans="12:20" x14ac:dyDescent="0.15">
      <c r="L55" s="31"/>
      <c r="O55" s="31"/>
      <c r="T55" s="31"/>
    </row>
    <row r="56" spans="12:20" x14ac:dyDescent="0.15">
      <c r="L56" s="31"/>
      <c r="O56" s="31"/>
      <c r="T56" s="31"/>
    </row>
    <row r="57" spans="12:20" x14ac:dyDescent="0.15">
      <c r="L57" s="31"/>
      <c r="O57" s="31"/>
      <c r="T57" s="31"/>
    </row>
    <row r="58" spans="12:20" x14ac:dyDescent="0.15">
      <c r="L58" s="31"/>
      <c r="O58" s="31"/>
      <c r="T58" s="31"/>
    </row>
    <row r="59" spans="12:20" x14ac:dyDescent="0.15">
      <c r="L59" s="31"/>
      <c r="O59" s="31"/>
      <c r="T59" s="31"/>
    </row>
    <row r="60" spans="12:20" x14ac:dyDescent="0.15">
      <c r="L60" s="31"/>
      <c r="O60" s="31"/>
      <c r="T60" s="31"/>
    </row>
    <row r="61" spans="12:20" x14ac:dyDescent="0.15">
      <c r="L61" s="31"/>
      <c r="O61" s="31"/>
      <c r="T61" s="31"/>
    </row>
    <row r="62" spans="12:20" x14ac:dyDescent="0.15">
      <c r="L62" s="31"/>
      <c r="O62" s="31"/>
      <c r="T62" s="31"/>
    </row>
    <row r="63" spans="12:20" x14ac:dyDescent="0.15">
      <c r="L63" s="31"/>
      <c r="O63" s="31"/>
      <c r="T63" s="31"/>
    </row>
    <row r="64" spans="12:20" x14ac:dyDescent="0.15">
      <c r="L64" s="31"/>
      <c r="O64" s="31"/>
      <c r="T64" s="31"/>
    </row>
    <row r="65" spans="12:20" x14ac:dyDescent="0.15">
      <c r="L65" s="31"/>
      <c r="O65" s="31"/>
      <c r="T65" s="31"/>
    </row>
    <row r="66" spans="12:20" x14ac:dyDescent="0.15">
      <c r="L66" s="31"/>
      <c r="O66" s="31"/>
      <c r="T66" s="31"/>
    </row>
    <row r="67" spans="12:20" x14ac:dyDescent="0.15">
      <c r="L67" s="31"/>
      <c r="O67" s="31"/>
      <c r="T67" s="31"/>
    </row>
    <row r="68" spans="12:20" x14ac:dyDescent="0.15">
      <c r="L68" s="31"/>
      <c r="O68" s="31"/>
      <c r="T68" s="31"/>
    </row>
    <row r="69" spans="12:20" x14ac:dyDescent="0.15">
      <c r="L69" s="31"/>
      <c r="O69" s="31"/>
      <c r="T69" s="31"/>
    </row>
    <row r="70" spans="12:20" x14ac:dyDescent="0.15">
      <c r="L70" s="31"/>
      <c r="O70" s="31"/>
      <c r="T70" s="31"/>
    </row>
    <row r="71" spans="12:20" x14ac:dyDescent="0.15">
      <c r="L71" s="31"/>
      <c r="O71" s="31"/>
      <c r="T71" s="31"/>
    </row>
    <row r="72" spans="12:20" x14ac:dyDescent="0.15">
      <c r="L72" s="31"/>
      <c r="O72" s="31"/>
      <c r="T72" s="31"/>
    </row>
    <row r="73" spans="12:20" x14ac:dyDescent="0.15">
      <c r="L73" s="31"/>
      <c r="O73" s="31"/>
      <c r="T73" s="31"/>
    </row>
    <row r="74" spans="12:20" x14ac:dyDescent="0.15">
      <c r="L74" s="31"/>
      <c r="O74" s="31"/>
      <c r="T74" s="31"/>
    </row>
    <row r="75" spans="12:20" x14ac:dyDescent="0.15">
      <c r="L75" s="31"/>
      <c r="O75" s="31"/>
      <c r="T75" s="31"/>
    </row>
    <row r="76" spans="12:20" x14ac:dyDescent="0.15">
      <c r="L76" s="31"/>
      <c r="O76" s="31"/>
      <c r="T76" s="31"/>
    </row>
    <row r="77" spans="12:20" x14ac:dyDescent="0.15">
      <c r="L77" s="31"/>
      <c r="O77" s="31"/>
      <c r="T77" s="31"/>
    </row>
    <row r="78" spans="12:20" x14ac:dyDescent="0.15">
      <c r="L78" s="31"/>
      <c r="O78" s="31"/>
      <c r="T78" s="31"/>
    </row>
    <row r="79" spans="12:20" x14ac:dyDescent="0.15">
      <c r="L79" s="31"/>
      <c r="O79" s="31"/>
      <c r="T79" s="31"/>
    </row>
    <row r="80" spans="12:20" x14ac:dyDescent="0.15">
      <c r="L80" s="31"/>
      <c r="O80" s="31"/>
      <c r="T80" s="31"/>
    </row>
    <row r="81" spans="12:20" x14ac:dyDescent="0.15">
      <c r="L81" s="31"/>
      <c r="O81" s="31"/>
      <c r="T81" s="31"/>
    </row>
    <row r="82" spans="12:20" x14ac:dyDescent="0.15">
      <c r="L82" s="31"/>
      <c r="O82" s="31"/>
      <c r="T82" s="31"/>
    </row>
    <row r="83" spans="12:20" x14ac:dyDescent="0.15">
      <c r="L83" s="31"/>
      <c r="O83" s="31"/>
      <c r="T83" s="31"/>
    </row>
    <row r="84" spans="12:20" x14ac:dyDescent="0.15">
      <c r="L84" s="31"/>
      <c r="O84" s="31"/>
      <c r="T84" s="31"/>
    </row>
    <row r="85" spans="12:20" x14ac:dyDescent="0.15">
      <c r="L85" s="31"/>
      <c r="O85" s="31"/>
      <c r="T85" s="31"/>
    </row>
    <row r="86" spans="12:20" x14ac:dyDescent="0.15">
      <c r="L86" s="31"/>
      <c r="O86" s="31"/>
      <c r="T86" s="31"/>
    </row>
    <row r="87" spans="12:20" x14ac:dyDescent="0.15">
      <c r="L87" s="31"/>
      <c r="O87" s="31"/>
      <c r="T87" s="31"/>
    </row>
    <row r="88" spans="12:20" x14ac:dyDescent="0.15">
      <c r="L88" s="31"/>
      <c r="O88" s="31"/>
      <c r="T88" s="31"/>
    </row>
    <row r="89" spans="12:20" x14ac:dyDescent="0.15">
      <c r="L89" s="31"/>
      <c r="O89" s="31"/>
      <c r="T89" s="31"/>
    </row>
    <row r="90" spans="12:20" x14ac:dyDescent="0.15">
      <c r="L90" s="31"/>
      <c r="O90" s="31"/>
      <c r="T90" s="31"/>
    </row>
    <row r="91" spans="12:20" x14ac:dyDescent="0.15">
      <c r="L91" s="31"/>
      <c r="O91" s="31"/>
      <c r="T91" s="31"/>
    </row>
    <row r="92" spans="12:20" x14ac:dyDescent="0.15">
      <c r="L92" s="31"/>
      <c r="O92" s="31"/>
      <c r="T92" s="31"/>
    </row>
    <row r="93" spans="12:20" x14ac:dyDescent="0.15">
      <c r="L93" s="31"/>
      <c r="O93" s="31"/>
      <c r="T93" s="31"/>
    </row>
    <row r="94" spans="12:20" x14ac:dyDescent="0.15">
      <c r="L94" s="31"/>
      <c r="O94" s="31"/>
      <c r="T94" s="31"/>
    </row>
    <row r="95" spans="12:20" x14ac:dyDescent="0.15">
      <c r="L95" s="31"/>
      <c r="O95" s="31"/>
      <c r="T95" s="31"/>
    </row>
    <row r="96" spans="12:20" x14ac:dyDescent="0.15">
      <c r="L96" s="31"/>
      <c r="O96" s="31"/>
      <c r="T96" s="31"/>
    </row>
    <row r="97" spans="12:20" x14ac:dyDescent="0.15">
      <c r="L97" s="31"/>
      <c r="O97" s="31"/>
      <c r="T97" s="31"/>
    </row>
    <row r="98" spans="12:20" x14ac:dyDescent="0.15">
      <c r="L98" s="31"/>
      <c r="O98" s="31"/>
      <c r="T98" s="31"/>
    </row>
    <row r="99" spans="12:20" x14ac:dyDescent="0.15">
      <c r="L99" s="31"/>
      <c r="O99" s="31"/>
      <c r="T99" s="31"/>
    </row>
    <row r="100" spans="12:20" x14ac:dyDescent="0.15">
      <c r="L100" s="31"/>
      <c r="O100" s="31"/>
      <c r="T100" s="31"/>
    </row>
    <row r="101" spans="12:20" x14ac:dyDescent="0.15">
      <c r="L101" s="31"/>
      <c r="O101" s="31"/>
      <c r="T101" s="31"/>
    </row>
    <row r="102" spans="12:20" x14ac:dyDescent="0.15">
      <c r="L102" s="31"/>
      <c r="O102" s="31"/>
      <c r="T102" s="31"/>
    </row>
    <row r="103" spans="12:20" x14ac:dyDescent="0.15">
      <c r="L103" s="31"/>
      <c r="O103" s="31"/>
      <c r="T103" s="31"/>
    </row>
    <row r="104" spans="12:20" x14ac:dyDescent="0.15">
      <c r="L104" s="31"/>
      <c r="O104" s="31"/>
      <c r="T104" s="31"/>
    </row>
    <row r="105" spans="12:20" x14ac:dyDescent="0.15">
      <c r="L105" s="31"/>
      <c r="O105" s="31"/>
      <c r="T105" s="31"/>
    </row>
    <row r="106" spans="12:20" x14ac:dyDescent="0.15">
      <c r="L106" s="31"/>
      <c r="O106" s="31"/>
      <c r="T106" s="31"/>
    </row>
    <row r="107" spans="12:20" x14ac:dyDescent="0.15">
      <c r="L107" s="31"/>
      <c r="O107" s="31"/>
      <c r="T107" s="31"/>
    </row>
    <row r="108" spans="12:20" x14ac:dyDescent="0.15">
      <c r="L108" s="31"/>
      <c r="O108" s="31"/>
      <c r="T108" s="31"/>
    </row>
    <row r="109" spans="12:20" x14ac:dyDescent="0.15">
      <c r="L109" s="31"/>
      <c r="O109" s="31"/>
      <c r="T109" s="31"/>
    </row>
    <row r="110" spans="12:20" x14ac:dyDescent="0.15">
      <c r="L110" s="31"/>
      <c r="O110" s="31"/>
      <c r="T110" s="31"/>
    </row>
    <row r="111" spans="12:20" x14ac:dyDescent="0.15">
      <c r="L111" s="31"/>
      <c r="O111" s="31"/>
      <c r="T111" s="31"/>
    </row>
    <row r="112" spans="12:20" x14ac:dyDescent="0.15">
      <c r="L112" s="31"/>
      <c r="O112" s="31"/>
      <c r="T112" s="31"/>
    </row>
    <row r="113" spans="12:20" x14ac:dyDescent="0.15">
      <c r="L113" s="31"/>
      <c r="O113" s="31"/>
      <c r="T113" s="31"/>
    </row>
    <row r="114" spans="12:20" x14ac:dyDescent="0.15">
      <c r="L114" s="31"/>
      <c r="O114" s="31"/>
      <c r="T114" s="31"/>
    </row>
    <row r="115" spans="12:20" x14ac:dyDescent="0.15">
      <c r="L115" s="31"/>
      <c r="O115" s="31"/>
      <c r="T115" s="31"/>
    </row>
    <row r="116" spans="12:20" x14ac:dyDescent="0.15">
      <c r="L116" s="31"/>
      <c r="O116" s="31"/>
      <c r="T116" s="31"/>
    </row>
    <row r="117" spans="12:20" x14ac:dyDescent="0.15">
      <c r="L117" s="31"/>
      <c r="O117" s="31"/>
      <c r="T117" s="31"/>
    </row>
  </sheetData>
  <phoneticPr fontId="1"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C140"/>
  <sheetViews>
    <sheetView workbookViewId="0">
      <selection activeCell="C1" sqref="C1"/>
    </sheetView>
  </sheetViews>
  <sheetFormatPr defaultRowHeight="13.5" x14ac:dyDescent="0.15"/>
  <cols>
    <col min="1" max="3" width="9" style="14"/>
  </cols>
  <sheetData>
    <row r="1" spans="1:3" x14ac:dyDescent="0.15">
      <c r="A1" s="14" t="s">
        <v>0</v>
      </c>
      <c r="B1" s="14" t="s">
        <v>0</v>
      </c>
      <c r="C1" s="14" t="s">
        <v>84</v>
      </c>
    </row>
    <row r="2" spans="1:3" x14ac:dyDescent="0.15">
      <c r="A2" s="14" t="s">
        <v>1</v>
      </c>
      <c r="B2" s="14" t="s">
        <v>1</v>
      </c>
      <c r="C2" s="14" t="s">
        <v>85</v>
      </c>
    </row>
    <row r="3" spans="1:3" x14ac:dyDescent="0.15">
      <c r="A3" s="14" t="s">
        <v>2</v>
      </c>
      <c r="B3" s="14" t="s">
        <v>2</v>
      </c>
      <c r="C3" s="14" t="s">
        <v>86</v>
      </c>
    </row>
    <row r="4" spans="1:3" x14ac:dyDescent="0.15">
      <c r="A4" s="14" t="s">
        <v>3</v>
      </c>
      <c r="B4" s="14" t="s">
        <v>3</v>
      </c>
      <c r="C4" s="14" t="s">
        <v>87</v>
      </c>
    </row>
    <row r="5" spans="1:3" x14ac:dyDescent="0.15">
      <c r="A5" s="14" t="s">
        <v>4</v>
      </c>
      <c r="B5" s="14" t="s">
        <v>4</v>
      </c>
      <c r="C5" s="14" t="s">
        <v>88</v>
      </c>
    </row>
    <row r="6" spans="1:3" x14ac:dyDescent="0.15">
      <c r="A6" s="14" t="s">
        <v>5</v>
      </c>
      <c r="B6" s="14" t="s">
        <v>5</v>
      </c>
      <c r="C6" s="14" t="s">
        <v>89</v>
      </c>
    </row>
    <row r="7" spans="1:3" x14ac:dyDescent="0.15">
      <c r="A7" s="14" t="s">
        <v>6</v>
      </c>
      <c r="B7" s="14" t="s">
        <v>6</v>
      </c>
      <c r="C7" s="14" t="s">
        <v>266</v>
      </c>
    </row>
    <row r="8" spans="1:3" x14ac:dyDescent="0.15">
      <c r="A8" s="14" t="s">
        <v>7</v>
      </c>
      <c r="B8" s="14" t="s">
        <v>7</v>
      </c>
      <c r="C8" s="14" t="s">
        <v>90</v>
      </c>
    </row>
    <row r="9" spans="1:3" x14ac:dyDescent="0.15">
      <c r="A9" s="14" t="s">
        <v>8</v>
      </c>
      <c r="B9" s="14" t="s">
        <v>8</v>
      </c>
      <c r="C9" s="14" t="s">
        <v>91</v>
      </c>
    </row>
    <row r="10" spans="1:3" x14ac:dyDescent="0.15">
      <c r="A10" s="14" t="s">
        <v>9</v>
      </c>
      <c r="B10" s="14" t="s">
        <v>9</v>
      </c>
      <c r="C10" s="14" t="s">
        <v>92</v>
      </c>
    </row>
    <row r="11" spans="1:3" x14ac:dyDescent="0.15">
      <c r="A11" s="14" t="s">
        <v>10</v>
      </c>
      <c r="B11" s="14" t="s">
        <v>10</v>
      </c>
      <c r="C11" s="14" t="s">
        <v>93</v>
      </c>
    </row>
    <row r="12" spans="1:3" x14ac:dyDescent="0.15">
      <c r="A12" s="14" t="s">
        <v>11</v>
      </c>
      <c r="B12" s="14" t="s">
        <v>11</v>
      </c>
      <c r="C12" s="14" t="s">
        <v>94</v>
      </c>
    </row>
    <row r="13" spans="1:3" x14ac:dyDescent="0.15">
      <c r="A13" s="14" t="s">
        <v>12</v>
      </c>
      <c r="B13" s="14" t="s">
        <v>12</v>
      </c>
      <c r="C13" s="14" t="s">
        <v>95</v>
      </c>
    </row>
    <row r="14" spans="1:3" x14ac:dyDescent="0.15">
      <c r="A14" s="14" t="s">
        <v>13</v>
      </c>
      <c r="B14" s="14" t="s">
        <v>13</v>
      </c>
      <c r="C14" s="14" t="s">
        <v>96</v>
      </c>
    </row>
    <row r="15" spans="1:3" x14ac:dyDescent="0.15">
      <c r="A15" s="14" t="s">
        <v>14</v>
      </c>
      <c r="B15" s="14" t="s">
        <v>14</v>
      </c>
      <c r="C15" s="14" t="s">
        <v>97</v>
      </c>
    </row>
    <row r="16" spans="1:3" x14ac:dyDescent="0.15">
      <c r="A16" s="14" t="s">
        <v>15</v>
      </c>
      <c r="B16" s="14" t="s">
        <v>15</v>
      </c>
      <c r="C16" s="14" t="s">
        <v>98</v>
      </c>
    </row>
    <row r="17" spans="1:3" x14ac:dyDescent="0.15">
      <c r="A17" s="14" t="s">
        <v>16</v>
      </c>
      <c r="B17" s="14" t="s">
        <v>16</v>
      </c>
      <c r="C17" s="14" t="s">
        <v>99</v>
      </c>
    </row>
    <row r="18" spans="1:3" x14ac:dyDescent="0.15">
      <c r="A18" s="14" t="s">
        <v>17</v>
      </c>
      <c r="B18" s="14" t="s">
        <v>17</v>
      </c>
      <c r="C18" s="14" t="s">
        <v>100</v>
      </c>
    </row>
    <row r="19" spans="1:3" x14ac:dyDescent="0.15">
      <c r="A19" s="14" t="s">
        <v>18</v>
      </c>
      <c r="B19" s="14" t="s">
        <v>18</v>
      </c>
      <c r="C19" s="14" t="s">
        <v>101</v>
      </c>
    </row>
    <row r="20" spans="1:3" x14ac:dyDescent="0.15">
      <c r="A20" s="14" t="s">
        <v>19</v>
      </c>
      <c r="B20" s="14" t="s">
        <v>19</v>
      </c>
      <c r="C20" s="14" t="s">
        <v>102</v>
      </c>
    </row>
    <row r="21" spans="1:3" x14ac:dyDescent="0.15">
      <c r="A21" s="14" t="s">
        <v>20</v>
      </c>
      <c r="B21" s="14" t="s">
        <v>20</v>
      </c>
      <c r="C21" s="14" t="s">
        <v>103</v>
      </c>
    </row>
    <row r="22" spans="1:3" x14ac:dyDescent="0.15">
      <c r="A22" s="14" t="s">
        <v>21</v>
      </c>
      <c r="B22" s="14" t="s">
        <v>21</v>
      </c>
      <c r="C22" s="14" t="s">
        <v>104</v>
      </c>
    </row>
    <row r="23" spans="1:3" x14ac:dyDescent="0.15">
      <c r="A23" s="14" t="s">
        <v>22</v>
      </c>
      <c r="B23" s="14" t="s">
        <v>22</v>
      </c>
      <c r="C23" s="14" t="s">
        <v>105</v>
      </c>
    </row>
    <row r="24" spans="1:3" x14ac:dyDescent="0.15">
      <c r="A24" s="14" t="s">
        <v>23</v>
      </c>
      <c r="B24" s="14" t="s">
        <v>23</v>
      </c>
      <c r="C24" s="14" t="s">
        <v>106</v>
      </c>
    </row>
    <row r="25" spans="1:3" x14ac:dyDescent="0.15">
      <c r="A25" s="14" t="s">
        <v>24</v>
      </c>
      <c r="B25" s="14" t="s">
        <v>24</v>
      </c>
      <c r="C25" s="14" t="s">
        <v>107</v>
      </c>
    </row>
    <row r="26" spans="1:3" x14ac:dyDescent="0.15">
      <c r="A26" s="14" t="s">
        <v>25</v>
      </c>
      <c r="B26" s="14" t="s">
        <v>25</v>
      </c>
      <c r="C26" s="14" t="s">
        <v>108</v>
      </c>
    </row>
    <row r="27" spans="1:3" x14ac:dyDescent="0.15">
      <c r="A27" s="14" t="s">
        <v>26</v>
      </c>
      <c r="B27" s="14" t="s">
        <v>26</v>
      </c>
      <c r="C27" s="14" t="s">
        <v>109</v>
      </c>
    </row>
    <row r="28" spans="1:3" x14ac:dyDescent="0.15">
      <c r="A28" s="14" t="s">
        <v>27</v>
      </c>
      <c r="B28" s="14" t="s">
        <v>27</v>
      </c>
      <c r="C28" s="14" t="s">
        <v>110</v>
      </c>
    </row>
    <row r="29" spans="1:3" x14ac:dyDescent="0.15">
      <c r="A29" s="14" t="s">
        <v>28</v>
      </c>
      <c r="B29" s="14" t="s">
        <v>28</v>
      </c>
      <c r="C29" s="14" t="s">
        <v>111</v>
      </c>
    </row>
    <row r="30" spans="1:3" x14ac:dyDescent="0.15">
      <c r="A30" s="14" t="s">
        <v>29</v>
      </c>
      <c r="B30" s="14" t="s">
        <v>29</v>
      </c>
      <c r="C30" s="14" t="s">
        <v>267</v>
      </c>
    </row>
    <row r="31" spans="1:3" x14ac:dyDescent="0.15">
      <c r="A31" s="14" t="s">
        <v>30</v>
      </c>
      <c r="B31" s="14" t="s">
        <v>30</v>
      </c>
    </row>
    <row r="32" spans="1:3" x14ac:dyDescent="0.15">
      <c r="A32" s="14" t="s">
        <v>31</v>
      </c>
      <c r="B32" s="14" t="s">
        <v>31</v>
      </c>
    </row>
    <row r="33" spans="1:2" x14ac:dyDescent="0.15">
      <c r="A33" s="14" t="s">
        <v>32</v>
      </c>
      <c r="B33" s="14" t="s">
        <v>32</v>
      </c>
    </row>
    <row r="34" spans="1:2" x14ac:dyDescent="0.15">
      <c r="A34" s="14" t="s">
        <v>33</v>
      </c>
      <c r="B34" s="14" t="s">
        <v>33</v>
      </c>
    </row>
    <row r="35" spans="1:2" x14ac:dyDescent="0.15">
      <c r="A35" s="14" t="s">
        <v>34</v>
      </c>
      <c r="B35" s="14" t="s">
        <v>34</v>
      </c>
    </row>
    <row r="36" spans="1:2" x14ac:dyDescent="0.15">
      <c r="A36" s="14" t="s">
        <v>35</v>
      </c>
      <c r="B36" s="14" t="s">
        <v>35</v>
      </c>
    </row>
    <row r="37" spans="1:2" x14ac:dyDescent="0.15">
      <c r="A37" s="14" t="s">
        <v>36</v>
      </c>
      <c r="B37" s="14" t="s">
        <v>36</v>
      </c>
    </row>
    <row r="38" spans="1:2" x14ac:dyDescent="0.15">
      <c r="A38" s="14" t="s">
        <v>37</v>
      </c>
      <c r="B38" s="14" t="s">
        <v>37</v>
      </c>
    </row>
    <row r="39" spans="1:2" x14ac:dyDescent="0.15">
      <c r="A39" s="14" t="s">
        <v>38</v>
      </c>
      <c r="B39" s="14" t="s">
        <v>38</v>
      </c>
    </row>
    <row r="40" spans="1:2" x14ac:dyDescent="0.15">
      <c r="A40" s="14" t="s">
        <v>39</v>
      </c>
      <c r="B40" s="14" t="s">
        <v>39</v>
      </c>
    </row>
    <row r="41" spans="1:2" x14ac:dyDescent="0.15">
      <c r="A41" s="14" t="s">
        <v>40</v>
      </c>
      <c r="B41" s="14" t="s">
        <v>40</v>
      </c>
    </row>
    <row r="42" spans="1:2" x14ac:dyDescent="0.15">
      <c r="A42" s="14" t="s">
        <v>41</v>
      </c>
      <c r="B42" s="14" t="s">
        <v>41</v>
      </c>
    </row>
    <row r="43" spans="1:2" x14ac:dyDescent="0.15">
      <c r="A43" s="14" t="s">
        <v>42</v>
      </c>
      <c r="B43" s="14" t="s">
        <v>42</v>
      </c>
    </row>
    <row r="44" spans="1:2" x14ac:dyDescent="0.15">
      <c r="A44" s="14" t="s">
        <v>43</v>
      </c>
      <c r="B44" s="14" t="s">
        <v>43</v>
      </c>
    </row>
    <row r="45" spans="1:2" x14ac:dyDescent="0.15">
      <c r="A45" s="14" t="s">
        <v>44</v>
      </c>
      <c r="B45" s="14" t="s">
        <v>44</v>
      </c>
    </row>
    <row r="46" spans="1:2" x14ac:dyDescent="0.15">
      <c r="A46" s="14" t="s">
        <v>45</v>
      </c>
      <c r="B46" s="14" t="s">
        <v>45</v>
      </c>
    </row>
    <row r="47" spans="1:2" x14ac:dyDescent="0.15">
      <c r="A47" s="14" t="s">
        <v>46</v>
      </c>
      <c r="B47" s="14" t="s">
        <v>46</v>
      </c>
    </row>
    <row r="48" spans="1:2" x14ac:dyDescent="0.15">
      <c r="A48" s="14" t="s">
        <v>47</v>
      </c>
      <c r="B48" s="14" t="s">
        <v>47</v>
      </c>
    </row>
    <row r="49" spans="1:2" x14ac:dyDescent="0.15">
      <c r="A49" s="14" t="s">
        <v>48</v>
      </c>
      <c r="B49" s="14" t="s">
        <v>48</v>
      </c>
    </row>
    <row r="50" spans="1:2" x14ac:dyDescent="0.15">
      <c r="A50" s="14" t="s">
        <v>49</v>
      </c>
      <c r="B50" s="14" t="s">
        <v>49</v>
      </c>
    </row>
    <row r="51" spans="1:2" x14ac:dyDescent="0.15">
      <c r="A51" s="14" t="s">
        <v>50</v>
      </c>
      <c r="B51" s="14" t="s">
        <v>50</v>
      </c>
    </row>
    <row r="52" spans="1:2" x14ac:dyDescent="0.15">
      <c r="A52" s="14" t="s">
        <v>51</v>
      </c>
      <c r="B52" s="14" t="s">
        <v>51</v>
      </c>
    </row>
    <row r="53" spans="1:2" x14ac:dyDescent="0.15">
      <c r="A53" s="14" t="s">
        <v>52</v>
      </c>
      <c r="B53" s="14" t="s">
        <v>52</v>
      </c>
    </row>
    <row r="54" spans="1:2" x14ac:dyDescent="0.15">
      <c r="A54" s="14" t="s">
        <v>53</v>
      </c>
      <c r="B54" s="14" t="s">
        <v>53</v>
      </c>
    </row>
    <row r="55" spans="1:2" x14ac:dyDescent="0.15">
      <c r="A55" s="14" t="s">
        <v>54</v>
      </c>
      <c r="B55" s="14" t="s">
        <v>54</v>
      </c>
    </row>
    <row r="56" spans="1:2" x14ac:dyDescent="0.15">
      <c r="A56" s="14" t="s">
        <v>55</v>
      </c>
      <c r="B56" s="14" t="s">
        <v>55</v>
      </c>
    </row>
    <row r="57" spans="1:2" x14ac:dyDescent="0.15">
      <c r="A57" s="14" t="s">
        <v>56</v>
      </c>
      <c r="B57" s="14" t="s">
        <v>56</v>
      </c>
    </row>
    <row r="58" spans="1:2" x14ac:dyDescent="0.15">
      <c r="A58" s="14" t="s">
        <v>57</v>
      </c>
      <c r="B58" s="14" t="s">
        <v>57</v>
      </c>
    </row>
    <row r="59" spans="1:2" x14ac:dyDescent="0.15">
      <c r="A59" s="14" t="s">
        <v>58</v>
      </c>
      <c r="B59" s="14" t="s">
        <v>58</v>
      </c>
    </row>
    <row r="60" spans="1:2" x14ac:dyDescent="0.15">
      <c r="A60" s="14" t="s">
        <v>59</v>
      </c>
      <c r="B60" s="14" t="s">
        <v>59</v>
      </c>
    </row>
    <row r="61" spans="1:2" x14ac:dyDescent="0.15">
      <c r="A61" s="14" t="s">
        <v>60</v>
      </c>
      <c r="B61" s="14" t="s">
        <v>60</v>
      </c>
    </row>
    <row r="62" spans="1:2" x14ac:dyDescent="0.15">
      <c r="A62" s="14" t="s">
        <v>61</v>
      </c>
      <c r="B62" s="14" t="s">
        <v>61</v>
      </c>
    </row>
    <row r="63" spans="1:2" x14ac:dyDescent="0.15">
      <c r="A63" s="14" t="s">
        <v>62</v>
      </c>
      <c r="B63" s="14" t="s">
        <v>62</v>
      </c>
    </row>
    <row r="64" spans="1:2" x14ac:dyDescent="0.15">
      <c r="A64" s="14" t="s">
        <v>63</v>
      </c>
      <c r="B64" s="14" t="s">
        <v>63</v>
      </c>
    </row>
    <row r="65" spans="1:2" x14ac:dyDescent="0.15">
      <c r="A65" s="14" t="s">
        <v>64</v>
      </c>
      <c r="B65" s="14" t="s">
        <v>64</v>
      </c>
    </row>
    <row r="66" spans="1:2" x14ac:dyDescent="0.15">
      <c r="A66" s="14" t="s">
        <v>65</v>
      </c>
      <c r="B66" s="14" t="s">
        <v>65</v>
      </c>
    </row>
    <row r="67" spans="1:2" x14ac:dyDescent="0.15">
      <c r="A67" s="14" t="s">
        <v>66</v>
      </c>
      <c r="B67" s="14" t="s">
        <v>66</v>
      </c>
    </row>
    <row r="68" spans="1:2" x14ac:dyDescent="0.15">
      <c r="A68" s="14" t="s">
        <v>67</v>
      </c>
      <c r="B68" s="14" t="s">
        <v>67</v>
      </c>
    </row>
    <row r="69" spans="1:2" x14ac:dyDescent="0.15">
      <c r="A69" s="14" t="s">
        <v>68</v>
      </c>
      <c r="B69" s="14" t="s">
        <v>68</v>
      </c>
    </row>
    <row r="70" spans="1:2" x14ac:dyDescent="0.15">
      <c r="A70" s="14" t="s">
        <v>69</v>
      </c>
      <c r="B70" s="14" t="s">
        <v>69</v>
      </c>
    </row>
    <row r="71" spans="1:2" x14ac:dyDescent="0.15">
      <c r="A71" s="14" t="s">
        <v>70</v>
      </c>
      <c r="B71" s="14" t="s">
        <v>70</v>
      </c>
    </row>
    <row r="72" spans="1:2" x14ac:dyDescent="0.15">
      <c r="A72" s="14" t="s">
        <v>71</v>
      </c>
      <c r="B72" s="14" t="s">
        <v>71</v>
      </c>
    </row>
    <row r="73" spans="1:2" x14ac:dyDescent="0.15">
      <c r="A73" s="14" t="s">
        <v>72</v>
      </c>
      <c r="B73" s="14" t="s">
        <v>72</v>
      </c>
    </row>
    <row r="74" spans="1:2" x14ac:dyDescent="0.15">
      <c r="A74" s="14" t="s">
        <v>73</v>
      </c>
      <c r="B74" s="14" t="s">
        <v>73</v>
      </c>
    </row>
    <row r="75" spans="1:2" x14ac:dyDescent="0.15">
      <c r="A75" s="14" t="s">
        <v>74</v>
      </c>
      <c r="B75" s="14" t="s">
        <v>74</v>
      </c>
    </row>
    <row r="76" spans="1:2" x14ac:dyDescent="0.15">
      <c r="A76" s="14" t="s">
        <v>75</v>
      </c>
      <c r="B76" s="14" t="s">
        <v>75</v>
      </c>
    </row>
    <row r="77" spans="1:2" x14ac:dyDescent="0.15">
      <c r="A77" s="14" t="s">
        <v>76</v>
      </c>
      <c r="B77" s="14" t="s">
        <v>76</v>
      </c>
    </row>
    <row r="78" spans="1:2" x14ac:dyDescent="0.15">
      <c r="A78" s="14" t="s">
        <v>77</v>
      </c>
      <c r="B78" s="14" t="s">
        <v>77</v>
      </c>
    </row>
    <row r="79" spans="1:2" x14ac:dyDescent="0.15">
      <c r="A79" s="14" t="s">
        <v>78</v>
      </c>
      <c r="B79" s="14" t="s">
        <v>78</v>
      </c>
    </row>
    <row r="80" spans="1:2" x14ac:dyDescent="0.15">
      <c r="A80" s="14" t="s">
        <v>79</v>
      </c>
      <c r="B80" s="14" t="s">
        <v>79</v>
      </c>
    </row>
    <row r="81" spans="1:2" x14ac:dyDescent="0.15">
      <c r="A81" s="14" t="s">
        <v>80</v>
      </c>
      <c r="B81" s="14" t="s">
        <v>80</v>
      </c>
    </row>
    <row r="82" spans="1:2" x14ac:dyDescent="0.15">
      <c r="A82" s="14" t="s">
        <v>81</v>
      </c>
      <c r="B82" s="14" t="s">
        <v>81</v>
      </c>
    </row>
    <row r="83" spans="1:2" x14ac:dyDescent="0.15">
      <c r="A83" s="14" t="s">
        <v>82</v>
      </c>
      <c r="B83" s="14" t="s">
        <v>82</v>
      </c>
    </row>
    <row r="84" spans="1:2" x14ac:dyDescent="0.15">
      <c r="A84" s="14" t="s">
        <v>83</v>
      </c>
      <c r="B84" s="14" t="s">
        <v>83</v>
      </c>
    </row>
    <row r="85" spans="1:2" x14ac:dyDescent="0.15">
      <c r="A85" s="14" t="s">
        <v>268</v>
      </c>
      <c r="B85" s="14" t="s">
        <v>268</v>
      </c>
    </row>
    <row r="86" spans="1:2" x14ac:dyDescent="0.15">
      <c r="A86" s="14" t="s">
        <v>269</v>
      </c>
      <c r="B86" s="14" t="s">
        <v>269</v>
      </c>
    </row>
    <row r="87" spans="1:2" x14ac:dyDescent="0.15">
      <c r="A87" s="14" t="s">
        <v>270</v>
      </c>
      <c r="B87" s="14" t="s">
        <v>270</v>
      </c>
    </row>
    <row r="88" spans="1:2" x14ac:dyDescent="0.15">
      <c r="A88" s="14" t="s">
        <v>271</v>
      </c>
      <c r="B88" s="14" t="s">
        <v>271</v>
      </c>
    </row>
    <row r="89" spans="1:2" x14ac:dyDescent="0.15">
      <c r="A89" s="14" t="s">
        <v>272</v>
      </c>
      <c r="B89" s="14" t="s">
        <v>272</v>
      </c>
    </row>
    <row r="90" spans="1:2" x14ac:dyDescent="0.15">
      <c r="A90" s="14" t="s">
        <v>273</v>
      </c>
      <c r="B90" s="14" t="s">
        <v>273</v>
      </c>
    </row>
    <row r="91" spans="1:2" x14ac:dyDescent="0.15">
      <c r="A91" s="14" t="s">
        <v>274</v>
      </c>
      <c r="B91" s="14" t="s">
        <v>274</v>
      </c>
    </row>
    <row r="92" spans="1:2" x14ac:dyDescent="0.15">
      <c r="A92" s="14" t="s">
        <v>275</v>
      </c>
      <c r="B92" s="14" t="s">
        <v>275</v>
      </c>
    </row>
    <row r="93" spans="1:2" x14ac:dyDescent="0.15">
      <c r="A93" s="14" t="s">
        <v>276</v>
      </c>
      <c r="B93" s="14" t="s">
        <v>276</v>
      </c>
    </row>
    <row r="94" spans="1:2" x14ac:dyDescent="0.15">
      <c r="A94" s="14" t="s">
        <v>277</v>
      </c>
      <c r="B94" s="14" t="s">
        <v>277</v>
      </c>
    </row>
    <row r="95" spans="1:2" x14ac:dyDescent="0.15">
      <c r="A95" s="14" t="s">
        <v>278</v>
      </c>
      <c r="B95" s="14" t="s">
        <v>278</v>
      </c>
    </row>
    <row r="96" spans="1:2" x14ac:dyDescent="0.15">
      <c r="A96" s="14" t="s">
        <v>279</v>
      </c>
      <c r="B96" s="14" t="s">
        <v>279</v>
      </c>
    </row>
    <row r="97" spans="1:2" x14ac:dyDescent="0.15">
      <c r="A97" s="14" t="s">
        <v>280</v>
      </c>
      <c r="B97" s="14" t="s">
        <v>280</v>
      </c>
    </row>
    <row r="98" spans="1:2" x14ac:dyDescent="0.15">
      <c r="A98" s="14" t="s">
        <v>281</v>
      </c>
      <c r="B98" s="14" t="s">
        <v>281</v>
      </c>
    </row>
    <row r="99" spans="1:2" x14ac:dyDescent="0.15">
      <c r="A99" s="14" t="s">
        <v>282</v>
      </c>
      <c r="B99" s="14" t="s">
        <v>282</v>
      </c>
    </row>
    <row r="100" spans="1:2" x14ac:dyDescent="0.15">
      <c r="A100" s="14" t="s">
        <v>283</v>
      </c>
      <c r="B100" s="14" t="s">
        <v>283</v>
      </c>
    </row>
    <row r="101" spans="1:2" x14ac:dyDescent="0.15">
      <c r="A101" s="14" t="s">
        <v>284</v>
      </c>
      <c r="B101" s="14" t="s">
        <v>284</v>
      </c>
    </row>
    <row r="102" spans="1:2" x14ac:dyDescent="0.15">
      <c r="A102" s="14" t="s">
        <v>285</v>
      </c>
      <c r="B102" s="14" t="s">
        <v>285</v>
      </c>
    </row>
    <row r="103" spans="1:2" x14ac:dyDescent="0.15">
      <c r="A103" s="14" t="s">
        <v>286</v>
      </c>
      <c r="B103" s="14" t="s">
        <v>286</v>
      </c>
    </row>
    <row r="104" spans="1:2" x14ac:dyDescent="0.15">
      <c r="A104" s="14" t="s">
        <v>287</v>
      </c>
      <c r="B104" s="14" t="s">
        <v>287</v>
      </c>
    </row>
    <row r="105" spans="1:2" x14ac:dyDescent="0.15">
      <c r="A105" s="14" t="s">
        <v>288</v>
      </c>
      <c r="B105" s="14" t="s">
        <v>288</v>
      </c>
    </row>
    <row r="106" spans="1:2" x14ac:dyDescent="0.15">
      <c r="A106" s="14" t="s">
        <v>289</v>
      </c>
      <c r="B106" s="14" t="s">
        <v>289</v>
      </c>
    </row>
    <row r="107" spans="1:2" x14ac:dyDescent="0.15">
      <c r="A107" s="14" t="s">
        <v>290</v>
      </c>
      <c r="B107" s="14" t="s">
        <v>290</v>
      </c>
    </row>
    <row r="108" spans="1:2" x14ac:dyDescent="0.15">
      <c r="A108" s="14" t="s">
        <v>291</v>
      </c>
      <c r="B108" s="14" t="s">
        <v>291</v>
      </c>
    </row>
    <row r="109" spans="1:2" x14ac:dyDescent="0.15">
      <c r="A109" s="14" t="s">
        <v>292</v>
      </c>
      <c r="B109" s="14" t="s">
        <v>292</v>
      </c>
    </row>
    <row r="110" spans="1:2" x14ac:dyDescent="0.15">
      <c r="A110" s="14" t="s">
        <v>293</v>
      </c>
      <c r="B110" s="14" t="s">
        <v>293</v>
      </c>
    </row>
    <row r="111" spans="1:2" x14ac:dyDescent="0.15">
      <c r="A111" s="14" t="s">
        <v>84</v>
      </c>
    </row>
    <row r="112" spans="1:2" x14ac:dyDescent="0.15">
      <c r="A112" s="14" t="s">
        <v>85</v>
      </c>
    </row>
    <row r="113" spans="1:1" x14ac:dyDescent="0.15">
      <c r="A113" s="14" t="s">
        <v>86</v>
      </c>
    </row>
    <row r="114" spans="1:1" x14ac:dyDescent="0.15">
      <c r="A114" s="14" t="s">
        <v>87</v>
      </c>
    </row>
    <row r="115" spans="1:1" x14ac:dyDescent="0.15">
      <c r="A115" s="14" t="s">
        <v>88</v>
      </c>
    </row>
    <row r="116" spans="1:1" x14ac:dyDescent="0.15">
      <c r="A116" s="14" t="s">
        <v>89</v>
      </c>
    </row>
    <row r="117" spans="1:1" x14ac:dyDescent="0.15">
      <c r="A117" s="14" t="s">
        <v>266</v>
      </c>
    </row>
    <row r="118" spans="1:1" x14ac:dyDescent="0.15">
      <c r="A118" s="14" t="s">
        <v>90</v>
      </c>
    </row>
    <row r="119" spans="1:1" x14ac:dyDescent="0.15">
      <c r="A119" s="14" t="s">
        <v>91</v>
      </c>
    </row>
    <row r="120" spans="1:1" x14ac:dyDescent="0.15">
      <c r="A120" s="14" t="s">
        <v>92</v>
      </c>
    </row>
    <row r="121" spans="1:1" x14ac:dyDescent="0.15">
      <c r="A121" s="14" t="s">
        <v>93</v>
      </c>
    </row>
    <row r="122" spans="1:1" x14ac:dyDescent="0.15">
      <c r="A122" s="14" t="s">
        <v>94</v>
      </c>
    </row>
    <row r="123" spans="1:1" x14ac:dyDescent="0.15">
      <c r="A123" s="14" t="s">
        <v>95</v>
      </c>
    </row>
    <row r="124" spans="1:1" x14ac:dyDescent="0.15">
      <c r="A124" s="14" t="s">
        <v>96</v>
      </c>
    </row>
    <row r="125" spans="1:1" x14ac:dyDescent="0.15">
      <c r="A125" s="14" t="s">
        <v>97</v>
      </c>
    </row>
    <row r="126" spans="1:1" x14ac:dyDescent="0.15">
      <c r="A126" s="14" t="s">
        <v>98</v>
      </c>
    </row>
    <row r="127" spans="1:1" x14ac:dyDescent="0.15">
      <c r="A127" s="14" t="s">
        <v>99</v>
      </c>
    </row>
    <row r="128" spans="1:1" x14ac:dyDescent="0.15">
      <c r="A128" s="14" t="s">
        <v>100</v>
      </c>
    </row>
    <row r="129" spans="1:1" x14ac:dyDescent="0.15">
      <c r="A129" s="14" t="s">
        <v>101</v>
      </c>
    </row>
    <row r="130" spans="1:1" x14ac:dyDescent="0.15">
      <c r="A130" s="14" t="s">
        <v>102</v>
      </c>
    </row>
    <row r="131" spans="1:1" x14ac:dyDescent="0.15">
      <c r="A131" s="14" t="s">
        <v>103</v>
      </c>
    </row>
    <row r="132" spans="1:1" x14ac:dyDescent="0.15">
      <c r="A132" s="14" t="s">
        <v>104</v>
      </c>
    </row>
    <row r="133" spans="1:1" x14ac:dyDescent="0.15">
      <c r="A133" s="14" t="s">
        <v>105</v>
      </c>
    </row>
    <row r="134" spans="1:1" x14ac:dyDescent="0.15">
      <c r="A134" s="14" t="s">
        <v>106</v>
      </c>
    </row>
    <row r="135" spans="1:1" x14ac:dyDescent="0.15">
      <c r="A135" s="14" t="s">
        <v>107</v>
      </c>
    </row>
    <row r="136" spans="1:1" x14ac:dyDescent="0.15">
      <c r="A136" s="14" t="s">
        <v>108</v>
      </c>
    </row>
    <row r="137" spans="1:1" x14ac:dyDescent="0.15">
      <c r="A137" s="14" t="s">
        <v>109</v>
      </c>
    </row>
    <row r="138" spans="1:1" x14ac:dyDescent="0.15">
      <c r="A138" s="14" t="s">
        <v>110</v>
      </c>
    </row>
    <row r="139" spans="1:1" x14ac:dyDescent="0.15">
      <c r="A139" s="14" t="s">
        <v>111</v>
      </c>
    </row>
    <row r="140" spans="1:1" x14ac:dyDescent="0.15">
      <c r="A140" s="14" t="s">
        <v>267</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5</vt:i4>
      </vt:variant>
    </vt:vector>
  </HeadingPairs>
  <TitlesOfParts>
    <vt:vector size="5" baseType="lpstr">
      <vt:lpstr>转债资料</vt:lpstr>
      <vt:lpstr>转债条款</vt:lpstr>
      <vt:lpstr>发行指标</vt:lpstr>
      <vt:lpstr> 转债阶段表现</vt:lpstr>
      <vt:lpstr>code</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2017-11-17T02:01:47Z</dcterms:modified>
</cp:coreProperties>
</file>