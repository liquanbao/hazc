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autorun\期现套利机会监控\"/>
    </mc:Choice>
  </mc:AlternateContent>
  <bookViews>
    <workbookView xWindow="0" yWindow="0" windowWidth="28800" windowHeight="12120"/>
  </bookViews>
  <sheets>
    <sheet name="使用说明" sheetId="3" r:id="rId1"/>
    <sheet name="期现套利" sheetId="1" r:id="rId2"/>
    <sheet name="Data" sheetId="4" state="hidden" r:id="rId3"/>
    <sheet name="Warn" sheetId="2" state="hidden" r:id="rId4"/>
  </sheets>
  <externalReferences>
    <externalReference r:id="rId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1" i="1" l="1"/>
  <c r="E27" i="1"/>
  <c r="E22" i="1"/>
  <c r="N27" i="1"/>
  <c r="N21" i="1"/>
  <c r="N25" i="1"/>
  <c r="N31" i="1"/>
  <c r="N26" i="1"/>
  <c r="N28" i="1"/>
  <c r="F25" i="1"/>
  <c r="E19" i="1"/>
  <c r="E29" i="1"/>
  <c r="N23" i="1"/>
  <c r="N22" i="1"/>
  <c r="E24" i="1"/>
  <c r="E28" i="1"/>
  <c r="E26" i="1"/>
  <c r="E30" i="1"/>
  <c r="F29" i="1"/>
  <c r="F21" i="1"/>
  <c r="N19" i="1"/>
  <c r="E20" i="1"/>
  <c r="E25" i="1"/>
  <c r="N24" i="1"/>
  <c r="N20" i="1"/>
  <c r="E23" i="1"/>
  <c r="N29" i="1"/>
  <c r="E31" i="1"/>
  <c r="N30" i="1"/>
  <c r="D24" i="1"/>
  <c r="D27" i="1"/>
  <c r="D30" i="1"/>
  <c r="D31" i="1"/>
  <c r="D22" i="1"/>
  <c r="H22" i="1"/>
  <c r="D29" i="1"/>
  <c r="H30" i="1"/>
  <c r="D19" i="1"/>
  <c r="D20" i="1"/>
  <c r="D28" i="1"/>
  <c r="D26" i="1"/>
  <c r="D23" i="1"/>
  <c r="H26" i="1"/>
  <c r="H27" i="1"/>
  <c r="H31" i="1"/>
  <c r="D21" i="1"/>
  <c r="H23" i="1"/>
  <c r="D25" i="1"/>
  <c r="F11" i="1" l="1"/>
  <c r="F12" i="1"/>
  <c r="F13" i="1"/>
  <c r="F14" i="1"/>
  <c r="F15" i="1"/>
  <c r="F16" i="1"/>
  <c r="F3" i="1"/>
  <c r="F4" i="1"/>
  <c r="F5" i="1"/>
  <c r="F6" i="1"/>
  <c r="F7" i="1"/>
  <c r="F8" i="1"/>
  <c r="C6" i="1"/>
  <c r="F31" i="1"/>
  <c r="G8" i="1" s="1"/>
  <c r="G16" i="1" s="1"/>
  <c r="H16" i="1" s="1"/>
  <c r="F30" i="1"/>
  <c r="G7" i="1" s="1"/>
  <c r="G15" i="1" s="1"/>
  <c r="H15" i="1" s="1"/>
  <c r="F27" i="1"/>
  <c r="G6" i="1" s="1"/>
  <c r="G14" i="1" s="1"/>
  <c r="H14" i="1" s="1"/>
  <c r="F26" i="1"/>
  <c r="G5" i="1" s="1"/>
  <c r="G13" i="1" s="1"/>
  <c r="H13" i="1" s="1"/>
  <c r="F23" i="1"/>
  <c r="G4" i="1" s="1"/>
  <c r="G12" i="1" s="1"/>
  <c r="H12" i="1" s="1"/>
  <c r="F22" i="1"/>
  <c r="G3" i="1" s="1"/>
  <c r="G11" i="1" s="1"/>
  <c r="H11" i="1" s="1"/>
  <c r="J23" i="1"/>
  <c r="J31" i="1"/>
  <c r="J24" i="1"/>
  <c r="J26" i="1"/>
  <c r="J25" i="1"/>
  <c r="J28" i="1"/>
  <c r="J27" i="1"/>
  <c r="J30" i="1"/>
  <c r="J29" i="1"/>
  <c r="J22" i="1"/>
  <c r="J21" i="1"/>
  <c r="J20" i="1"/>
  <c r="L27" i="1" l="1"/>
  <c r="L23" i="1"/>
  <c r="L30" i="1"/>
  <c r="L26" i="1"/>
  <c r="L22" i="1"/>
  <c r="L31" i="1"/>
  <c r="K27" i="1"/>
  <c r="K22" i="1"/>
  <c r="K8" i="1"/>
  <c r="K31" i="1"/>
  <c r="K23" i="1"/>
  <c r="K30" i="1"/>
  <c r="K26" i="1"/>
  <c r="K5" i="1"/>
  <c r="K15" i="1"/>
  <c r="K11" i="1"/>
  <c r="K16" i="1"/>
  <c r="K14" i="1"/>
  <c r="K6" i="1"/>
  <c r="K12" i="1"/>
  <c r="H4" i="1"/>
  <c r="H5" i="1"/>
  <c r="H3" i="1"/>
  <c r="H7" i="1"/>
  <c r="M23" i="1"/>
  <c r="M22" i="1"/>
  <c r="H8" i="1"/>
  <c r="K3" i="1"/>
  <c r="M30" i="1"/>
  <c r="M31" i="1"/>
  <c r="M26" i="1"/>
  <c r="M27" i="1"/>
  <c r="H6" i="1"/>
  <c r="K4" i="1"/>
  <c r="K7" i="1"/>
  <c r="K13" i="1"/>
  <c r="I14" i="1" l="1"/>
  <c r="J14" i="1" s="1"/>
  <c r="I12" i="1"/>
  <c r="J12" i="1" s="1"/>
  <c r="I15" i="1"/>
  <c r="J15" i="1" s="1"/>
  <c r="I16" i="1"/>
  <c r="J16" i="1" s="1"/>
  <c r="I13" i="1"/>
  <c r="J13" i="1" s="1"/>
  <c r="I11" i="1"/>
  <c r="J11" i="1" s="1"/>
  <c r="I3" i="1"/>
  <c r="J3" i="1" s="1"/>
  <c r="I6" i="1"/>
  <c r="J6" i="1" s="1"/>
  <c r="I8" i="1"/>
  <c r="J8" i="1" s="1"/>
  <c r="I5" i="1"/>
  <c r="J5" i="1" s="1"/>
  <c r="I7" i="1"/>
  <c r="J7" i="1" s="1"/>
  <c r="I4" i="1"/>
  <c r="J4" i="1" s="1"/>
  <c r="N14" i="1" l="1"/>
  <c r="N16" i="1"/>
  <c r="N15" i="1"/>
  <c r="L14" i="1"/>
  <c r="M14" i="1" s="1"/>
  <c r="A12" i="2" s="1"/>
  <c r="L16" i="1"/>
  <c r="M16" i="1" s="1"/>
  <c r="L13" i="1"/>
  <c r="M13" i="1" s="1"/>
  <c r="L15" i="1"/>
  <c r="M15" i="1" s="1"/>
  <c r="A13" i="2" s="1"/>
  <c r="L11" i="1"/>
  <c r="M11" i="1" s="1"/>
  <c r="A9" i="2" s="1"/>
  <c r="L12" i="1"/>
  <c r="M12" i="1" s="1"/>
  <c r="A10" i="2" s="1"/>
  <c r="L4" i="1"/>
  <c r="M4" i="1" s="1"/>
  <c r="A2" i="2" s="1"/>
  <c r="L7" i="1"/>
  <c r="M7" i="1" s="1"/>
  <c r="A5" i="2" s="1"/>
  <c r="L5" i="1"/>
  <c r="M5" i="1" s="1"/>
  <c r="A3" i="2" s="1"/>
  <c r="L6" i="1"/>
  <c r="M6" i="1" s="1"/>
  <c r="A4" i="2" s="1"/>
  <c r="L8" i="1"/>
  <c r="M8" i="1" s="1"/>
  <c r="A6" i="2" s="1"/>
  <c r="L3" i="1"/>
  <c r="M3" i="1" s="1"/>
  <c r="A1" i="2" s="1"/>
  <c r="A11" i="2" l="1"/>
  <c r="B11" i="2" s="1"/>
  <c r="A14" i="2"/>
  <c r="B14" i="2" s="1"/>
  <c r="B3" i="2"/>
  <c r="N11" i="1"/>
  <c r="B9" i="2"/>
  <c r="B12" i="2"/>
  <c r="B13" i="2"/>
  <c r="N12" i="1"/>
  <c r="B10" i="2"/>
  <c r="N13" i="1"/>
  <c r="N4" i="1"/>
  <c r="B2" i="2"/>
  <c r="N7" i="1"/>
  <c r="B5" i="2"/>
  <c r="N8" i="1"/>
  <c r="B6" i="2"/>
  <c r="N6" i="1"/>
  <c r="B4" i="2"/>
  <c r="N5" i="1"/>
  <c r="N3" i="1"/>
  <c r="B1" i="2" l="1"/>
  <c r="D9" i="2"/>
</calcChain>
</file>

<file path=xl/sharedStrings.xml><?xml version="1.0" encoding="utf-8"?>
<sst xmlns="http://schemas.openxmlformats.org/spreadsheetml/2006/main" count="89" uniqueCount="81">
  <si>
    <t>510050.SH</t>
    <phoneticPr fontId="2" type="noConversion"/>
  </si>
  <si>
    <t>000016.SH</t>
    <phoneticPr fontId="2" type="noConversion"/>
  </si>
  <si>
    <t>IH00.CFE</t>
    <phoneticPr fontId="2" type="noConversion"/>
  </si>
  <si>
    <t>IH01.CFE</t>
    <phoneticPr fontId="2" type="noConversion"/>
  </si>
  <si>
    <t>最新价</t>
    <phoneticPr fontId="2" type="noConversion"/>
  </si>
  <si>
    <t>coef</t>
    <phoneticPr fontId="2" type="noConversion"/>
  </si>
  <si>
    <t>单位市值</t>
    <phoneticPr fontId="2" type="noConversion"/>
  </si>
  <si>
    <t>510300.SH</t>
    <phoneticPr fontId="2" type="noConversion"/>
  </si>
  <si>
    <t>000300.SH</t>
    <phoneticPr fontId="2" type="noConversion"/>
  </si>
  <si>
    <t>IF00.CFE</t>
    <phoneticPr fontId="2" type="noConversion"/>
  </si>
  <si>
    <t>IF01.CFE</t>
    <phoneticPr fontId="2" type="noConversion"/>
  </si>
  <si>
    <t>510500.SH</t>
    <phoneticPr fontId="2" type="noConversion"/>
  </si>
  <si>
    <t>000905.SH</t>
    <phoneticPr fontId="2" type="noConversion"/>
  </si>
  <si>
    <t>IC00.CFE</t>
    <phoneticPr fontId="2" type="noConversion"/>
  </si>
  <si>
    <t>IC01.CFE</t>
    <phoneticPr fontId="2" type="noConversion"/>
  </si>
  <si>
    <t>名称</t>
    <phoneticPr fontId="2" type="noConversion"/>
  </si>
  <si>
    <t>代码</t>
    <phoneticPr fontId="2" type="noConversion"/>
  </si>
  <si>
    <t>更新时间</t>
    <phoneticPr fontId="2" type="noConversion"/>
  </si>
  <si>
    <t>距离交割</t>
    <phoneticPr fontId="2" type="noConversion"/>
  </si>
  <si>
    <t>参数</t>
    <phoneticPr fontId="2" type="noConversion"/>
  </si>
  <si>
    <t>204007.SH</t>
    <phoneticPr fontId="2" type="noConversion"/>
  </si>
  <si>
    <t>融资成本</t>
    <phoneticPr fontId="2" type="noConversion"/>
  </si>
  <si>
    <t>保证金比率</t>
    <phoneticPr fontId="2" type="noConversion"/>
  </si>
  <si>
    <t>溢价点数</t>
    <phoneticPr fontId="2" type="noConversion"/>
  </si>
  <si>
    <t>ETF成本</t>
    <phoneticPr fontId="2" type="noConversion"/>
  </si>
  <si>
    <t>期货成本</t>
    <phoneticPr fontId="2" type="noConversion"/>
  </si>
  <si>
    <t>毛利</t>
    <phoneticPr fontId="2" type="noConversion"/>
  </si>
  <si>
    <t>净利</t>
    <phoneticPr fontId="2" type="noConversion"/>
  </si>
  <si>
    <t>交易成本</t>
    <phoneticPr fontId="2" type="noConversion"/>
  </si>
  <si>
    <t>超额盈利</t>
    <phoneticPr fontId="2" type="noConversion"/>
  </si>
  <si>
    <t>成交额</t>
    <phoneticPr fontId="2" type="noConversion"/>
  </si>
  <si>
    <t>净利年化</t>
    <phoneticPr fontId="2" type="noConversion"/>
  </si>
  <si>
    <t>超额年化</t>
    <phoneticPr fontId="2" type="noConversion"/>
  </si>
  <si>
    <t>资金占用</t>
    <phoneticPr fontId="2" type="noConversion"/>
  </si>
  <si>
    <t>基差空间</t>
    <phoneticPr fontId="2" type="noConversion"/>
  </si>
  <si>
    <t>正向套利</t>
    <phoneticPr fontId="2" type="noConversion"/>
  </si>
  <si>
    <t>反向套利</t>
    <phoneticPr fontId="2" type="noConversion"/>
  </si>
  <si>
    <t>预期分红</t>
    <phoneticPr fontId="2" type="noConversion"/>
  </si>
  <si>
    <t xml:space="preserve"> </t>
    <phoneticPr fontId="2" type="noConversion"/>
  </si>
  <si>
    <t>激活次数</t>
    <phoneticPr fontId="2" type="noConversion"/>
  </si>
  <si>
    <t>刷新次数</t>
    <phoneticPr fontId="2" type="noConversion"/>
  </si>
  <si>
    <t>窗体top</t>
    <phoneticPr fontId="2" type="noConversion"/>
  </si>
  <si>
    <t>窗体left</t>
    <phoneticPr fontId="2" type="noConversion"/>
  </si>
  <si>
    <t>逆回购</t>
    <phoneticPr fontId="2" type="noConversion"/>
  </si>
  <si>
    <t>上证50</t>
    <phoneticPr fontId="2" type="noConversion"/>
  </si>
  <si>
    <t>沪深300</t>
    <phoneticPr fontId="2" type="noConversion"/>
  </si>
  <si>
    <t>中证500</t>
    <phoneticPr fontId="2" type="noConversion"/>
  </si>
  <si>
    <t>当前版本</t>
    <phoneticPr fontId="6" type="noConversion"/>
  </si>
  <si>
    <t>操作说明</t>
    <phoneticPr fontId="6" type="noConversion"/>
  </si>
  <si>
    <t>表格内容</t>
    <phoneticPr fontId="6" type="noConversion"/>
  </si>
  <si>
    <t>关键指标</t>
    <phoneticPr fontId="6" type="noConversion"/>
  </si>
  <si>
    <t>版本升级</t>
    <phoneticPr fontId="6" type="noConversion"/>
  </si>
  <si>
    <t>v1.0</t>
    <phoneticPr fontId="6" type="noConversion"/>
  </si>
  <si>
    <t>v1.1</t>
    <phoneticPr fontId="6" type="noConversion"/>
  </si>
  <si>
    <t>ver1.0</t>
  </si>
  <si>
    <t>期现套利机会监控</t>
    <phoneticPr fontId="6" type="noConversion"/>
  </si>
  <si>
    <t>期现套利</t>
    <phoneticPr fontId="6" type="noConversion"/>
  </si>
  <si>
    <t>期现套利机会跟踪，根据实时数据计算</t>
    <phoneticPr fontId="6" type="noConversion"/>
  </si>
  <si>
    <t>1.需要启用VBA宏和Wind插件，且Wind插件处于已登录状态。</t>
    <phoneticPr fontId="6" type="noConversion"/>
  </si>
  <si>
    <t>Warn(隐藏)</t>
    <phoneticPr fontId="6" type="noConversion"/>
  </si>
  <si>
    <t>预警使用说明：</t>
    <phoneticPr fontId="2" type="noConversion"/>
  </si>
  <si>
    <t>B列为A列为1时的提示内容</t>
    <phoneticPr fontId="2" type="noConversion"/>
  </si>
  <si>
    <t>回购成本</t>
    <phoneticPr fontId="2" type="noConversion"/>
  </si>
  <si>
    <t>逆回购收益</t>
    <phoneticPr fontId="2" type="noConversion"/>
  </si>
  <si>
    <t>净利、净利年化</t>
    <phoneticPr fontId="2" type="noConversion"/>
  </si>
  <si>
    <t>超额盈利、超额年化</t>
    <phoneticPr fontId="2" type="noConversion"/>
  </si>
  <si>
    <t>溢价点数</t>
    <phoneticPr fontId="6" type="noConversion"/>
  </si>
  <si>
    <t>预期分红</t>
    <phoneticPr fontId="6" type="noConversion"/>
  </si>
  <si>
    <t>预警行数</t>
    <phoneticPr fontId="2" type="noConversion"/>
  </si>
  <si>
    <t>Data(隐藏)</t>
    <phoneticPr fontId="2" type="noConversion"/>
  </si>
  <si>
    <t>期现套利实时计算，预警监控</t>
    <phoneticPr fontId="2" type="noConversion"/>
  </si>
  <si>
    <t>扣除手续费后的绝对收益金额及其年化收益率</t>
    <phoneticPr fontId="2" type="noConversion"/>
  </si>
  <si>
    <t>净利扣除资金成本或增加回购收益后的超额收益金额及其年化收益率</t>
    <phoneticPr fontId="2" type="noConversion"/>
  </si>
  <si>
    <t>预警监控设置，A列为预警信号，B列为提示内容</t>
    <phoneticPr fontId="6" type="noConversion"/>
  </si>
  <si>
    <t>在到期期限内，ETF相对指数的超额收益点数</t>
    <phoneticPr fontId="2" type="noConversion"/>
  </si>
  <si>
    <t>(ETF-IOPV)x1000；期货-指数</t>
    <phoneticPr fontId="2" type="noConversion"/>
  </si>
  <si>
    <t>预警阈值</t>
    <phoneticPr fontId="2" type="noConversion"/>
  </si>
  <si>
    <t>正向超额</t>
    <phoneticPr fontId="2" type="noConversion"/>
  </si>
  <si>
    <t>负向超额</t>
    <phoneticPr fontId="2" type="noConversion"/>
  </si>
  <si>
    <t>A列为信号值，1时表示预警</t>
    <phoneticPr fontId="2" type="noConversion"/>
  </si>
  <si>
    <t>ver1.0</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</si>
</sst>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rgb="FF000000"/>
      <name val="等线"/>
      <family val="3"/>
      <charset val="134"/>
    </font>
    <font>
      <sz val="11"/>
      <color theme="1"/>
      <name val="等线"/>
      <family val="3"/>
      <charset val="134"/>
      <scheme val="minor"/>
    </font>
    <font>
      <b/>
      <sz val="16"/>
      <color indexed="8"/>
      <name val="等线"/>
      <family val="3"/>
      <charset val="134"/>
      <scheme val="minor"/>
    </font>
    <font>
      <sz val="9"/>
      <name val="等线"/>
      <family val="3"/>
      <charset val="134"/>
      <scheme val="minor"/>
    </font>
    <font>
      <b/>
      <sz val="11"/>
      <color indexed="8"/>
      <name val="等线"/>
      <family val="3"/>
      <charset val="134"/>
      <scheme val="minor"/>
    </font>
    <font>
      <b/>
      <sz val="11"/>
      <name val="等线"/>
      <family val="3"/>
      <charset val="134"/>
      <scheme val="minor"/>
    </font>
    <font>
      <sz val="11"/>
      <name val="等线"/>
      <family val="3"/>
      <charset val="134"/>
      <scheme val="minor"/>
    </font>
    <font>
      <b/>
      <sz val="11"/>
      <color theme="1"/>
      <name val="等线"/>
      <family val="3"/>
      <charset val="134"/>
      <scheme val="minor"/>
    </font>
  </fonts>
  <fills count="2">
    <fill>
      <patternFill patternType="none"/>
    </fill>
    <fill>
      <patternFill patternType="gray125"/>
    </fill>
  </fills>
  <borders count="1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9" fontId="1" fillId="0" borderId="0" applyFont="0" applyFill="0" applyBorder="0" applyAlignment="0" applyProtection="0">
      <alignment vertical="center"/>
    </xf>
  </cellStyleXfs>
  <cellXfs count="54">
    <xf numFmtId="0" fontId="0" fillId="0" borderId="0" xfId="0">
      <alignment vertical="center"/>
    </xf>
    <xf numFmtId="0" fontId="0" fillId="0" borderId="0" xfId="0" applyBorder="1">
      <alignment vertical="center"/>
    </xf>
    <xf numFmtId="10" fontId="0" fillId="0" borderId="0" xfId="1" applyNumberFormat="1" applyFont="1" applyBorder="1">
      <alignment vertical="center"/>
    </xf>
    <xf numFmtId="0" fontId="0" fillId="0" borderId="0" xfId="0" applyNumberFormat="1" applyBorder="1">
      <alignment vertical="center"/>
    </xf>
    <xf numFmtId="1" fontId="0" fillId="0" borderId="0" xfId="0" applyNumberFormat="1" applyBorder="1">
      <alignment vertical="center"/>
    </xf>
    <xf numFmtId="1" fontId="0" fillId="0" borderId="0" xfId="0" applyNumberFormat="1" applyBorder="1" applyAlignment="1">
      <alignment horizontal="righ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10" fontId="0" fillId="0" borderId="7" xfId="1" applyNumberFormat="1" applyFont="1" applyBorder="1">
      <alignment vertical="center"/>
    </xf>
    <xf numFmtId="1" fontId="0" fillId="0" borderId="8" xfId="0" applyNumberFormat="1" applyBorder="1">
      <alignment vertical="center"/>
    </xf>
    <xf numFmtId="10" fontId="0" fillId="0" borderId="8" xfId="1" applyNumberFormat="1" applyFont="1" applyBorder="1">
      <alignment vertical="center"/>
    </xf>
    <xf numFmtId="1" fontId="0" fillId="0" borderId="8" xfId="0" applyNumberFormat="1" applyBorder="1" applyAlignment="1">
      <alignment horizontal="right" vertical="center"/>
    </xf>
    <xf numFmtId="0" fontId="0" fillId="0" borderId="8" xfId="0" applyNumberFormat="1" applyBorder="1">
      <alignment vertical="center"/>
    </xf>
    <xf numFmtId="0" fontId="0" fillId="0" borderId="10" xfId="0" applyBorder="1">
      <alignment vertical="center"/>
    </xf>
    <xf numFmtId="0" fontId="0" fillId="0" borderId="10" xfId="0" applyNumberFormat="1" applyBorder="1">
      <alignment vertical="center"/>
    </xf>
    <xf numFmtId="0" fontId="0" fillId="0" borderId="11" xfId="0" applyBorder="1">
      <alignment vertical="center"/>
    </xf>
    <xf numFmtId="0" fontId="0" fillId="0" borderId="13" xfId="0" applyBorder="1">
      <alignment vertical="center"/>
    </xf>
    <xf numFmtId="0" fontId="0" fillId="0" borderId="13" xfId="0" applyNumberFormat="1" applyBorder="1">
      <alignment vertical="center"/>
    </xf>
    <xf numFmtId="0" fontId="0" fillId="0" borderId="14" xfId="0" applyBorder="1">
      <alignment vertical="center"/>
    </xf>
    <xf numFmtId="0" fontId="0" fillId="0" borderId="16" xfId="0" applyBorder="1">
      <alignment vertical="center"/>
    </xf>
    <xf numFmtId="0" fontId="0" fillId="0" borderId="16" xfId="0" applyNumberFormat="1" applyBorder="1">
      <alignment vertical="center"/>
    </xf>
    <xf numFmtId="0" fontId="0" fillId="0" borderId="17" xfId="0" applyBorder="1">
      <alignment vertical="center"/>
    </xf>
    <xf numFmtId="1" fontId="0" fillId="0" borderId="10" xfId="0" applyNumberFormat="1" applyBorder="1">
      <alignment vertical="center"/>
    </xf>
    <xf numFmtId="10" fontId="0" fillId="0" borderId="10" xfId="1" applyNumberFormat="1" applyFont="1" applyBorder="1">
      <alignment vertical="center"/>
    </xf>
    <xf numFmtId="1" fontId="0" fillId="0" borderId="10" xfId="0" applyNumberFormat="1" applyBorder="1" applyAlignment="1">
      <alignment horizontal="right" vertical="center"/>
    </xf>
    <xf numFmtId="0" fontId="4" fillId="0" borderId="0" xfId="0" applyFont="1">
      <alignment vertical="center"/>
    </xf>
    <xf numFmtId="0" fontId="7" fillId="0" borderId="18" xfId="0" applyFont="1" applyBorder="1" applyAlignment="1">
      <alignment horizontal="center" vertical="center" wrapText="1"/>
    </xf>
    <xf numFmtId="0" fontId="8" fillId="0" borderId="18" xfId="0" applyFont="1" applyBorder="1" applyAlignment="1">
      <alignment horizontal="center" vertical="center" wrapText="1"/>
    </xf>
    <xf numFmtId="14" fontId="9" fillId="0" borderId="18" xfId="0" applyNumberFormat="1" applyFont="1" applyBorder="1" applyAlignment="1">
      <alignment horizontal="center" vertical="center" wrapText="1"/>
    </xf>
    <xf numFmtId="0" fontId="0" fillId="0" borderId="18" xfId="0" applyBorder="1" applyAlignment="1">
      <alignment vertical="center" wrapText="1"/>
    </xf>
    <xf numFmtId="0" fontId="0" fillId="0" borderId="18" xfId="0" applyBorder="1">
      <alignment vertical="center"/>
    </xf>
    <xf numFmtId="0" fontId="0" fillId="0" borderId="0" xfId="0" applyAlignment="1">
      <alignment horizontal="left" vertical="center" indent="1"/>
    </xf>
    <xf numFmtId="0" fontId="10" fillId="0" borderId="18" xfId="0" applyFont="1" applyBorder="1" applyAlignment="1">
      <alignment horizontal="center" vertical="center"/>
    </xf>
    <xf numFmtId="0" fontId="0" fillId="0" borderId="12" xfId="0" applyBorder="1" applyAlignment="1">
      <alignment horizontal="center" vertical="center"/>
    </xf>
    <xf numFmtId="0" fontId="0" fillId="0" borderId="3" xfId="0" applyFill="1" applyBorder="1">
      <alignment vertical="center"/>
    </xf>
    <xf numFmtId="0" fontId="0" fillId="0" borderId="1" xfId="0" applyFill="1" applyBorder="1">
      <alignment vertical="center"/>
    </xf>
    <xf numFmtId="9" fontId="0" fillId="0" borderId="4" xfId="0" applyNumberFormat="1" applyBorder="1">
      <alignment vertical="center"/>
    </xf>
    <xf numFmtId="0" fontId="0" fillId="0" borderId="5" xfId="0" applyFill="1" applyBorder="1">
      <alignment vertical="center"/>
    </xf>
    <xf numFmtId="9" fontId="0" fillId="0" borderId="6" xfId="0" applyNumberFormat="1" applyBorder="1">
      <alignment vertical="center"/>
    </xf>
    <xf numFmtId="9" fontId="0" fillId="0" borderId="6" xfId="1" applyFont="1" applyBorder="1">
      <alignment vertical="center"/>
    </xf>
    <xf numFmtId="10" fontId="0" fillId="0" borderId="4" xfId="1" applyNumberFormat="1" applyFont="1" applyBorder="1">
      <alignment vertical="center"/>
    </xf>
    <xf numFmtId="0" fontId="5" fillId="0" borderId="0" xfId="0" applyFont="1" applyAlignment="1">
      <alignment horizontal="center" vertical="center"/>
    </xf>
    <xf numFmtId="0" fontId="0" fillId="0" borderId="18" xfId="0" applyBorder="1" applyAlignment="1">
      <alignment horizontal="left" vertical="center" wrapText="1"/>
    </xf>
    <xf numFmtId="0" fontId="7" fillId="0" borderId="18" xfId="0" applyFont="1" applyBorder="1" applyAlignment="1">
      <alignment horizontal="center" vertical="center" wrapText="1"/>
    </xf>
    <xf numFmtId="0" fontId="0" fillId="0" borderId="9"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5" xfId="0" applyBorder="1" applyAlignment="1">
      <alignment horizontal="center" vertical="center"/>
    </xf>
  </cellXfs>
  <cellStyles count="2">
    <cellStyle name="百分比" xfId="1" builtinId="5"/>
    <cellStyle name="常规"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t="s">
        <v>10:55:01</v>
        <stp/>
        <stp>IH00.CFE</stp>
        <stp>Update_Time</stp>
        <stp>RT_Price</stp>
        <tr r="N22" s="1"/>
      </tp>
      <tp t="s">
        <v>10:55:01</v>
        <stp/>
        <stp>IF00.CFE</stp>
        <stp>Update_Time</stp>
        <stp>RT_Price</stp>
        <tr r="N26" s="1"/>
      </tp>
      <tp t="s">
        <v>10:55:01</v>
        <stp/>
        <stp>IC00.CFE</stp>
        <stp>Update_Time</stp>
        <stp>RT_Price</stp>
        <tr r="N30" s="1"/>
      </tp>
      <tp t="s">
        <v>10:54:53</v>
        <stp/>
        <stp>IH01.CFE</stp>
        <stp>Update_Time</stp>
        <stp>RT_Price</stp>
        <tr r="N23" s="1"/>
      </tp>
      <tp t="s">
        <v>10:54:58</v>
        <stp/>
        <stp>IF01.CFE</stp>
        <stp>Update_Time</stp>
        <stp>RT_Price</stp>
        <tr r="N27" s="1"/>
      </tp>
      <tp t="s">
        <v>10:54:58</v>
        <stp/>
        <stp>IC01.CFE</stp>
        <stp>Update_Time</stp>
        <stp>RT_Price</stp>
        <tr r="N31" s="1"/>
      </tp>
      <tp t="s">
        <v>10:54:59</v>
        <stp/>
        <stp>000905.SH</stp>
        <stp>Update_Time</stp>
        <stp>RT_Price</stp>
        <tr r="N28" s="1"/>
      </tp>
      <tp t="s">
        <v>10:54:59</v>
        <stp/>
        <stp>000300.SH</stp>
        <stp>Update_Time</stp>
        <stp>RT_Price</stp>
        <tr r="N24" s="1"/>
      </tp>
      <tp t="s">
        <v>10:54:59</v>
        <stp/>
        <stp>510300.SH</stp>
        <stp>Update_Time</stp>
        <stp>RT_Price</stp>
        <tr r="N25" s="1"/>
      </tp>
      <tp t="s">
        <v>10:54:59</v>
        <stp/>
        <stp>204007.SH</stp>
        <stp>Update_Time</stp>
        <stp>RT_Price</stp>
        <tr r="N19" s="1"/>
      </tp>
      <tp t="s">
        <v>10:54:59</v>
        <stp/>
        <stp>510050.SH</stp>
        <stp>Update_Time</stp>
        <stp>RT_Price</stp>
        <tr r="N21" s="1"/>
      </tp>
      <tp t="s">
        <v>10:54:59</v>
        <stp/>
        <stp>000016.SH</stp>
        <stp>Update_Time</stp>
        <stp>RT_Price</stp>
        <tr r="N20" s="1"/>
      </tp>
      <tp t="s">
        <v>10:54:59</v>
        <stp/>
        <stp>510500.SH</stp>
        <stp>Update_Time</stp>
        <stp>RT_Price</stp>
        <tr r="N29" s="1"/>
      </tp>
      <tp>
        <v>6588.13</v>
        <stp/>
        <stp>000905.SH</stp>
        <stp>LastPrice</stp>
        <stp>RT_Price</stp>
        <tr r="E28" s="1"/>
      </tp>
      <tp>
        <v>2754.66</v>
        <stp/>
        <stp>000016.SH</stp>
        <stp>LastPrice</stp>
        <stp>RT_Price</stp>
        <tr r="E20" s="1"/>
      </tp>
      <tp>
        <v>3.84</v>
        <stp/>
        <stp>204007.SH</stp>
        <stp>LastPrice</stp>
        <stp>RT_Price</stp>
        <tr r="E19" s="1"/>
      </tp>
      <tp>
        <v>3951.9900000000002</v>
        <stp/>
        <stp>000300.SH</stp>
        <stp>LastPrice</stp>
        <stp>RT_Price</stp>
        <tr r="E24" s="1"/>
      </tp>
      <tp>
        <v>2.8050000000000002</v>
        <stp/>
        <stp>510050.SH</stp>
        <stp>LastPrice</stp>
        <stp>RT_Price</stp>
        <tr r="E21" s="1"/>
      </tp>
      <tp>
        <v>4.0069999999999997</v>
        <stp/>
        <stp>510300.SH</stp>
        <stp>LastPrice</stp>
        <stp>RT_Price</stp>
        <tr r="E25" s="1"/>
      </tp>
      <tp>
        <v>6.9350000000000005</v>
        <stp/>
        <stp>510500.SH</stp>
        <stp>LastPrice</stp>
        <stp>RT_Price</stp>
        <tr r="E29" s="1"/>
      </tp>
      <tp>
        <v>-2E-3</v>
        <stp/>
        <stp>510500.SH</stp>
        <stp>PREMIUM</stp>
        <stp>RT_Price</stp>
        <tr r="F29" s="1"/>
      </tp>
      <tp>
        <v>6529.8</v>
        <stp/>
        <stp>IC00.CFE</stp>
        <stp>LastPrice</stp>
        <stp>RT_Price</stp>
        <tr r="E30" s="1"/>
      </tp>
      <tp>
        <v>6499.2</v>
        <stp/>
        <stp>IC01.CFE</stp>
        <stp>LastPrice</stp>
        <stp>RT_Price</stp>
        <tr r="E31" s="1"/>
      </tp>
      <tp>
        <v>3935.6</v>
        <stp/>
        <stp>IF00.CFE</stp>
        <stp>LastPrice</stp>
        <stp>RT_Price</stp>
        <tr r="E26" s="1"/>
      </tp>
      <tp>
        <v>3930</v>
        <stp/>
        <stp>IF01.CFE</stp>
        <stp>LastPrice</stp>
        <stp>RT_Price</stp>
        <tr r="E27" s="1"/>
      </tp>
      <tp>
        <v>2758.6</v>
        <stp/>
        <stp>IH00.CFE</stp>
        <stp>LastPrice</stp>
        <stp>RT_Price</stp>
        <tr r="E22" s="1"/>
      </tp>
      <tp>
        <v>2763</v>
        <stp/>
        <stp>IH01.CFE</stp>
        <stp>LastPrice</stp>
        <stp>RT_Price</stp>
        <tr r="E23" s="1"/>
      </tp>
      <tp>
        <v>-4.0000000000000001E-3</v>
        <stp/>
        <stp>510050.SH</stp>
        <stp>PREMIUM</stp>
        <stp>RT_Price</stp>
        <tr r="F21" s="1"/>
      </tp>
      <tp>
        <v>-5.0000000000000001E-3</v>
        <stp/>
        <stp>510300.SH</stp>
        <stp>PREMIUM</stp>
        <stp>RT_Price</stp>
        <tr r="F25" s="1"/>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3543300</xdr:colOff>
          <xdr:row>2</xdr:row>
          <xdr:rowOff>19050</xdr:rowOff>
        </xdr:from>
        <xdr:to>
          <xdr:col>3</xdr:col>
          <xdr:colOff>4772025</xdr:colOff>
          <xdr:row>2</xdr:row>
          <xdr:rowOff>428625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检查更新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12</xdr:row>
          <xdr:rowOff>19050</xdr:rowOff>
        </xdr:from>
        <xdr:to>
          <xdr:col>2</xdr:col>
          <xdr:colOff>704850</xdr:colOff>
          <xdr:row>14</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66675</xdr:rowOff>
        </xdr:from>
        <xdr:to>
          <xdr:col>3</xdr:col>
          <xdr:colOff>733425</xdr:colOff>
          <xdr:row>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s_info_code2"/>
      <definedName name="s_info_lddate"/>
      <definedName name="S_Info_Name"/>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D13"/>
  <sheetViews>
    <sheetView tabSelected="1" workbookViewId="0">
      <selection activeCell="D12" sqref="D12"/>
    </sheetView>
  </sheetViews>
  <sheetFormatPr defaultRowHeight="14.25" x14ac:dyDescent="0.2"/>
  <cols>
    <col min="2" max="2" width="12.125" customWidth="1"/>
    <col min="3" max="3" width="19.25" bestFit="1" customWidth="1"/>
    <col min="4" max="4" width="62.875" customWidth="1"/>
  </cols>
  <sheetData>
    <row r="2" spans="2:4" ht="36" customHeight="1" x14ac:dyDescent="0.2">
      <c r="B2" s="47" t="s">
        <v>55</v>
      </c>
      <c r="C2" s="47"/>
      <c r="D2" s="47"/>
    </row>
    <row r="3" spans="2:4" ht="36" customHeight="1" x14ac:dyDescent="0.2">
      <c r="B3" s="33" t="s">
        <v>47</v>
      </c>
      <c r="C3" s="34" t="s">
        <v>80</v>
      </c>
      <c r="D3" s="36"/>
    </row>
    <row r="4" spans="2:4" ht="42" customHeight="1" x14ac:dyDescent="0.2">
      <c r="B4" s="32" t="s">
        <v>48</v>
      </c>
      <c r="C4" s="48" t="s">
        <v>58</v>
      </c>
      <c r="D4" s="48"/>
    </row>
    <row r="5" spans="2:4" ht="36" customHeight="1" x14ac:dyDescent="0.2">
      <c r="B5" s="49" t="s">
        <v>49</v>
      </c>
      <c r="C5" s="32" t="s">
        <v>56</v>
      </c>
      <c r="D5" s="35" t="s">
        <v>57</v>
      </c>
    </row>
    <row r="6" spans="2:4" ht="36" customHeight="1" x14ac:dyDescent="0.2">
      <c r="B6" s="49"/>
      <c r="C6" s="32" t="s">
        <v>69</v>
      </c>
      <c r="D6" s="35"/>
    </row>
    <row r="7" spans="2:4" ht="36" customHeight="1" x14ac:dyDescent="0.2">
      <c r="B7" s="49"/>
      <c r="C7" s="32" t="s">
        <v>59</v>
      </c>
      <c r="D7" s="35" t="s">
        <v>73</v>
      </c>
    </row>
    <row r="8" spans="2:4" ht="36" customHeight="1" x14ac:dyDescent="0.2">
      <c r="B8" s="49" t="s">
        <v>50</v>
      </c>
      <c r="C8" s="38" t="s">
        <v>64</v>
      </c>
      <c r="D8" s="35" t="s">
        <v>71</v>
      </c>
    </row>
    <row r="9" spans="2:4" ht="36" customHeight="1" x14ac:dyDescent="0.2">
      <c r="B9" s="49"/>
      <c r="C9" s="38" t="s">
        <v>65</v>
      </c>
      <c r="D9" s="35" t="s">
        <v>72</v>
      </c>
    </row>
    <row r="10" spans="2:4" ht="36" customHeight="1" x14ac:dyDescent="0.2">
      <c r="B10" s="49"/>
      <c r="C10" s="32" t="s">
        <v>66</v>
      </c>
      <c r="D10" s="35" t="s">
        <v>75</v>
      </c>
    </row>
    <row r="11" spans="2:4" ht="36" customHeight="1" x14ac:dyDescent="0.2">
      <c r="B11" s="49"/>
      <c r="C11" s="32" t="s">
        <v>67</v>
      </c>
      <c r="D11" s="35" t="s">
        <v>74</v>
      </c>
    </row>
    <row r="12" spans="2:4" ht="36" customHeight="1" x14ac:dyDescent="0.2">
      <c r="B12" s="49" t="s">
        <v>51</v>
      </c>
      <c r="C12" s="32" t="s">
        <v>52</v>
      </c>
      <c r="D12" s="35" t="s">
        <v>70</v>
      </c>
    </row>
    <row r="13" spans="2:4" ht="36" customHeight="1" x14ac:dyDescent="0.2">
      <c r="B13" s="49"/>
      <c r="C13" s="32" t="s">
        <v>53</v>
      </c>
      <c r="D13" s="35"/>
    </row>
  </sheetData>
  <mergeCells count="5">
    <mergeCell ref="B2:D2"/>
    <mergeCell ref="C4:D4"/>
    <mergeCell ref="B5:B7"/>
    <mergeCell ref="B8:B11"/>
    <mergeCell ref="B12:B1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heck_update">
                <anchor moveWithCells="1" sizeWithCells="1">
                  <from>
                    <xdr:col>3</xdr:col>
                    <xdr:colOff>3543300</xdr:colOff>
                    <xdr:row>2</xdr:row>
                    <xdr:rowOff>19050</xdr:rowOff>
                  </from>
                  <to>
                    <xdr:col>3</xdr:col>
                    <xdr:colOff>4772025</xdr:colOff>
                    <xdr:row>2</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B1:O31"/>
  <sheetViews>
    <sheetView workbookViewId="0">
      <selection activeCell="O16" sqref="O16"/>
    </sheetView>
  </sheetViews>
  <sheetFormatPr defaultRowHeight="14.25" x14ac:dyDescent="0.2"/>
  <cols>
    <col min="1" max="1" width="2.25" customWidth="1"/>
    <col min="2" max="10" width="10" style="1" customWidth="1"/>
    <col min="11" max="11" width="11.125" style="1" customWidth="1"/>
    <col min="12" max="12" width="10" style="1" customWidth="1"/>
    <col min="13" max="13" width="9.5" style="1" bestFit="1" customWidth="1"/>
    <col min="14" max="14" width="14.375" style="1" bestFit="1" customWidth="1"/>
    <col min="15" max="15" width="10" style="1" customWidth="1"/>
    <col min="16" max="16" width="10" customWidth="1"/>
  </cols>
  <sheetData>
    <row r="1" spans="2:14" ht="15" thickBot="1" x14ac:dyDescent="0.25"/>
    <row r="2" spans="2:14" ht="15" thickBot="1" x14ac:dyDescent="0.25">
      <c r="E2" s="6"/>
      <c r="F2" s="12" t="s">
        <v>16</v>
      </c>
      <c r="G2" s="12" t="s">
        <v>34</v>
      </c>
      <c r="H2" s="12" t="s">
        <v>26</v>
      </c>
      <c r="I2" s="12" t="s">
        <v>27</v>
      </c>
      <c r="J2" s="14" t="s">
        <v>31</v>
      </c>
      <c r="K2" s="12" t="s">
        <v>62</v>
      </c>
      <c r="L2" s="12" t="s">
        <v>29</v>
      </c>
      <c r="M2" s="12" t="s">
        <v>32</v>
      </c>
      <c r="N2" s="7"/>
    </row>
    <row r="3" spans="2:14" x14ac:dyDescent="0.2">
      <c r="B3" s="6" t="s">
        <v>19</v>
      </c>
      <c r="C3" s="7"/>
      <c r="E3" s="50" t="s">
        <v>35</v>
      </c>
      <c r="F3" s="19" t="str">
        <f>LEFT(D22,6)</f>
        <v>IH1711</v>
      </c>
      <c r="G3" s="19">
        <f>F22+G21-F21</f>
        <v>7.9400000000000546</v>
      </c>
      <c r="H3" s="19">
        <f>G3*I22</f>
        <v>2382.0000000000164</v>
      </c>
      <c r="I3" s="28">
        <f>H3-M22</f>
        <v>1374.9840000000163</v>
      </c>
      <c r="J3" s="29">
        <f ca="1">I3/L22*365/H22</f>
        <v>1.9361698286158947E-2</v>
      </c>
      <c r="K3" s="30">
        <f ca="1">(EXP($C$6*H22/365)-1)*(J21+J22*$C$7)</f>
        <v>2755.0814402105048</v>
      </c>
      <c r="L3" s="30">
        <f t="shared" ref="L3:L8" ca="1" si="0">I3-K3</f>
        <v>-1380.0974402104885</v>
      </c>
      <c r="M3" s="29">
        <f ca="1">L3/L22*365/H22</f>
        <v>-1.9433702677889669E-2</v>
      </c>
      <c r="N3" s="21" t="str">
        <f t="shared" ref="N3:N8" ca="1" si="1">IF(M3&gt;0,"IH-ETF&gt;GC&gt;0",IF(J3&lt;0,"GC&gt;0&gt;IH-ETF","GC&gt;IH-ETF&gt;0"))</f>
        <v>GC&gt;IH-ETF&gt;0</v>
      </c>
    </row>
    <row r="4" spans="2:14" x14ac:dyDescent="0.2">
      <c r="B4" s="8" t="s">
        <v>24</v>
      </c>
      <c r="C4" s="46">
        <v>5.0000000000000001E-4</v>
      </c>
      <c r="E4" s="51"/>
      <c r="F4" s="1" t="str">
        <f>LEFT(D23,6)</f>
        <v>IH1712</v>
      </c>
      <c r="G4" s="1">
        <f>F23+G21-F21</f>
        <v>12.340000000000146</v>
      </c>
      <c r="H4" s="1">
        <f>G4*I23</f>
        <v>3702.0000000000437</v>
      </c>
      <c r="I4" s="4">
        <f>H4-M23</f>
        <v>2694.7200000000439</v>
      </c>
      <c r="J4" s="2">
        <f ca="1">I4/L23*365/H23</f>
        <v>1.7565491054917701E-2</v>
      </c>
      <c r="K4" s="5">
        <f ca="1">(EXP($C$6*H23/365)-1)*(J21+J23*$C$7)</f>
        <v>5980.3198996546907</v>
      </c>
      <c r="L4" s="5">
        <f t="shared" ca="1" si="0"/>
        <v>-3285.5998996546468</v>
      </c>
      <c r="M4" s="2">
        <f ca="1">L4/L23*365/H23</f>
        <v>-2.1417132632489191E-2</v>
      </c>
      <c r="N4" s="9" t="str">
        <f t="shared" ca="1" si="1"/>
        <v>GC&gt;IH-ETF&gt;0</v>
      </c>
    </row>
    <row r="5" spans="2:14" x14ac:dyDescent="0.2">
      <c r="B5" s="8" t="s">
        <v>25</v>
      </c>
      <c r="C5" s="46">
        <v>1E-4</v>
      </c>
      <c r="E5" s="51"/>
      <c r="F5" s="1" t="str">
        <f>LEFT(D26,6)</f>
        <v>IF1711</v>
      </c>
      <c r="G5" s="1">
        <f>F26+G25-F25</f>
        <v>-11.390000000000327</v>
      </c>
      <c r="H5" s="1">
        <f>G5*I26</f>
        <v>-3417.0000000000982</v>
      </c>
      <c r="I5" s="4">
        <f>H5-M26</f>
        <v>-4855.2360000000981</v>
      </c>
      <c r="J5" s="2">
        <f ca="1">I5/L26*365/H26</f>
        <v>-4.7907330452667853E-2</v>
      </c>
      <c r="K5" s="5">
        <f ca="1">(EXP($C$6*H26/365)-1)*(J25+J26*$C$7)</f>
        <v>3934.5261180073749</v>
      </c>
      <c r="L5" s="5">
        <f t="shared" ca="1" si="0"/>
        <v>-8789.762118007473</v>
      </c>
      <c r="M5" s="2">
        <f ca="1">L5/L26*365/H26</f>
        <v>-8.6729880563523001E-2</v>
      </c>
      <c r="N5" s="9" t="str">
        <f t="shared" ca="1" si="1"/>
        <v>GC&gt;0&gt;IH-ETF</v>
      </c>
    </row>
    <row r="6" spans="2:14" x14ac:dyDescent="0.2">
      <c r="B6" s="8" t="s">
        <v>21</v>
      </c>
      <c r="C6" s="46">
        <f>E19/100</f>
        <v>3.8399999999999997E-2</v>
      </c>
      <c r="E6" s="51"/>
      <c r="F6" s="1" t="str">
        <f>LEFT(D27,6)</f>
        <v>IF1712</v>
      </c>
      <c r="G6" s="1">
        <f>F27+G25-F25</f>
        <v>-16.990000000000236</v>
      </c>
      <c r="H6" s="1">
        <f>G6*I27</f>
        <v>-5097.0000000000709</v>
      </c>
      <c r="I6" s="4">
        <f>H6-M27</f>
        <v>-6534.9000000000706</v>
      </c>
      <c r="J6" s="2">
        <f ca="1">I6/L27*365/H27</f>
        <v>-2.9888965813013705E-2</v>
      </c>
      <c r="K6" s="5">
        <f ca="1">(EXP($C$6*H27/365)-1)*(J25+J27*$C$7)</f>
        <v>8534.6154268442242</v>
      </c>
      <c r="L6" s="5">
        <f t="shared" ca="1" si="0"/>
        <v>-15069.515426844295</v>
      </c>
      <c r="M6" s="2">
        <f ca="1">L6/L27*365/H27</f>
        <v>-6.8924119942405687E-2</v>
      </c>
      <c r="N6" s="9" t="str">
        <f t="shared" ca="1" si="1"/>
        <v>GC&gt;0&gt;IH-ETF</v>
      </c>
    </row>
    <row r="7" spans="2:14" ht="15" thickBot="1" x14ac:dyDescent="0.25">
      <c r="B7" s="10" t="s">
        <v>22</v>
      </c>
      <c r="C7" s="45">
        <v>0.3</v>
      </c>
      <c r="E7" s="51"/>
      <c r="F7" s="1" t="str">
        <f>LEFT(D30,6)</f>
        <v>IC1711</v>
      </c>
      <c r="G7" s="1">
        <f>F30+G29-F29</f>
        <v>-56.329999999999927</v>
      </c>
      <c r="H7" s="1">
        <f>G7*I30</f>
        <v>-11265.999999999985</v>
      </c>
      <c r="I7" s="4">
        <f>H7-M30</f>
        <v>-12914.191999999985</v>
      </c>
      <c r="J7" s="2">
        <f ca="1">I7/L30*365/H30</f>
        <v>-0.1140513900018968</v>
      </c>
      <c r="K7" s="5">
        <f ca="1">(EXP($C$6*H30/365)-1)*(J29+J30*$C$7)</f>
        <v>4496.9927754462515</v>
      </c>
      <c r="L7" s="5">
        <f t="shared" ca="1" si="0"/>
        <v>-17411.184775446236</v>
      </c>
      <c r="M7" s="2">
        <f ca="1">L7/L30*365/H30</f>
        <v>-0.1537664783998495</v>
      </c>
      <c r="N7" s="9" t="str">
        <f t="shared" ca="1" si="1"/>
        <v>GC&gt;0&gt;IH-ETF</v>
      </c>
    </row>
    <row r="8" spans="2:14" ht="15" thickBot="1" x14ac:dyDescent="0.25">
      <c r="E8" s="52"/>
      <c r="F8" s="13" t="str">
        <f>LEFT(D31,6)</f>
        <v>IC1712</v>
      </c>
      <c r="G8" s="13">
        <f>F31+G29-F29</f>
        <v>-86.930000000000291</v>
      </c>
      <c r="H8" s="13">
        <f>G8*I31</f>
        <v>-17386.000000000058</v>
      </c>
      <c r="I8" s="15">
        <f>H8-M31</f>
        <v>-19032.968000000059</v>
      </c>
      <c r="J8" s="16">
        <f ca="1">I8/L31*365/H31</f>
        <v>-7.8812225612360925E-2</v>
      </c>
      <c r="K8" s="17">
        <f ca="1">(EXP($C$6*H31/365)-1)*(J29+J31*$C$7)</f>
        <v>9747.7837459581551</v>
      </c>
      <c r="L8" s="17">
        <f t="shared" ca="1" si="0"/>
        <v>-28780.751745958216</v>
      </c>
      <c r="M8" s="16">
        <f ca="1">L8/L31*365/H31</f>
        <v>-0.11917611062530041</v>
      </c>
      <c r="N8" s="11" t="str">
        <f t="shared" ca="1" si="1"/>
        <v>GC&gt;0&gt;IH-ETF</v>
      </c>
    </row>
    <row r="9" spans="2:14" ht="15" thickBot="1" x14ac:dyDescent="0.25">
      <c r="B9" s="41" t="s">
        <v>76</v>
      </c>
      <c r="C9" s="7"/>
      <c r="J9" s="2"/>
    </row>
    <row r="10" spans="2:14" x14ac:dyDescent="0.2">
      <c r="B10" s="40" t="s">
        <v>77</v>
      </c>
      <c r="C10" s="42">
        <v>0.01</v>
      </c>
      <c r="E10" s="6"/>
      <c r="F10" s="12" t="s">
        <v>16</v>
      </c>
      <c r="G10" s="12" t="s">
        <v>34</v>
      </c>
      <c r="H10" s="12" t="s">
        <v>26</v>
      </c>
      <c r="I10" s="12" t="s">
        <v>27</v>
      </c>
      <c r="J10" s="14" t="s">
        <v>31</v>
      </c>
      <c r="K10" s="12" t="s">
        <v>63</v>
      </c>
      <c r="L10" s="12" t="s">
        <v>29</v>
      </c>
      <c r="M10" s="12" t="s">
        <v>32</v>
      </c>
      <c r="N10" s="7"/>
    </row>
    <row r="11" spans="2:14" ht="15" thickBot="1" x14ac:dyDescent="0.25">
      <c r="B11" s="43" t="s">
        <v>78</v>
      </c>
      <c r="C11" s="44">
        <v>0.01</v>
      </c>
      <c r="E11" s="50" t="s">
        <v>36</v>
      </c>
      <c r="F11" s="19" t="str">
        <f>LEFT(D22,6)</f>
        <v>IH1711</v>
      </c>
      <c r="G11" s="19">
        <f t="shared" ref="G11:G16" si="2">-G3</f>
        <v>-7.9400000000000546</v>
      </c>
      <c r="H11" s="19">
        <f>G11*I22</f>
        <v>-2382.0000000000164</v>
      </c>
      <c r="I11" s="28">
        <f>H11-M22</f>
        <v>-3389.0160000000164</v>
      </c>
      <c r="J11" s="29">
        <f ca="1">I11/L22*365/H22</f>
        <v>-4.772208642352551E-2</v>
      </c>
      <c r="K11" s="28">
        <f ca="1">(EXP($C$6*H22/365)-1)*(J21-J22*$C$7)</f>
        <v>1499.7476012919346</v>
      </c>
      <c r="L11" s="28">
        <f t="shared" ref="L11:L16" ca="1" si="3">I11+K11</f>
        <v>-1889.2683987080818</v>
      </c>
      <c r="M11" s="29">
        <f ca="1">L11/L22*365/H22</f>
        <v>-2.6603542090206208E-2</v>
      </c>
      <c r="N11" s="21" t="str">
        <f ca="1">IF(J11&gt;0,"IH+GC&gt;IH&gt;ETF",IF(M11&lt;0,"ETF&gt;IH+GC&gt;IH","IH+GC&gt;ETF&gt;IH"))</f>
        <v>ETF&gt;IH+GC&gt;IH</v>
      </c>
    </row>
    <row r="12" spans="2:14" x14ac:dyDescent="0.2">
      <c r="E12" s="51"/>
      <c r="F12" s="1" t="str">
        <f>LEFT(D23,6)</f>
        <v>IH1712</v>
      </c>
      <c r="G12" s="1">
        <f t="shared" si="2"/>
        <v>-12.340000000000146</v>
      </c>
      <c r="H12" s="1">
        <f>G12*I23</f>
        <v>-3702.0000000000437</v>
      </c>
      <c r="I12" s="4">
        <f>H12-M23</f>
        <v>-4709.2800000000434</v>
      </c>
      <c r="J12" s="2">
        <f ca="1">I12/L23*365/H23</f>
        <v>-3.0697369565336009E-2</v>
      </c>
      <c r="K12" s="4">
        <f ca="1">(EXP($C$6*H23/365)-1)*(J20-J23*$C$7)</f>
        <v>3169.228886309204</v>
      </c>
      <c r="L12" s="4">
        <f t="shared" ca="1" si="3"/>
        <v>-1540.0511136908394</v>
      </c>
      <c r="M12" s="2">
        <f ca="1">L12/L23*365/H23</f>
        <v>-1.0038799601313698E-2</v>
      </c>
      <c r="N12" s="9" t="str">
        <f t="shared" ref="N12:N16" ca="1" si="4">IF(J12&gt;0,"IH+GC&gt;IH&gt;ETF",IF(M12&lt;0,"ETF&gt;IH+GC&gt;IH","IH+GC&gt;ETF&gt;IH"))</f>
        <v>ETF&gt;IH+GC&gt;IH</v>
      </c>
    </row>
    <row r="13" spans="2:14" x14ac:dyDescent="0.2">
      <c r="E13" s="51"/>
      <c r="F13" s="1" t="str">
        <f>LEFT(D26,6)</f>
        <v>IF1711</v>
      </c>
      <c r="G13" s="1">
        <f t="shared" si="2"/>
        <v>11.390000000000327</v>
      </c>
      <c r="H13" s="1">
        <f>G13*I26</f>
        <v>3417.0000000000982</v>
      </c>
      <c r="I13" s="4">
        <f>H13-M26</f>
        <v>1978.7640000000981</v>
      </c>
      <c r="J13" s="2">
        <f ca="1">I13/L26*365/H26</f>
        <v>1.9524756538270363E-2</v>
      </c>
      <c r="K13" s="4">
        <f ca="1">(EXP($C$6*H26/365)-1)*(J25-J26*$C$7)</f>
        <v>2143.5843879820272</v>
      </c>
      <c r="L13" s="4">
        <f t="shared" ca="1" si="3"/>
        <v>4122.3483879821251</v>
      </c>
      <c r="M13" s="2">
        <f ca="1">L13/L26*365/H26</f>
        <v>4.0675820179302984E-2</v>
      </c>
      <c r="N13" s="9" t="str">
        <f t="shared" ca="1" si="4"/>
        <v>IH+GC&gt;IH&gt;ETF</v>
      </c>
    </row>
    <row r="14" spans="2:14" x14ac:dyDescent="0.2">
      <c r="E14" s="51"/>
      <c r="F14" s="1" t="str">
        <f>LEFT(D27,6)</f>
        <v>IF1712</v>
      </c>
      <c r="G14" s="1">
        <f t="shared" si="2"/>
        <v>16.990000000000236</v>
      </c>
      <c r="H14" s="1">
        <f>G14*I27</f>
        <v>5097.0000000000709</v>
      </c>
      <c r="I14" s="4">
        <f>H14-M27</f>
        <v>3659.1000000000708</v>
      </c>
      <c r="J14" s="2">
        <f ca="1">I14/L27*365/H27</f>
        <v>1.6735790112534146E-2</v>
      </c>
      <c r="K14" s="4">
        <f ca="1">(EXP($C$6*H27/365)-1)*(J24-J27*$C$7)</f>
        <v>4563.5177848987205</v>
      </c>
      <c r="L14" s="4">
        <f t="shared" ca="1" si="3"/>
        <v>8222.6177848987918</v>
      </c>
      <c r="M14" s="2">
        <f ca="1">L14/L27*365/H27</f>
        <v>3.760815649303216E-2</v>
      </c>
      <c r="N14" s="9" t="str">
        <f t="shared" ca="1" si="4"/>
        <v>IH+GC&gt;IH&gt;ETF</v>
      </c>
    </row>
    <row r="15" spans="2:14" x14ac:dyDescent="0.2">
      <c r="E15" s="51"/>
      <c r="F15" s="1" t="str">
        <f>LEFT(D30,6)</f>
        <v>IC1711</v>
      </c>
      <c r="G15" s="1">
        <f t="shared" si="2"/>
        <v>56.329999999999927</v>
      </c>
      <c r="H15" s="1">
        <f>G15*I30</f>
        <v>11265.999999999985</v>
      </c>
      <c r="I15" s="4">
        <f>H15-M30</f>
        <v>9617.8079999999864</v>
      </c>
      <c r="J15" s="2">
        <f ca="1">I15/L30*365/H30</f>
        <v>8.4939450425652874E-2</v>
      </c>
      <c r="K15" s="4">
        <f ca="1">(EXP($C$6*H30/365)-1)*(J29-J30*$C$7)</f>
        <v>2516.0171836314471</v>
      </c>
      <c r="L15" s="4">
        <f t="shared" ca="1" si="3"/>
        <v>12133.825183631434</v>
      </c>
      <c r="M15" s="2">
        <f ca="1">L15/L30*365/H30</f>
        <v>0.10715959838859353</v>
      </c>
      <c r="N15" s="9" t="str">
        <f t="shared" ca="1" si="4"/>
        <v>IH+GC&gt;IH&gt;ETF</v>
      </c>
    </row>
    <row r="16" spans="2:14" ht="15" thickBot="1" x14ac:dyDescent="0.25">
      <c r="E16" s="52"/>
      <c r="F16" s="13" t="str">
        <f>LEFT(D31,6)</f>
        <v>IC1712</v>
      </c>
      <c r="G16" s="13">
        <f t="shared" si="2"/>
        <v>86.930000000000291</v>
      </c>
      <c r="H16" s="13">
        <f>G16*I31</f>
        <v>17386.000000000058</v>
      </c>
      <c r="I16" s="15">
        <f>H16-M31</f>
        <v>15739.032000000057</v>
      </c>
      <c r="J16" s="16">
        <f ca="1">I16/L31*365/H31</f>
        <v>6.5172606863215909E-2</v>
      </c>
      <c r="K16" s="15">
        <f ca="1">(EXP($C$6*H31/365)-1)*(J28-J31*$C$7)</f>
        <v>5088.9194186156883</v>
      </c>
      <c r="L16" s="15">
        <f t="shared" ca="1" si="3"/>
        <v>20827.951418615747</v>
      </c>
      <c r="M16" s="16">
        <f ca="1">L16/L31*365/H31</f>
        <v>8.624494121186102E-2</v>
      </c>
      <c r="N16" s="11" t="str">
        <f t="shared" ca="1" si="4"/>
        <v>IH+GC&gt;IH&gt;ETF</v>
      </c>
    </row>
    <row r="17" spans="2:14" ht="15" thickBot="1" x14ac:dyDescent="0.25"/>
    <row r="18" spans="2:14" x14ac:dyDescent="0.2">
      <c r="B18" s="6"/>
      <c r="C18" s="12" t="s">
        <v>16</v>
      </c>
      <c r="D18" s="12" t="s">
        <v>15</v>
      </c>
      <c r="E18" s="12" t="s">
        <v>4</v>
      </c>
      <c r="F18" s="12" t="s">
        <v>23</v>
      </c>
      <c r="G18" s="12" t="s">
        <v>37</v>
      </c>
      <c r="H18" s="12" t="s">
        <v>18</v>
      </c>
      <c r="I18" s="12" t="s">
        <v>5</v>
      </c>
      <c r="J18" s="12" t="s">
        <v>6</v>
      </c>
      <c r="K18" s="12" t="s">
        <v>30</v>
      </c>
      <c r="L18" s="12" t="s">
        <v>33</v>
      </c>
      <c r="M18" s="12" t="s">
        <v>28</v>
      </c>
      <c r="N18" s="7" t="s">
        <v>17</v>
      </c>
    </row>
    <row r="19" spans="2:14" x14ac:dyDescent="0.2">
      <c r="B19" s="39" t="s">
        <v>43</v>
      </c>
      <c r="C19" s="22" t="s">
        <v>20</v>
      </c>
      <c r="D19" s="22" t="str">
        <f>[1]!S_Info_Name(C19)</f>
        <v>GC007</v>
      </c>
      <c r="E19" s="22">
        <f>RTD("wdf.rtq", ,C19, "LastPrice","RT_Price")</f>
        <v>3.84</v>
      </c>
      <c r="F19" s="22"/>
      <c r="G19" s="22"/>
      <c r="H19" s="23"/>
      <c r="I19" s="22"/>
      <c r="J19" s="22"/>
      <c r="K19" s="22"/>
      <c r="L19" s="22"/>
      <c r="M19" s="22"/>
      <c r="N19" s="24" t="str">
        <f>RTD("wdf.rtq", ,C19, "Update_Time","RT_Price")</f>
        <v>10:54:59</v>
      </c>
    </row>
    <row r="20" spans="2:14" x14ac:dyDescent="0.2">
      <c r="B20" s="50" t="s">
        <v>44</v>
      </c>
      <c r="C20" s="19" t="s">
        <v>1</v>
      </c>
      <c r="D20" s="19" t="str">
        <f>[1]!S_Info_Name(C20)</f>
        <v>上证50</v>
      </c>
      <c r="E20" s="19">
        <f>RTD("wdf.rtq", ,C20, "LastPrice","RT_Price")</f>
        <v>2754.66</v>
      </c>
      <c r="F20" s="19"/>
      <c r="G20" s="19"/>
      <c r="H20" s="20"/>
      <c r="I20" s="19">
        <v>300</v>
      </c>
      <c r="J20" s="19">
        <f>E20*I20</f>
        <v>826398</v>
      </c>
      <c r="K20" s="19"/>
      <c r="L20" s="19"/>
      <c r="M20" s="19"/>
      <c r="N20" s="21" t="str">
        <f>RTD("wdf.rtq", ,C20, "Update_Time","RT_Price")</f>
        <v>10:54:59</v>
      </c>
    </row>
    <row r="21" spans="2:14" x14ac:dyDescent="0.2">
      <c r="B21" s="51"/>
      <c r="C21" s="1" t="s">
        <v>0</v>
      </c>
      <c r="D21" s="1" t="str">
        <f>[1]!S_Info_Name(C21)</f>
        <v>50ETF</v>
      </c>
      <c r="E21" s="1">
        <f>RTD("wdf.rtq", ,C21, "LastPrice","RT_Price")</f>
        <v>2.8050000000000002</v>
      </c>
      <c r="F21" s="1">
        <f>RTD("wdf.rtq", ,C21, "PREMIUM","RT_Price")*1000</f>
        <v>-4</v>
      </c>
      <c r="G21" s="1">
        <v>0</v>
      </c>
      <c r="H21" s="3"/>
      <c r="I21" s="1">
        <v>300000</v>
      </c>
      <c r="J21" s="1">
        <f>E21*I21</f>
        <v>841500</v>
      </c>
      <c r="N21" s="9" t="str">
        <f>RTD("wdf.rtq", ,C21, "Update_Time","RT_Price")</f>
        <v>10:54:59</v>
      </c>
    </row>
    <row r="22" spans="2:14" x14ac:dyDescent="0.2">
      <c r="B22" s="51"/>
      <c r="C22" s="1" t="s">
        <v>2</v>
      </c>
      <c r="D22" s="1" t="str">
        <f>[1]!s_info_code2(C22,"")</f>
        <v>IH1711.CFE</v>
      </c>
      <c r="E22" s="1">
        <f>RTD("wdf.rtq", ,C22, "LastPrice","RT_Price")</f>
        <v>2758.6</v>
      </c>
      <c r="F22" s="1">
        <f>E22-E20</f>
        <v>3.9400000000000546</v>
      </c>
      <c r="H22" s="3">
        <f ca="1">IF([1]!s_info_lddate(C22)&lt;&gt;0,[1]!s_info_lddate(C22)-TODAY(),0)</f>
        <v>24</v>
      </c>
      <c r="I22" s="1">
        <v>300</v>
      </c>
      <c r="J22" s="1">
        <f t="shared" ref="J22:J23" si="5">E22*I22</f>
        <v>827580</v>
      </c>
      <c r="K22" s="1">
        <f>J22+J21</f>
        <v>1669080</v>
      </c>
      <c r="L22" s="1">
        <f>J22+J21*$C$7</f>
        <v>1080030</v>
      </c>
      <c r="M22" s="1">
        <f>J21*$C$4*2+J22*$C$5*2</f>
        <v>1007.0160000000001</v>
      </c>
      <c r="N22" s="9" t="str">
        <f>RTD("wdf.rtq", ,C22, "Update_Time","RT_Price")</f>
        <v>10:55:01</v>
      </c>
    </row>
    <row r="23" spans="2:14" x14ac:dyDescent="0.2">
      <c r="B23" s="53"/>
      <c r="C23" s="1" t="s">
        <v>3</v>
      </c>
      <c r="D23" s="1" t="str">
        <f>[1]!s_info_code2(C23,"")</f>
        <v>IH1712.CFE</v>
      </c>
      <c r="E23" s="1">
        <f>RTD("wdf.rtq", ,C23, "LastPrice","RT_Price")</f>
        <v>2763</v>
      </c>
      <c r="F23" s="1">
        <f>E23-E20</f>
        <v>8.3400000000001455</v>
      </c>
      <c r="H23" s="3">
        <f ca="1">IF([1]!s_info_lddate(C23)&lt;&gt;0,[1]!s_info_lddate(C23)-TODAY(),0)</f>
        <v>52</v>
      </c>
      <c r="I23" s="1">
        <v>300</v>
      </c>
      <c r="J23" s="1">
        <f t="shared" si="5"/>
        <v>828900</v>
      </c>
      <c r="K23" s="1">
        <f>J23+J21</f>
        <v>1670400</v>
      </c>
      <c r="L23" s="1">
        <f>J23+J20*$C$7</f>
        <v>1076819.3999999999</v>
      </c>
      <c r="M23" s="1">
        <f>J21*$C$4*2+J23*$C$5*2</f>
        <v>1007.28</v>
      </c>
      <c r="N23" s="9" t="str">
        <f>RTD("wdf.rtq", ,C23, "Update_Time","RT_Price")</f>
        <v>10:54:53</v>
      </c>
    </row>
    <row r="24" spans="2:14" x14ac:dyDescent="0.2">
      <c r="B24" s="50" t="s">
        <v>45</v>
      </c>
      <c r="C24" s="19" t="s">
        <v>8</v>
      </c>
      <c r="D24" s="19" t="str">
        <f>[1]!S_Info_Name(C24)</f>
        <v>沪深300</v>
      </c>
      <c r="E24" s="19">
        <f>RTD("wdf.rtq", ,C24, "LastPrice","RT_Price")</f>
        <v>3951.9900000000002</v>
      </c>
      <c r="F24" s="19"/>
      <c r="G24" s="19"/>
      <c r="H24" s="20"/>
      <c r="I24" s="19">
        <v>300</v>
      </c>
      <c r="J24" s="19">
        <f>E24*I24</f>
        <v>1185597</v>
      </c>
      <c r="K24" s="19"/>
      <c r="L24" s="19"/>
      <c r="M24" s="19"/>
      <c r="N24" s="21" t="str">
        <f>RTD("wdf.rtq", ,C24, "Update_Time","RT_Price")</f>
        <v>10:54:59</v>
      </c>
    </row>
    <row r="25" spans="2:14" x14ac:dyDescent="0.2">
      <c r="B25" s="51"/>
      <c r="C25" s="1" t="s">
        <v>7</v>
      </c>
      <c r="D25" s="1" t="str">
        <f>[1]!S_Info_Name(C25)</f>
        <v>300ETF</v>
      </c>
      <c r="E25" s="1">
        <f>RTD("wdf.rtq", ,C25, "LastPrice","RT_Price")</f>
        <v>4.0069999999999997</v>
      </c>
      <c r="F25" s="1">
        <f>RTD("wdf.rtq", ,C25, "PREMIUM","RT_Price")*1000</f>
        <v>-5</v>
      </c>
      <c r="G25" s="1">
        <v>0</v>
      </c>
      <c r="H25" s="3"/>
      <c r="I25" s="1">
        <v>300000</v>
      </c>
      <c r="J25" s="1">
        <f>E25*I25</f>
        <v>1202100</v>
      </c>
      <c r="N25" s="9" t="str">
        <f>RTD("wdf.rtq", ,C25, "Update_Time","RT_Price")</f>
        <v>10:54:59</v>
      </c>
    </row>
    <row r="26" spans="2:14" x14ac:dyDescent="0.2">
      <c r="B26" s="51"/>
      <c r="C26" s="1" t="s">
        <v>9</v>
      </c>
      <c r="D26" s="1" t="str">
        <f>[1]!s_info_code2(C26,"")</f>
        <v>IF1711.CFE</v>
      </c>
      <c r="E26" s="1">
        <f>RTD("wdf.rtq", ,C26, "LastPrice","RT_Price")</f>
        <v>3935.6</v>
      </c>
      <c r="F26" s="1">
        <f>E26-E24</f>
        <v>-16.390000000000327</v>
      </c>
      <c r="H26" s="3">
        <f ca="1">IF([1]!s_info_lddate(C26)&lt;&gt;0,[1]!s_info_lddate(C26)-TODAY(),0)</f>
        <v>24</v>
      </c>
      <c r="I26" s="1">
        <v>300</v>
      </c>
      <c r="J26" s="1">
        <f>E26*I26</f>
        <v>1180680</v>
      </c>
      <c r="K26" s="1">
        <f>J26+J25</f>
        <v>2382780</v>
      </c>
      <c r="L26" s="1">
        <f>J26+J25*$C$7</f>
        <v>1541310</v>
      </c>
      <c r="M26" s="1">
        <f>J25*$C$4*2+J26*$C$5*2</f>
        <v>1438.2360000000001</v>
      </c>
      <c r="N26" s="9" t="str">
        <f>RTD("wdf.rtq", ,C26, "Update_Time","RT_Price")</f>
        <v>10:55:01</v>
      </c>
    </row>
    <row r="27" spans="2:14" x14ac:dyDescent="0.2">
      <c r="B27" s="53"/>
      <c r="C27" s="25" t="s">
        <v>10</v>
      </c>
      <c r="D27" s="25" t="str">
        <f>[1]!s_info_code2(C27,"")</f>
        <v>IF1712.CFE</v>
      </c>
      <c r="E27" s="25">
        <f>RTD("wdf.rtq", ,C27, "LastPrice","RT_Price")</f>
        <v>3930</v>
      </c>
      <c r="F27" s="25">
        <f>E27-E24</f>
        <v>-21.990000000000236</v>
      </c>
      <c r="G27" s="25"/>
      <c r="H27" s="26">
        <f ca="1">IF([1]!s_info_lddate(C27)&lt;&gt;0,[1]!s_info_lddate(C27)-TODAY(),0)</f>
        <v>52</v>
      </c>
      <c r="I27" s="25">
        <v>300</v>
      </c>
      <c r="J27" s="25">
        <f>E27*I27</f>
        <v>1179000</v>
      </c>
      <c r="K27" s="25">
        <f>J27+J25</f>
        <v>2381100</v>
      </c>
      <c r="L27" s="25">
        <f>J27+J24*$C$7</f>
        <v>1534679.1</v>
      </c>
      <c r="M27" s="25">
        <f>J25*$C$4*2+J27*$C$5*2</f>
        <v>1437.9</v>
      </c>
      <c r="N27" s="27" t="str">
        <f>RTD("wdf.rtq", ,C27, "Update_Time","RT_Price")</f>
        <v>10:54:58</v>
      </c>
    </row>
    <row r="28" spans="2:14" x14ac:dyDescent="0.2">
      <c r="B28" s="50" t="s">
        <v>46</v>
      </c>
      <c r="C28" s="1" t="s">
        <v>12</v>
      </c>
      <c r="D28" s="1" t="str">
        <f>[1]!S_Info_Name(C28)</f>
        <v>中证500</v>
      </c>
      <c r="E28" s="1">
        <f>RTD("wdf.rtq", ,C28, "LastPrice","RT_Price")</f>
        <v>6588.13</v>
      </c>
      <c r="H28" s="3"/>
      <c r="I28" s="1">
        <v>200</v>
      </c>
      <c r="J28" s="1">
        <f>E28*I28</f>
        <v>1317626</v>
      </c>
      <c r="N28" s="9" t="str">
        <f>RTD("wdf.rtq", ,C28, "Update_Time","RT_Price")</f>
        <v>10:54:59</v>
      </c>
    </row>
    <row r="29" spans="2:14" x14ac:dyDescent="0.2">
      <c r="B29" s="51"/>
      <c r="C29" s="1" t="s">
        <v>11</v>
      </c>
      <c r="D29" s="1" t="str">
        <f>[1]!S_Info_Name(C29)</f>
        <v>500ETF</v>
      </c>
      <c r="E29" s="1">
        <f>RTD("wdf.rtq", ,C29, "LastPrice","RT_Price")</f>
        <v>6.9350000000000005</v>
      </c>
      <c r="F29" s="1">
        <f>RTD("wdf.rtq", ,C29, "PREMIUM","RT_Price")*1000</f>
        <v>-2</v>
      </c>
      <c r="G29" s="1">
        <v>0</v>
      </c>
      <c r="H29" s="3"/>
      <c r="I29" s="1">
        <v>200000</v>
      </c>
      <c r="J29" s="1">
        <f t="shared" ref="J29:J31" si="6">E29*I29</f>
        <v>1387000</v>
      </c>
      <c r="N29" s="9" t="str">
        <f>RTD("wdf.rtq", ,C29, "Update_Time","RT_Price")</f>
        <v>10:54:59</v>
      </c>
    </row>
    <row r="30" spans="2:14" x14ac:dyDescent="0.2">
      <c r="B30" s="51"/>
      <c r="C30" s="1" t="s">
        <v>13</v>
      </c>
      <c r="D30" s="1" t="str">
        <f>[1]!s_info_code2(C30,"")</f>
        <v>IC1711.CFE</v>
      </c>
      <c r="E30" s="1">
        <f>RTD("wdf.rtq", ,C30, "LastPrice","RT_Price")</f>
        <v>6529.8</v>
      </c>
      <c r="F30" s="1">
        <f>E30-E28</f>
        <v>-58.329999999999927</v>
      </c>
      <c r="H30" s="3">
        <f ca="1">IF([1]!s_info_lddate(C30)&lt;&gt;0,[1]!s_info_lddate(C30)-TODAY(),0)</f>
        <v>24</v>
      </c>
      <c r="I30" s="1">
        <v>200</v>
      </c>
      <c r="J30" s="1">
        <f t="shared" si="6"/>
        <v>1305960</v>
      </c>
      <c r="K30" s="1">
        <f>J30+J29</f>
        <v>2692960</v>
      </c>
      <c r="L30" s="1">
        <f>J30+J29*$C$7</f>
        <v>1722060</v>
      </c>
      <c r="M30" s="1">
        <f>J29*$C$4*2+J30*$C$5*2</f>
        <v>1648.192</v>
      </c>
      <c r="N30" s="9" t="str">
        <f>RTD("wdf.rtq", ,C30, "Update_Time","RT_Price")</f>
        <v>10:55:01</v>
      </c>
    </row>
    <row r="31" spans="2:14" ht="15" thickBot="1" x14ac:dyDescent="0.25">
      <c r="B31" s="52"/>
      <c r="C31" s="13" t="s">
        <v>14</v>
      </c>
      <c r="D31" s="13" t="str">
        <f>[1]!s_info_code2(C31,"")</f>
        <v>IC1712.CFE</v>
      </c>
      <c r="E31" s="13">
        <f>RTD("wdf.rtq", ,C31, "LastPrice","RT_Price")</f>
        <v>6499.2</v>
      </c>
      <c r="F31" s="13">
        <f>E31-E28</f>
        <v>-88.930000000000291</v>
      </c>
      <c r="G31" s="13"/>
      <c r="H31" s="18">
        <f ca="1">IF([1]!s_info_lddate(C31)&lt;&gt;0,[1]!s_info_lddate(C31)-TODAY(),0)</f>
        <v>52</v>
      </c>
      <c r="I31" s="13">
        <v>200</v>
      </c>
      <c r="J31" s="13">
        <f t="shared" si="6"/>
        <v>1299840</v>
      </c>
      <c r="K31" s="13">
        <f>J31+J29</f>
        <v>2686840</v>
      </c>
      <c r="L31" s="13">
        <f>J31+J28*$C$7</f>
        <v>1695127.8</v>
      </c>
      <c r="M31" s="13">
        <f>J29*$C$4*2+J31*$C$5*2</f>
        <v>1646.9680000000001</v>
      </c>
      <c r="N31" s="11" t="str">
        <f>RTD("wdf.rtq", ,C31, "Update_Time","RT_Price")</f>
        <v>10:54:58</v>
      </c>
    </row>
  </sheetData>
  <mergeCells count="5">
    <mergeCell ref="E3:E8"/>
    <mergeCell ref="E11:E16"/>
    <mergeCell ref="B20:B23"/>
    <mergeCell ref="B24:B27"/>
    <mergeCell ref="B28:B31"/>
  </mergeCells>
  <phoneticPr fontId="2" type="noConversion"/>
  <conditionalFormatting sqref="J3:J8 M11:M16">
    <cfRule type="cellIs" dxfId="3" priority="4" operator="greaterThan">
      <formula>0</formula>
    </cfRule>
  </conditionalFormatting>
  <conditionalFormatting sqref="M11:M16">
    <cfRule type="cellIs" dxfId="2" priority="3" operator="greaterThan">
      <formula>$C$11</formula>
    </cfRule>
  </conditionalFormatting>
  <conditionalFormatting sqref="M3:M8">
    <cfRule type="cellIs" dxfId="1" priority="2" operator="greaterThan">
      <formula>$C$10</formula>
    </cfRule>
  </conditionalFormatting>
  <conditionalFormatting sqref="J11:J16">
    <cfRule type="cellIs" dxfId="0" priority="1" operator="greater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arn_test">
                <anchor moveWithCells="1" sizeWithCells="1">
                  <from>
                    <xdr:col>1</xdr:col>
                    <xdr:colOff>57150</xdr:colOff>
                    <xdr:row>12</xdr:row>
                    <xdr:rowOff>19050</xdr:rowOff>
                  </from>
                  <to>
                    <xdr:col>2</xdr:col>
                    <xdr:colOff>704850</xdr:colOff>
                    <xdr:row>14</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C40" sqref="C40"/>
    </sheetView>
  </sheetViews>
  <sheetFormatPr defaultRowHeight="14.25" x14ac:dyDescent="0.2"/>
  <sheetData>
    <row r="1" spans="1:1" x14ac:dyDescent="0.2">
      <c r="A1" t="s">
        <v>54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workbookViewId="0">
      <selection activeCell="J13" sqref="J13"/>
    </sheetView>
  </sheetViews>
  <sheetFormatPr defaultRowHeight="14.25" x14ac:dyDescent="0.2"/>
  <cols>
    <col min="2" max="2" width="24.25" customWidth="1"/>
    <col min="3" max="3" width="11.875" customWidth="1"/>
    <col min="4" max="4" width="10.25" customWidth="1"/>
  </cols>
  <sheetData>
    <row r="1" spans="1:11" x14ac:dyDescent="0.2">
      <c r="A1">
        <f ca="1">IF(期现套利!M3&gt;期现套利!$C$10,1,0)</f>
        <v>0</v>
      </c>
      <c r="B1" t="str">
        <f ca="1">IF(A1=1,期现套利!F3&amp;" 正向 "&amp;ROUND(期现套利!J3*100,2)&amp;"% "&amp;ROUND(期现套利!M3*100,2)&amp;"%","")</f>
        <v/>
      </c>
    </row>
    <row r="2" spans="1:11" x14ac:dyDescent="0.2">
      <c r="A2">
        <f ca="1">IF(期现套利!M4&gt;期现套利!$C$10,1,0)</f>
        <v>0</v>
      </c>
      <c r="B2" t="str">
        <f ca="1">IF(A2=1,期现套利!F4&amp;" 正向 "&amp;ROUND(期现套利!J4*100,2)&amp;"% "&amp;ROUND(期现套利!M4*100,2)&amp;"%","")</f>
        <v/>
      </c>
    </row>
    <row r="3" spans="1:11" x14ac:dyDescent="0.2">
      <c r="A3">
        <f ca="1">IF(期现套利!M5&gt;期现套利!$C$10,1,0)</f>
        <v>0</v>
      </c>
      <c r="B3" t="str">
        <f ca="1">IF(A3=1,期现套利!F5&amp;" 正向 "&amp;ROUND(期现套利!J5*100,2)&amp;"% "&amp;ROUND(期现套利!M5*100,2)&amp;"%","")</f>
        <v/>
      </c>
    </row>
    <row r="4" spans="1:11" x14ac:dyDescent="0.2">
      <c r="A4">
        <f ca="1">IF(期现套利!M6&gt;期现套利!$C$10,1,0)</f>
        <v>0</v>
      </c>
      <c r="B4" t="str">
        <f ca="1">IF(A4=1,期现套利!F6&amp;" 正向 "&amp;ROUND(期现套利!J6*100,2)&amp;"% "&amp;ROUND(期现套利!M6*100,2)&amp;"%","")</f>
        <v/>
      </c>
    </row>
    <row r="5" spans="1:11" x14ac:dyDescent="0.2">
      <c r="A5">
        <f ca="1">IF(期现套利!M7&gt;期现套利!$C$10,1,0)</f>
        <v>0</v>
      </c>
      <c r="B5" t="str">
        <f ca="1">IF(A5=1,期现套利!F7&amp;" 正向 "&amp;ROUND(期现套利!J7*100,2)&amp;"% "&amp;ROUND(期现套利!M7*100,2)&amp;"%","")</f>
        <v/>
      </c>
      <c r="C5" t="s">
        <v>42</v>
      </c>
      <c r="D5">
        <v>923.25</v>
      </c>
    </row>
    <row r="6" spans="1:11" x14ac:dyDescent="0.2">
      <c r="A6">
        <f ca="1">IF(期现套利!M8&gt;期现套利!$C$10,1,0)</f>
        <v>0</v>
      </c>
      <c r="B6" t="str">
        <f ca="1">IF(A6=1,期现套利!F8&amp;" 正向 "&amp;ROUND(期现套利!J8*100,2)&amp;"% "&amp;ROUND(期现套利!M8*100,2)&amp;"%","")</f>
        <v/>
      </c>
      <c r="C6" s="31" t="s">
        <v>41</v>
      </c>
      <c r="D6">
        <v>0</v>
      </c>
    </row>
    <row r="7" spans="1:11" x14ac:dyDescent="0.2">
      <c r="A7">
        <v>-1</v>
      </c>
      <c r="C7" t="s">
        <v>39</v>
      </c>
      <c r="D7">
        <v>2</v>
      </c>
    </row>
    <row r="8" spans="1:11" x14ac:dyDescent="0.2">
      <c r="A8">
        <v>-1</v>
      </c>
      <c r="C8" t="s">
        <v>40</v>
      </c>
      <c r="D8">
        <v>6</v>
      </c>
      <c r="K8" t="s">
        <v>38</v>
      </c>
    </row>
    <row r="9" spans="1:11" x14ac:dyDescent="0.2">
      <c r="A9">
        <f ca="1">IF(期现套利!M11&gt;期现套利!$C$11,1,0)</f>
        <v>0</v>
      </c>
      <c r="B9" t="str">
        <f ca="1">IF(A9=1,期现套利!F11&amp;" 反向 "&amp;ROUND(期现套利!J11*100,2)&amp;"% "&amp;ROUND(期现套利!M11*100,2)&amp;"%","")</f>
        <v/>
      </c>
      <c r="C9" t="s">
        <v>68</v>
      </c>
      <c r="D9">
        <f ca="1">COUNT(A:A)</f>
        <v>14</v>
      </c>
    </row>
    <row r="10" spans="1:11" x14ac:dyDescent="0.2">
      <c r="A10">
        <f ca="1">IF(期现套利!M12&gt;期现套利!$C$11,1,0)</f>
        <v>0</v>
      </c>
      <c r="B10" t="str">
        <f ca="1">IF(A10=1,期现套利!F12&amp;" 反向 "&amp;ROUND(期现套利!J12*100,2)&amp;"% "&amp;ROUND(期现套利!M12*100,2)&amp;"%","")</f>
        <v/>
      </c>
    </row>
    <row r="11" spans="1:11" x14ac:dyDescent="0.2">
      <c r="A11">
        <f ca="1">IF(期现套利!M13&gt;期现套利!$C$11,1,0)</f>
        <v>1</v>
      </c>
      <c r="B11" t="str">
        <f ca="1">IF(A11=1,期现套利!F13&amp;" 反向 "&amp;ROUND(期现套利!J13*100,2)&amp;"% "&amp;ROUND(期现套利!M13*100,2)&amp;"%","")</f>
        <v>IF1711 反向 1.95% 4.07%</v>
      </c>
      <c r="C11" t="s">
        <v>60</v>
      </c>
    </row>
    <row r="12" spans="1:11" x14ac:dyDescent="0.2">
      <c r="A12">
        <f ca="1">IF(期现套利!M14&gt;期现套利!$C$11,1,0)</f>
        <v>1</v>
      </c>
      <c r="B12" t="str">
        <f ca="1">IF(A12=1,期现套利!F14&amp;" 反向 "&amp;ROUND(期现套利!J14*100,2)&amp;"% "&amp;ROUND(期现套利!M14*100,2)&amp;"%","")</f>
        <v>IF1712 反向 1.67% 3.76%</v>
      </c>
      <c r="C12" s="37" t="s">
        <v>79</v>
      </c>
    </row>
    <row r="13" spans="1:11" x14ac:dyDescent="0.2">
      <c r="A13">
        <f ca="1">IF(期现套利!M15&gt;期现套利!$C$11,1,0)</f>
        <v>1</v>
      </c>
      <c r="B13" t="str">
        <f ca="1">IF(A13=1,期现套利!F15&amp;" 反向 "&amp;ROUND(期现套利!J15*100,2)&amp;"% "&amp;ROUND(期现套利!M15*100,2)&amp;"%","")</f>
        <v>IC1711 反向 8.49% 10.72%</v>
      </c>
      <c r="C13" s="37" t="s">
        <v>61</v>
      </c>
    </row>
    <row r="14" spans="1:11" x14ac:dyDescent="0.2">
      <c r="A14">
        <f ca="1">IF(期现套利!M16&gt;期现套利!$C$11,1,0)</f>
        <v>1</v>
      </c>
      <c r="B14" t="str">
        <f ca="1">IF(A14=1,期现套利!F16&amp;" 反向 "&amp;ROUND(期现套利!J16*100,2)&amp;"% "&amp;ROUND(期现套利!M16*100,2)&amp;"%","")</f>
        <v>IC1712 反向 6.52% 8.62%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warn_test">
                <anchor moveWithCells="1" sizeWithCells="1">
                  <from>
                    <xdr:col>2</xdr:col>
                    <xdr:colOff>57150</xdr:colOff>
                    <xdr:row>0</xdr:row>
                    <xdr:rowOff>66675</xdr:rowOff>
                  </from>
                  <to>
                    <xdr:col>3</xdr:col>
                    <xdr:colOff>733425</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使用说明</vt:lpstr>
      <vt:lpstr>期现套利</vt:lpstr>
      <vt:lpstr>Data</vt:lpstr>
      <vt:lpstr>Warn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Windows 用户</cp:lastModifiedBy>
  <dcterms:created xsi:type="dcterms:W3CDTF">2017-10-23T03:12:17Z</dcterms:created>
  <dcterms:modified xsi:type="dcterms:W3CDTF">2017-10-24T02:55:06Z</dcterms:modified>
</cp:coreProperties>
</file>