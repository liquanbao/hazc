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期现套利机会监控\"/>
    </mc:Choice>
  </mc:AlternateContent>
  <bookViews>
    <workbookView xWindow="0" yWindow="0" windowWidth="28800" windowHeight="12120" activeTab="1"/>
  </bookViews>
  <sheets>
    <sheet name="使用说明" sheetId="3" r:id="rId1"/>
    <sheet name="期现套利" sheetId="1" r:id="rId2"/>
    <sheet name="Data" sheetId="4" state="hidden" r:id="rId3"/>
    <sheet name="Warn" sheetId="2" state="hidden" r:id="rId4"/>
  </sheets>
  <externalReferences>
    <externalReference r:id="rId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4" i="2" l="1"/>
  <c r="A27" i="2"/>
  <c r="A21" i="2"/>
  <c r="E32" i="1"/>
  <c r="F37" i="1"/>
  <c r="N26" i="1"/>
  <c r="E31" i="1"/>
  <c r="N36" i="1"/>
  <c r="N27" i="1"/>
  <c r="E27" i="1"/>
  <c r="F32" i="1"/>
  <c r="E30" i="1"/>
  <c r="E39" i="1"/>
  <c r="E38" i="1"/>
  <c r="N38" i="1"/>
  <c r="N40" i="1"/>
  <c r="E26" i="1"/>
  <c r="N25" i="1"/>
  <c r="N31" i="1"/>
  <c r="E40" i="1"/>
  <c r="E28" i="1"/>
  <c r="N30" i="1"/>
  <c r="N35" i="1"/>
  <c r="E29" i="1"/>
  <c r="N34" i="1"/>
  <c r="N28" i="1"/>
  <c r="N39" i="1"/>
  <c r="N37" i="1"/>
  <c r="F27" i="1"/>
  <c r="E25" i="1"/>
  <c r="E33" i="1"/>
  <c r="E37" i="1"/>
  <c r="E36" i="1"/>
  <c r="N33" i="1"/>
  <c r="N32" i="1"/>
  <c r="N29" i="1"/>
  <c r="E35" i="1"/>
  <c r="E34" i="1"/>
  <c r="D29" i="1"/>
  <c r="H40" i="1"/>
  <c r="D30" i="1"/>
  <c r="H35" i="1"/>
  <c r="H38" i="1"/>
  <c r="H33" i="1"/>
  <c r="D25" i="1"/>
  <c r="D40" i="1"/>
  <c r="H34" i="1"/>
  <c r="D34" i="1"/>
  <c r="D26" i="1"/>
  <c r="H30" i="1"/>
  <c r="D35" i="1"/>
  <c r="D28" i="1"/>
  <c r="H28" i="1"/>
  <c r="D27" i="1"/>
  <c r="D37" i="1"/>
  <c r="H29" i="1"/>
  <c r="D38" i="1"/>
  <c r="D32" i="1"/>
  <c r="D36" i="1"/>
  <c r="D39" i="1"/>
  <c r="D33" i="1"/>
  <c r="D31" i="1"/>
  <c r="H39" i="1"/>
  <c r="Q5" i="1" l="1"/>
  <c r="Q7" i="1"/>
  <c r="Q11" i="1"/>
  <c r="Q4" i="1"/>
  <c r="Q10" i="1"/>
  <c r="Q8" i="1"/>
  <c r="Q9" i="1"/>
  <c r="B27" i="2" s="1"/>
  <c r="Q6" i="1"/>
  <c r="B24" i="2" s="1"/>
  <c r="Q3" i="1"/>
  <c r="B21" i="2" s="1"/>
  <c r="U11" i="1"/>
  <c r="V11" i="1" s="1"/>
  <c r="A38" i="2" s="1"/>
  <c r="U10" i="1"/>
  <c r="V10" i="1" s="1"/>
  <c r="A37" i="2" s="1"/>
  <c r="U9" i="1"/>
  <c r="V9" i="1" s="1"/>
  <c r="A36" i="2" s="1"/>
  <c r="U7" i="1"/>
  <c r="V7" i="1" s="1"/>
  <c r="A34" i="2" s="1"/>
  <c r="U8" i="1"/>
  <c r="V8" i="1" s="1"/>
  <c r="A35" i="2" s="1"/>
  <c r="U6" i="1"/>
  <c r="V6" i="1" s="1"/>
  <c r="A33" i="2" s="1"/>
  <c r="U4" i="1"/>
  <c r="V4" i="1" s="1"/>
  <c r="A31" i="2" s="1"/>
  <c r="U5" i="1"/>
  <c r="V5" i="1" s="1"/>
  <c r="A32" i="2" s="1"/>
  <c r="U3" i="1"/>
  <c r="V3" i="1" s="1"/>
  <c r="A30" i="2" s="1"/>
  <c r="R8" i="1"/>
  <c r="R6" i="1"/>
  <c r="R7" i="1"/>
  <c r="R11" i="1"/>
  <c r="R5" i="1"/>
  <c r="R10" i="1"/>
  <c r="R9" i="1"/>
  <c r="R4" i="1"/>
  <c r="R3" i="1"/>
  <c r="S5" i="1" s="1"/>
  <c r="T5" i="1" s="1"/>
  <c r="F5" i="1"/>
  <c r="F16" i="1"/>
  <c r="F8" i="1"/>
  <c r="F19" i="1"/>
  <c r="F22" i="1"/>
  <c r="F11" i="1"/>
  <c r="F39" i="1"/>
  <c r="J39" i="1"/>
  <c r="F40" i="1"/>
  <c r="G11" i="1" s="1"/>
  <c r="G22" i="1" s="1"/>
  <c r="H22" i="1" s="1"/>
  <c r="J40" i="1"/>
  <c r="J34" i="1"/>
  <c r="F34" i="1"/>
  <c r="G7" i="1" s="1"/>
  <c r="G18" i="1" s="1"/>
  <c r="H18" i="1" s="1"/>
  <c r="J35" i="1"/>
  <c r="F35" i="1"/>
  <c r="G8" i="1" s="1"/>
  <c r="G19" i="1" s="1"/>
  <c r="J30" i="1"/>
  <c r="F30" i="1"/>
  <c r="F14" i="1"/>
  <c r="F15" i="1"/>
  <c r="F17" i="1"/>
  <c r="F18" i="1"/>
  <c r="F20" i="1"/>
  <c r="F21" i="1"/>
  <c r="F3" i="1"/>
  <c r="F4" i="1"/>
  <c r="F6" i="1"/>
  <c r="F7" i="1"/>
  <c r="F9" i="1"/>
  <c r="F10" i="1"/>
  <c r="C6" i="1"/>
  <c r="F38" i="1"/>
  <c r="G9" i="1" s="1"/>
  <c r="G20" i="1" s="1"/>
  <c r="H20" i="1" s="1"/>
  <c r="F33" i="1"/>
  <c r="F29" i="1"/>
  <c r="G4" i="1" s="1"/>
  <c r="G15" i="1" s="1"/>
  <c r="H15" i="1" s="1"/>
  <c r="F28" i="1"/>
  <c r="G3" i="1" s="1"/>
  <c r="G14" i="1" s="1"/>
  <c r="H14" i="1" s="1"/>
  <c r="J29" i="1"/>
  <c r="J31" i="1"/>
  <c r="J33" i="1"/>
  <c r="J32" i="1"/>
  <c r="J36" i="1"/>
  <c r="J38" i="1"/>
  <c r="J37" i="1"/>
  <c r="J28" i="1"/>
  <c r="J27" i="1"/>
  <c r="J26" i="1"/>
  <c r="B23" i="2" l="1"/>
  <c r="B33" i="2"/>
  <c r="B37" i="2"/>
  <c r="B32" i="2"/>
  <c r="B34" i="2"/>
  <c r="B31" i="2"/>
  <c r="B36" i="2"/>
  <c r="B35" i="2"/>
  <c r="B38" i="2"/>
  <c r="B30" i="2"/>
  <c r="A23" i="2"/>
  <c r="S7" i="1"/>
  <c r="T7" i="1" s="1"/>
  <c r="B25" i="2" s="1"/>
  <c r="S8" i="1"/>
  <c r="T8" i="1" s="1"/>
  <c r="B26" i="2" s="1"/>
  <c r="S10" i="1"/>
  <c r="T10" i="1" s="1"/>
  <c r="B28" i="2" s="1"/>
  <c r="S11" i="1"/>
  <c r="T11" i="1" s="1"/>
  <c r="B29" i="2" s="1"/>
  <c r="S4" i="1"/>
  <c r="G10" i="1"/>
  <c r="G21" i="1" s="1"/>
  <c r="H21" i="1" s="1"/>
  <c r="K19" i="1"/>
  <c r="K16" i="1"/>
  <c r="K22" i="1"/>
  <c r="H8" i="1"/>
  <c r="H19" i="1"/>
  <c r="K8" i="1"/>
  <c r="K11" i="1"/>
  <c r="H11" i="1"/>
  <c r="K5" i="1"/>
  <c r="G6" i="1"/>
  <c r="G17" i="1" s="1"/>
  <c r="H17" i="1" s="1"/>
  <c r="G5" i="1"/>
  <c r="G16" i="1" s="1"/>
  <c r="H16" i="1" s="1"/>
  <c r="L40" i="1"/>
  <c r="K40" i="1"/>
  <c r="M40" i="1"/>
  <c r="I22" i="1" s="1"/>
  <c r="L39" i="1"/>
  <c r="K39" i="1"/>
  <c r="M39" i="1"/>
  <c r="K35" i="1"/>
  <c r="M35" i="1"/>
  <c r="L35" i="1"/>
  <c r="K34" i="1"/>
  <c r="M34" i="1"/>
  <c r="L34" i="1"/>
  <c r="M28" i="1"/>
  <c r="L30" i="1"/>
  <c r="M30" i="1"/>
  <c r="M29" i="1"/>
  <c r="K30" i="1"/>
  <c r="L29" i="1"/>
  <c r="L38" i="1"/>
  <c r="L33" i="1"/>
  <c r="L28" i="1"/>
  <c r="K28" i="1"/>
  <c r="K10" i="1"/>
  <c r="K29" i="1"/>
  <c r="K38" i="1"/>
  <c r="K33" i="1"/>
  <c r="K6" i="1"/>
  <c r="K20" i="1"/>
  <c r="K14" i="1"/>
  <c r="K21" i="1"/>
  <c r="K18" i="1"/>
  <c r="K7" i="1"/>
  <c r="K15" i="1"/>
  <c r="H4" i="1"/>
  <c r="H3" i="1"/>
  <c r="H9" i="1"/>
  <c r="K3" i="1"/>
  <c r="M38" i="1"/>
  <c r="M33" i="1"/>
  <c r="H7" i="1"/>
  <c r="K4" i="1"/>
  <c r="K9" i="1"/>
  <c r="K17" i="1"/>
  <c r="T4" i="1" l="1"/>
  <c r="B22" i="2" s="1"/>
  <c r="A26" i="2"/>
  <c r="A25" i="2"/>
  <c r="A29" i="2"/>
  <c r="A28" i="2"/>
  <c r="H10" i="1"/>
  <c r="I10" i="1" s="1"/>
  <c r="J10" i="1" s="1"/>
  <c r="I8" i="1"/>
  <c r="L8" i="1" s="1"/>
  <c r="M8" i="1" s="1"/>
  <c r="I16" i="1"/>
  <c r="I19" i="1"/>
  <c r="J19" i="1" s="1"/>
  <c r="B17" i="2" s="1"/>
  <c r="J22" i="1"/>
  <c r="B20" i="2" s="1"/>
  <c r="L22" i="1"/>
  <c r="M22" i="1" s="1"/>
  <c r="H5" i="1"/>
  <c r="I5" i="1" s="1"/>
  <c r="L5" i="1" s="1"/>
  <c r="M5" i="1" s="1"/>
  <c r="I11" i="1"/>
  <c r="J11" i="1" s="1"/>
  <c r="H6" i="1"/>
  <c r="I6" i="1" s="1"/>
  <c r="J6" i="1" s="1"/>
  <c r="I18" i="1"/>
  <c r="J18" i="1" s="1"/>
  <c r="I15" i="1"/>
  <c r="J15" i="1" s="1"/>
  <c r="I20" i="1"/>
  <c r="J20" i="1" s="1"/>
  <c r="I21" i="1"/>
  <c r="J21" i="1" s="1"/>
  <c r="I17" i="1"/>
  <c r="J17" i="1" s="1"/>
  <c r="I14" i="1"/>
  <c r="J14" i="1" s="1"/>
  <c r="I3" i="1"/>
  <c r="J3" i="1" s="1"/>
  <c r="I7" i="1"/>
  <c r="J7" i="1" s="1"/>
  <c r="I9" i="1"/>
  <c r="J9" i="1" s="1"/>
  <c r="I4" i="1"/>
  <c r="J4" i="1" s="1"/>
  <c r="A22" i="2" l="1"/>
  <c r="A18" i="2"/>
  <c r="B18" i="2"/>
  <c r="A19" i="2"/>
  <c r="B19" i="2"/>
  <c r="A13" i="2"/>
  <c r="B13" i="2"/>
  <c r="A15" i="2"/>
  <c r="B15" i="2"/>
  <c r="A16" i="2"/>
  <c r="B16" i="2"/>
  <c r="A12" i="2"/>
  <c r="B12" i="2"/>
  <c r="A9" i="2"/>
  <c r="B9" i="2"/>
  <c r="A5" i="2"/>
  <c r="B5" i="2"/>
  <c r="A4" i="2"/>
  <c r="B4" i="2"/>
  <c r="A2" i="2"/>
  <c r="B2" i="2"/>
  <c r="A7" i="2"/>
  <c r="B7" i="2"/>
  <c r="A8" i="2"/>
  <c r="B8" i="2"/>
  <c r="A1" i="2"/>
  <c r="B1" i="2"/>
  <c r="N22" i="1"/>
  <c r="A20" i="2"/>
  <c r="A17" i="2"/>
  <c r="J8" i="1"/>
  <c r="B6" i="2" s="1"/>
  <c r="L19" i="1"/>
  <c r="M19" i="1" s="1"/>
  <c r="N19" i="1" s="1"/>
  <c r="J16" i="1"/>
  <c r="L16" i="1"/>
  <c r="M16" i="1" s="1"/>
  <c r="L11" i="1"/>
  <c r="M11" i="1" s="1"/>
  <c r="J5" i="1"/>
  <c r="B3" i="2" s="1"/>
  <c r="N18" i="1"/>
  <c r="N21" i="1"/>
  <c r="N20" i="1"/>
  <c r="L18" i="1"/>
  <c r="M18" i="1" s="1"/>
  <c r="L21" i="1"/>
  <c r="M21" i="1" s="1"/>
  <c r="L17" i="1"/>
  <c r="M17" i="1" s="1"/>
  <c r="L20" i="1"/>
  <c r="M20" i="1" s="1"/>
  <c r="L14" i="1"/>
  <c r="M14" i="1" s="1"/>
  <c r="L15" i="1"/>
  <c r="M15" i="1" s="1"/>
  <c r="L4" i="1"/>
  <c r="M4" i="1" s="1"/>
  <c r="L9" i="1"/>
  <c r="M9" i="1" s="1"/>
  <c r="L6" i="1"/>
  <c r="M6" i="1" s="1"/>
  <c r="L7" i="1"/>
  <c r="M7" i="1" s="1"/>
  <c r="L10" i="1"/>
  <c r="M10" i="1" s="1"/>
  <c r="L3" i="1"/>
  <c r="M3" i="1" s="1"/>
  <c r="A14" i="2" l="1"/>
  <c r="B14" i="2"/>
  <c r="N5" i="1"/>
  <c r="A3" i="2"/>
  <c r="N8" i="1"/>
  <c r="A6" i="2"/>
  <c r="N11" i="1"/>
  <c r="N16" i="1"/>
  <c r="N14" i="1"/>
  <c r="N15" i="1"/>
  <c r="N17" i="1"/>
  <c r="N4" i="1"/>
  <c r="N9" i="1"/>
  <c r="N10" i="1"/>
  <c r="N7" i="1"/>
  <c r="N6" i="1"/>
  <c r="N3" i="1"/>
  <c r="D9" i="2" l="1"/>
</calcChain>
</file>

<file path=xl/sharedStrings.xml><?xml version="1.0" encoding="utf-8"?>
<sst xmlns="http://schemas.openxmlformats.org/spreadsheetml/2006/main" count="104" uniqueCount="95">
  <si>
    <t>510050.SH</t>
    <phoneticPr fontId="2" type="noConversion"/>
  </si>
  <si>
    <t>000016.SH</t>
    <phoneticPr fontId="2" type="noConversion"/>
  </si>
  <si>
    <t>IH00.CFE</t>
    <phoneticPr fontId="2" type="noConversion"/>
  </si>
  <si>
    <t>IH01.CFE</t>
    <phoneticPr fontId="2" type="noConversion"/>
  </si>
  <si>
    <t>最新价</t>
    <phoneticPr fontId="2" type="noConversion"/>
  </si>
  <si>
    <t>coef</t>
    <phoneticPr fontId="2" type="noConversion"/>
  </si>
  <si>
    <t>单位市值</t>
    <phoneticPr fontId="2" type="noConversion"/>
  </si>
  <si>
    <t>510300.SH</t>
    <phoneticPr fontId="2" type="noConversion"/>
  </si>
  <si>
    <t>000300.SH</t>
    <phoneticPr fontId="2" type="noConversion"/>
  </si>
  <si>
    <t>IF00.CFE</t>
    <phoneticPr fontId="2" type="noConversion"/>
  </si>
  <si>
    <t>IF01.CFE</t>
    <phoneticPr fontId="2" type="noConversion"/>
  </si>
  <si>
    <t>510500.SH</t>
    <phoneticPr fontId="2" type="noConversion"/>
  </si>
  <si>
    <t>000905.SH</t>
    <phoneticPr fontId="2" type="noConversion"/>
  </si>
  <si>
    <t>IC00.CFE</t>
    <phoneticPr fontId="2" type="noConversion"/>
  </si>
  <si>
    <t>IC01.CFE</t>
    <phoneticPr fontId="2" type="noConversion"/>
  </si>
  <si>
    <t>名称</t>
    <phoneticPr fontId="2" type="noConversion"/>
  </si>
  <si>
    <t>代码</t>
    <phoneticPr fontId="2" type="noConversion"/>
  </si>
  <si>
    <t>更新时间</t>
    <phoneticPr fontId="2" type="noConversion"/>
  </si>
  <si>
    <t>距离交割</t>
    <phoneticPr fontId="2" type="noConversion"/>
  </si>
  <si>
    <t>参数</t>
    <phoneticPr fontId="2" type="noConversion"/>
  </si>
  <si>
    <t>204007.SH</t>
    <phoneticPr fontId="2" type="noConversion"/>
  </si>
  <si>
    <t>融资成本</t>
    <phoneticPr fontId="2" type="noConversion"/>
  </si>
  <si>
    <t>保证金比率</t>
    <phoneticPr fontId="2" type="noConversion"/>
  </si>
  <si>
    <t>溢价点数</t>
    <phoneticPr fontId="2" type="noConversion"/>
  </si>
  <si>
    <t>ETF成本</t>
    <phoneticPr fontId="2" type="noConversion"/>
  </si>
  <si>
    <t>期货成本</t>
    <phoneticPr fontId="2" type="noConversion"/>
  </si>
  <si>
    <t>毛利</t>
    <phoneticPr fontId="2" type="noConversion"/>
  </si>
  <si>
    <t>净利</t>
    <phoneticPr fontId="2" type="noConversion"/>
  </si>
  <si>
    <t>交易成本</t>
    <phoneticPr fontId="2" type="noConversion"/>
  </si>
  <si>
    <t>超额盈利</t>
    <phoneticPr fontId="2" type="noConversion"/>
  </si>
  <si>
    <t>成交额</t>
    <phoneticPr fontId="2" type="noConversion"/>
  </si>
  <si>
    <t>净利年化</t>
    <phoneticPr fontId="2" type="noConversion"/>
  </si>
  <si>
    <t>超额年化</t>
    <phoneticPr fontId="2" type="noConversion"/>
  </si>
  <si>
    <t>资金占用</t>
    <phoneticPr fontId="2" type="noConversion"/>
  </si>
  <si>
    <t>基差空间</t>
    <phoneticPr fontId="2" type="noConversion"/>
  </si>
  <si>
    <t>正向套利</t>
    <phoneticPr fontId="2" type="noConversion"/>
  </si>
  <si>
    <t>反向套利</t>
    <phoneticPr fontId="2" type="noConversion"/>
  </si>
  <si>
    <t>预期分红</t>
    <phoneticPr fontId="2" type="noConversion"/>
  </si>
  <si>
    <t xml:space="preserve"> </t>
    <phoneticPr fontId="2" type="noConversion"/>
  </si>
  <si>
    <t>激活次数</t>
    <phoneticPr fontId="2" type="noConversion"/>
  </si>
  <si>
    <t>刷新次数</t>
    <phoneticPr fontId="2" type="noConversion"/>
  </si>
  <si>
    <t>窗体top</t>
    <phoneticPr fontId="2" type="noConversion"/>
  </si>
  <si>
    <t>窗体left</t>
    <phoneticPr fontId="2" type="noConversion"/>
  </si>
  <si>
    <t>逆回购</t>
    <phoneticPr fontId="2" type="noConversion"/>
  </si>
  <si>
    <t>上证50</t>
    <phoneticPr fontId="2" type="noConversion"/>
  </si>
  <si>
    <t>沪深300</t>
    <phoneticPr fontId="2" type="noConversion"/>
  </si>
  <si>
    <t>中证500</t>
    <phoneticPr fontId="2" type="noConversion"/>
  </si>
  <si>
    <t>当前版本</t>
    <phoneticPr fontId="6" type="noConversion"/>
  </si>
  <si>
    <t>操作说明</t>
    <phoneticPr fontId="6" type="noConversion"/>
  </si>
  <si>
    <t>表格内容</t>
    <phoneticPr fontId="6" type="noConversion"/>
  </si>
  <si>
    <t>关键指标</t>
    <phoneticPr fontId="6" type="noConversion"/>
  </si>
  <si>
    <t>版本升级</t>
    <phoneticPr fontId="6" type="noConversion"/>
  </si>
  <si>
    <t>v1.0</t>
    <phoneticPr fontId="6" type="noConversion"/>
  </si>
  <si>
    <t>v1.1</t>
    <phoneticPr fontId="6" type="noConversion"/>
  </si>
  <si>
    <t>期现套利机会监控</t>
    <phoneticPr fontId="6" type="noConversion"/>
  </si>
  <si>
    <t>期现套利</t>
    <phoneticPr fontId="6" type="noConversion"/>
  </si>
  <si>
    <t>期现套利机会跟踪，根据实时数据计算</t>
    <phoneticPr fontId="6" type="noConversion"/>
  </si>
  <si>
    <t>Warn(隐藏)</t>
    <phoneticPr fontId="6" type="noConversion"/>
  </si>
  <si>
    <t>预警使用说明：</t>
    <phoneticPr fontId="2" type="noConversion"/>
  </si>
  <si>
    <t>B列为A列为1时的提示内容</t>
    <phoneticPr fontId="2" type="noConversion"/>
  </si>
  <si>
    <t>回购成本</t>
    <phoneticPr fontId="2" type="noConversion"/>
  </si>
  <si>
    <t>逆回购收益</t>
    <phoneticPr fontId="2" type="noConversion"/>
  </si>
  <si>
    <t>净利、净利年化</t>
    <phoneticPr fontId="2" type="noConversion"/>
  </si>
  <si>
    <t>超额盈利、超额年化</t>
    <phoneticPr fontId="2" type="noConversion"/>
  </si>
  <si>
    <t>溢价点数</t>
    <phoneticPr fontId="6" type="noConversion"/>
  </si>
  <si>
    <t>预期分红</t>
    <phoneticPr fontId="6" type="noConversion"/>
  </si>
  <si>
    <t>预警行数</t>
    <phoneticPr fontId="2" type="noConversion"/>
  </si>
  <si>
    <t>Data(隐藏)</t>
    <phoneticPr fontId="2" type="noConversion"/>
  </si>
  <si>
    <t>期现套利实时计算，预警监控</t>
    <phoneticPr fontId="2" type="noConversion"/>
  </si>
  <si>
    <t>扣除手续费后的绝对收益金额及其年化收益率</t>
    <phoneticPr fontId="2" type="noConversion"/>
  </si>
  <si>
    <t>净利扣除资金成本或增加回购收益后的超额收益金额及其年化收益率</t>
    <phoneticPr fontId="2" type="noConversion"/>
  </si>
  <si>
    <t>预警监控设置，A列为预警信号，B列为提示内容</t>
    <phoneticPr fontId="6" type="noConversion"/>
  </si>
  <si>
    <t>在到期期限内，ETF相对指数的超额收益点数</t>
    <phoneticPr fontId="2" type="noConversion"/>
  </si>
  <si>
    <t>(ETF-IOPV)x1000；期货-指数</t>
    <phoneticPr fontId="2" type="noConversion"/>
  </si>
  <si>
    <t>预警阈值</t>
    <phoneticPr fontId="2" type="noConversion"/>
  </si>
  <si>
    <t>A列为信号值，1时表示预警</t>
    <phoneticPr fontId="2" type="noConversion"/>
  </si>
  <si>
    <t>IH02.CFE</t>
    <phoneticPr fontId="2" type="noConversion"/>
  </si>
  <si>
    <t>IF02.CFE</t>
    <phoneticPr fontId="2" type="noConversion"/>
  </si>
  <si>
    <t>IC02.CFE</t>
    <phoneticPr fontId="2" type="noConversion"/>
  </si>
  <si>
    <t>1.需要启用VBA宏和Wind插件，且Wind插件处于已登录状态。
2.点击[预警监控窗口]显示监控，点击窗体内部隐藏10秒，点击右上角X关闭窗体。</t>
    <phoneticPr fontId="6" type="noConversion"/>
  </si>
  <si>
    <t>正向年化</t>
    <phoneticPr fontId="2" type="noConversion"/>
  </si>
  <si>
    <t>负向年化</t>
    <phoneticPr fontId="2" type="noConversion"/>
  </si>
  <si>
    <t>展期价差</t>
    <phoneticPr fontId="2" type="noConversion"/>
  </si>
  <si>
    <t>升贴水基差</t>
    <phoneticPr fontId="2" type="noConversion"/>
  </si>
  <si>
    <t>年化</t>
    <phoneticPr fontId="2" type="noConversion"/>
  </si>
  <si>
    <t>IH</t>
    <phoneticPr fontId="2" type="noConversion"/>
  </si>
  <si>
    <t>IF</t>
    <phoneticPr fontId="2" type="noConversion"/>
  </si>
  <si>
    <t>IC</t>
    <phoneticPr fontId="2" type="noConversion"/>
  </si>
  <si>
    <t>实时价格</t>
    <phoneticPr fontId="2" type="noConversion"/>
  </si>
  <si>
    <t>增加展期价差和升贴水实时价格，预警监控</t>
    <phoneticPr fontId="2" type="noConversion"/>
  </si>
  <si>
    <t>展期年化</t>
    <phoneticPr fontId="2" type="noConversion"/>
  </si>
  <si>
    <t>升水年化</t>
    <phoneticPr fontId="2" type="noConversion"/>
  </si>
  <si>
    <t>ver1.1</t>
    <phoneticPr fontId="6" type="noConversion"/>
  </si>
  <si>
    <t>ver1.1</t>
  </si>
  <si>
    <t>当前已是最新版</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</si>
</sst>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rgb="FF000000"/>
      <name val="等线"/>
      <family val="3"/>
      <charset val="134"/>
    </font>
    <font>
      <sz val="11"/>
      <color theme="1"/>
      <name val="等线"/>
      <family val="3"/>
      <charset val="134"/>
      <scheme val="minor"/>
    </font>
    <font>
      <b/>
      <sz val="16"/>
      <color indexed="8"/>
      <name val="等线"/>
      <family val="3"/>
      <charset val="134"/>
      <scheme val="minor"/>
    </font>
    <font>
      <sz val="9"/>
      <name val="等线"/>
      <family val="3"/>
      <charset val="134"/>
      <scheme val="minor"/>
    </font>
    <font>
      <b/>
      <sz val="11"/>
      <color indexed="8"/>
      <name val="等线"/>
      <family val="3"/>
      <charset val="134"/>
      <scheme val="minor"/>
    </font>
    <font>
      <b/>
      <sz val="11"/>
      <name val="等线"/>
      <family val="3"/>
      <charset val="134"/>
      <scheme val="minor"/>
    </font>
    <font>
      <sz val="11"/>
      <name val="等线"/>
      <family val="3"/>
      <charset val="134"/>
      <scheme val="minor"/>
    </font>
    <font>
      <b/>
      <sz val="11"/>
      <color theme="1"/>
      <name val="等线"/>
      <family val="3"/>
      <charset val="134"/>
      <scheme val="minor"/>
    </font>
    <font>
      <u/>
      <sz val="11"/>
      <color theme="10"/>
      <name val="等线"/>
      <family val="2"/>
      <charset val="134"/>
      <scheme val="minor"/>
    </font>
  </fonts>
  <fills count="2">
    <fill>
      <patternFill patternType="none"/>
    </fill>
    <fill>
      <patternFill patternType="gray125"/>
    </fill>
  </fills>
  <borders count="2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s>
  <cellStyleXfs count="3">
    <xf numFmtId="0" fontId="0" fillId="0" borderId="0">
      <alignment vertical="center"/>
    </xf>
    <xf numFmtId="9" fontId="1"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63">
    <xf numFmtId="0" fontId="0" fillId="0" borderId="0" xfId="0">
      <alignment vertical="center"/>
    </xf>
    <xf numFmtId="0" fontId="0" fillId="0" borderId="0" xfId="0" applyBorder="1">
      <alignment vertical="center"/>
    </xf>
    <xf numFmtId="10" fontId="0" fillId="0" borderId="0" xfId="1" applyNumberFormat="1" applyFont="1" applyBorder="1">
      <alignment vertical="center"/>
    </xf>
    <xf numFmtId="0" fontId="0" fillId="0" borderId="0" xfId="0" applyNumberFormat="1" applyBorder="1">
      <alignment vertical="center"/>
    </xf>
    <xf numFmtId="1" fontId="0" fillId="0" borderId="0" xfId="0" applyNumberFormat="1" applyBorder="1">
      <alignment vertical="center"/>
    </xf>
    <xf numFmtId="1" fontId="0" fillId="0" borderId="0" xfId="0" applyNumberFormat="1" applyBorder="1" applyAlignment="1">
      <alignment horizontal="righ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10" fontId="0" fillId="0" borderId="7" xfId="1" applyNumberFormat="1" applyFont="1" applyBorder="1">
      <alignment vertical="center"/>
    </xf>
    <xf numFmtId="1" fontId="0" fillId="0" borderId="8" xfId="0" applyNumberFormat="1" applyBorder="1">
      <alignment vertical="center"/>
    </xf>
    <xf numFmtId="10" fontId="0" fillId="0" borderId="8" xfId="1" applyNumberFormat="1" applyFont="1" applyBorder="1">
      <alignment vertical="center"/>
    </xf>
    <xf numFmtId="1" fontId="0" fillId="0" borderId="8" xfId="0" applyNumberFormat="1" applyBorder="1" applyAlignment="1">
      <alignment horizontal="right" vertical="center"/>
    </xf>
    <xf numFmtId="0" fontId="0" fillId="0" borderId="8" xfId="0" applyNumberFormat="1" applyBorder="1">
      <alignment vertical="center"/>
    </xf>
    <xf numFmtId="0" fontId="0" fillId="0" borderId="10" xfId="0" applyBorder="1">
      <alignment vertical="center"/>
    </xf>
    <xf numFmtId="0" fontId="0" fillId="0" borderId="10" xfId="0" applyNumberFormat="1" applyBorder="1">
      <alignment vertical="center"/>
    </xf>
    <xf numFmtId="0" fontId="0" fillId="0" borderId="11" xfId="0" applyBorder="1">
      <alignment vertical="center"/>
    </xf>
    <xf numFmtId="0" fontId="0" fillId="0" borderId="13" xfId="0" applyBorder="1">
      <alignment vertical="center"/>
    </xf>
    <xf numFmtId="0" fontId="0" fillId="0" borderId="13" xfId="0" applyNumberFormat="1" applyBorder="1">
      <alignment vertical="center"/>
    </xf>
    <xf numFmtId="0" fontId="0" fillId="0" borderId="14" xfId="0" applyBorder="1">
      <alignment vertical="center"/>
    </xf>
    <xf numFmtId="0" fontId="0" fillId="0" borderId="16" xfId="0" applyBorder="1">
      <alignment vertical="center"/>
    </xf>
    <xf numFmtId="0" fontId="0" fillId="0" borderId="17" xfId="0" applyBorder="1">
      <alignment vertical="center"/>
    </xf>
    <xf numFmtId="1" fontId="0" fillId="0" borderId="10" xfId="0" applyNumberFormat="1" applyBorder="1">
      <alignment vertical="center"/>
    </xf>
    <xf numFmtId="10" fontId="0" fillId="0" borderId="10" xfId="1" applyNumberFormat="1" applyFont="1" applyBorder="1">
      <alignment vertical="center"/>
    </xf>
    <xf numFmtId="1" fontId="0" fillId="0" borderId="10" xfId="0" applyNumberFormat="1" applyBorder="1" applyAlignment="1">
      <alignment horizontal="right" vertical="center"/>
    </xf>
    <xf numFmtId="0" fontId="4" fillId="0" borderId="0" xfId="0" applyFont="1">
      <alignment vertical="center"/>
    </xf>
    <xf numFmtId="0" fontId="7" fillId="0" borderId="18" xfId="0" applyFont="1" applyBorder="1" applyAlignment="1">
      <alignment horizontal="center" vertical="center" wrapText="1"/>
    </xf>
    <xf numFmtId="0" fontId="8" fillId="0" borderId="18" xfId="0" applyFont="1" applyBorder="1" applyAlignment="1">
      <alignment horizontal="center" vertical="center" wrapText="1"/>
    </xf>
    <xf numFmtId="14" fontId="9" fillId="0" borderId="18" xfId="0" applyNumberFormat="1" applyFont="1" applyBorder="1" applyAlignment="1">
      <alignment horizontal="center" vertical="center" wrapText="1"/>
    </xf>
    <xf numFmtId="0" fontId="0" fillId="0" borderId="18" xfId="0" applyBorder="1" applyAlignment="1">
      <alignment vertical="center" wrapText="1"/>
    </xf>
    <xf numFmtId="0" fontId="0" fillId="0" borderId="0" xfId="0" applyAlignment="1">
      <alignment horizontal="left" vertical="center" indent="1"/>
    </xf>
    <xf numFmtId="0" fontId="10" fillId="0" borderId="18" xfId="0" applyFont="1" applyBorder="1" applyAlignment="1">
      <alignment horizontal="center" vertical="center"/>
    </xf>
    <xf numFmtId="0" fontId="0" fillId="0" borderId="12" xfId="0" applyBorder="1" applyAlignment="1">
      <alignment horizontal="center" vertical="center"/>
    </xf>
    <xf numFmtId="0" fontId="0" fillId="0" borderId="3" xfId="0" applyFill="1" applyBorder="1">
      <alignment vertical="center"/>
    </xf>
    <xf numFmtId="0" fontId="0" fillId="0" borderId="1" xfId="0" applyFill="1" applyBorder="1">
      <alignment vertical="center"/>
    </xf>
    <xf numFmtId="9" fontId="0" fillId="0" borderId="4" xfId="0" applyNumberFormat="1" applyBorder="1">
      <alignment vertical="center"/>
    </xf>
    <xf numFmtId="0" fontId="0" fillId="0" borderId="5" xfId="0" applyFill="1" applyBorder="1">
      <alignment vertical="center"/>
    </xf>
    <xf numFmtId="9" fontId="0" fillId="0" borderId="6" xfId="0" applyNumberFormat="1" applyBorder="1">
      <alignment vertical="center"/>
    </xf>
    <xf numFmtId="9" fontId="0" fillId="0" borderId="6" xfId="1" applyFont="1" applyBorder="1">
      <alignment vertical="center"/>
    </xf>
    <xf numFmtId="10" fontId="0" fillId="0" borderId="4" xfId="1" applyNumberFormat="1" applyFont="1" applyBorder="1">
      <alignment vertical="center"/>
    </xf>
    <xf numFmtId="0" fontId="0" fillId="0" borderId="0" xfId="0" applyFill="1" applyBorder="1">
      <alignment vertical="center"/>
    </xf>
    <xf numFmtId="0" fontId="0" fillId="0" borderId="8" xfId="0" applyFill="1" applyBorder="1">
      <alignment vertical="center"/>
    </xf>
    <xf numFmtId="0" fontId="0" fillId="0" borderId="6" xfId="0" applyFill="1" applyBorder="1">
      <alignment vertical="center"/>
    </xf>
    <xf numFmtId="1" fontId="0" fillId="0" borderId="16" xfId="0" applyNumberFormat="1" applyBorder="1">
      <alignment vertical="center"/>
    </xf>
    <xf numFmtId="10" fontId="0" fillId="0" borderId="16" xfId="1" applyNumberFormat="1" applyFont="1" applyBorder="1">
      <alignment vertical="center"/>
    </xf>
    <xf numFmtId="1" fontId="0" fillId="0" borderId="16" xfId="0" applyNumberFormat="1" applyBorder="1" applyAlignment="1">
      <alignment horizontal="right" vertical="center"/>
    </xf>
    <xf numFmtId="0" fontId="0" fillId="0" borderId="19" xfId="0" applyBorder="1">
      <alignment vertical="center"/>
    </xf>
    <xf numFmtId="10" fontId="0" fillId="0" borderId="11" xfId="1" applyNumberFormat="1" applyFont="1" applyBorder="1">
      <alignment vertical="center"/>
    </xf>
    <xf numFmtId="10" fontId="0" fillId="0" borderId="17" xfId="1" applyNumberFormat="1" applyFont="1" applyBorder="1">
      <alignment vertical="center"/>
    </xf>
    <xf numFmtId="10" fontId="0" fillId="0" borderId="6" xfId="1" applyNumberFormat="1" applyFont="1" applyBorder="1">
      <alignment vertical="center"/>
    </xf>
    <xf numFmtId="0" fontId="11" fillId="0" borderId="18" xfId="2" applyBorder="1">
      <alignment vertical="center"/>
    </xf>
    <xf numFmtId="0" fontId="5" fillId="0" borderId="0" xfId="0" applyFont="1" applyAlignment="1">
      <alignment horizontal="center" vertical="center"/>
    </xf>
    <xf numFmtId="0" fontId="0" fillId="0" borderId="18" xfId="0" applyBorder="1" applyAlignment="1">
      <alignment horizontal="left" vertical="center" wrapText="1"/>
    </xf>
    <xf numFmtId="0" fontId="7" fillId="0" borderId="18" xfId="0" applyFont="1" applyBorder="1" applyAlignment="1">
      <alignment horizontal="center" vertical="center" wrapText="1"/>
    </xf>
    <xf numFmtId="0" fontId="0" fillId="0" borderId="9"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5" xfId="0" applyBorder="1" applyAlignment="1">
      <alignment horizontal="center" vertical="center"/>
    </xf>
  </cellXfs>
  <cellStyles count="3">
    <cellStyle name="百分比" xfId="1" builtinId="5"/>
    <cellStyle name="常规" xfId="0" builtinId="0"/>
    <cellStyle name="超链接" xfId="2"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t="s">
        <v>09:51:56</v>
        <stp/>
        <stp>IH02.CFE</stp>
        <stp>Update_Time</stp>
        <stp>RT_Price</stp>
        <tr r="N30" s="1"/>
      </tp>
      <tp t="s">
        <v>09:51:59</v>
        <stp/>
        <stp>IF02.CFE</stp>
        <stp>Update_Time</stp>
        <stp>RT_Price</stp>
        <tr r="N35" s="1"/>
      </tp>
      <tp t="s">
        <v>09:51:58</v>
        <stp/>
        <stp>IC02.CFE</stp>
        <stp>Update_Time</stp>
        <stp>RT_Price</stp>
        <tr r="N40" s="1"/>
      </tp>
      <tp t="s">
        <v>09:51:58</v>
        <stp/>
        <stp>IH00.CFE</stp>
        <stp>Update_Time</stp>
        <stp>RT_Price</stp>
        <tr r="N28" s="1"/>
      </tp>
      <tp t="s">
        <v>09:51:59</v>
        <stp/>
        <stp>IF00.CFE</stp>
        <stp>Update_Time</stp>
        <stp>RT_Price</stp>
        <tr r="N33" s="1"/>
      </tp>
      <tp t="s">
        <v>09:51:59</v>
        <stp/>
        <stp>IC00.CFE</stp>
        <stp>Update_Time</stp>
        <stp>RT_Price</stp>
        <tr r="N38" s="1"/>
      </tp>
      <tp t="s">
        <v>09:51:53</v>
        <stp/>
        <stp>IH01.CFE</stp>
        <stp>Update_Time</stp>
        <stp>RT_Price</stp>
        <tr r="N29" s="1"/>
      </tp>
      <tp t="s">
        <v>09:51:59</v>
        <stp/>
        <stp>IF01.CFE</stp>
        <stp>Update_Time</stp>
        <stp>RT_Price</stp>
        <tr r="N34" s="1"/>
      </tp>
      <tp t="s">
        <v>09:51:59</v>
        <stp/>
        <stp>IC01.CFE</stp>
        <stp>Update_Time</stp>
        <stp>RT_Price</stp>
        <tr r="N39" s="1"/>
      </tp>
      <tp t="s">
        <v>09:51:54</v>
        <stp/>
        <stp>000905.SH</stp>
        <stp>Update_Time</stp>
        <stp>RT_Price</stp>
        <tr r="N36" s="1"/>
      </tp>
      <tp t="s">
        <v>09:51:54</v>
        <stp/>
        <stp>000300.SH</stp>
        <stp>Update_Time</stp>
        <stp>RT_Price</stp>
        <tr r="N31" s="1"/>
      </tp>
      <tp t="s">
        <v>09:51:57</v>
        <stp/>
        <stp>510300.SH</stp>
        <stp>Update_Time</stp>
        <stp>RT_Price</stp>
        <tr r="N32" s="1"/>
      </tp>
      <tp t="s">
        <v>09:51:57</v>
        <stp/>
        <stp>204007.SH</stp>
        <stp>Update_Time</stp>
        <stp>RT_Price</stp>
        <tr r="N25" s="1"/>
      </tp>
      <tp t="s">
        <v>09:51:57</v>
        <stp/>
        <stp>510050.SH</stp>
        <stp>Update_Time</stp>
        <stp>RT_Price</stp>
        <tr r="N27" s="1"/>
      </tp>
      <tp t="s">
        <v>09:51:54</v>
        <stp/>
        <stp>000016.SH</stp>
        <stp>Update_Time</stp>
        <stp>RT_Price</stp>
        <tr r="N26" s="1"/>
      </tp>
      <tp t="s">
        <v>09:51:57</v>
        <stp/>
        <stp>510500.SH</stp>
        <stp>Update_Time</stp>
        <stp>RT_Price</stp>
        <tr r="N37" s="1"/>
      </tp>
      <tp>
        <v>6482.3600000000006</v>
        <stp/>
        <stp>000905.SH</stp>
        <stp>LastPrice</stp>
        <stp>RT_Price</stp>
        <tr r="E36" s="1"/>
      </tp>
      <tp>
        <v>2782.85</v>
        <stp/>
        <stp>000016.SH</stp>
        <stp>LastPrice</stp>
        <stp>RT_Price</stp>
        <tr r="E26" s="1"/>
      </tp>
      <tp>
        <v>3.2600000000000002</v>
        <stp/>
        <stp>204007.SH</stp>
        <stp>LastPrice</stp>
        <stp>RT_Price</stp>
        <tr r="E25" s="1"/>
      </tp>
      <tp>
        <v>3991.15</v>
        <stp/>
        <stp>000300.SH</stp>
        <stp>LastPrice</stp>
        <stp>RT_Price</stp>
        <tr r="E31" s="1"/>
      </tp>
      <tp>
        <v>2.8370000000000002</v>
        <stp/>
        <stp>510050.SH</stp>
        <stp>LastPrice</stp>
        <stp>RT_Price</stp>
        <tr r="E27" s="1"/>
      </tp>
      <tp>
        <v>4.0520000000000005</v>
        <stp/>
        <stp>510300.SH</stp>
        <stp>LastPrice</stp>
        <stp>RT_Price</stp>
        <tr r="E32" s="1"/>
      </tp>
      <tp>
        <v>6.8159999999999998</v>
        <stp/>
        <stp>510500.SH</stp>
        <stp>LastPrice</stp>
        <stp>RT_Price</stp>
        <tr r="E37" s="1"/>
      </tp>
      <tp>
        <v>-0.01</v>
        <stp/>
        <stp>510500.SH</stp>
        <stp>PREMIUM</stp>
        <stp>RT_Price</stp>
        <tr r="F37" s="1"/>
      </tp>
      <tp>
        <v>6328.8</v>
        <stp/>
        <stp>IC02.CFE</stp>
        <stp>LastPrice</stp>
        <stp>RT_Price</stp>
        <tr r="E40" s="1"/>
      </tp>
      <tp>
        <v>6449</v>
        <stp/>
        <stp>IC00.CFE</stp>
        <stp>LastPrice</stp>
        <stp>RT_Price</stp>
        <tr r="E38" s="1"/>
      </tp>
      <tp>
        <v>6409</v>
        <stp/>
        <stp>IC01.CFE</stp>
        <stp>LastPrice</stp>
        <stp>RT_Price</stp>
        <tr r="E39" s="1"/>
      </tp>
      <tp>
        <v>3975.6</v>
        <stp/>
        <stp>IF02.CFE</stp>
        <stp>LastPrice</stp>
        <stp>RT_Price</stp>
        <tr r="E35" s="1"/>
      </tp>
      <tp>
        <v>3985</v>
        <stp/>
        <stp>IF00.CFE</stp>
        <stp>LastPrice</stp>
        <stp>RT_Price</stp>
        <tr r="E33" s="1"/>
      </tp>
      <tp>
        <v>3978.8</v>
        <stp/>
        <stp>IF01.CFE</stp>
        <stp>LastPrice</stp>
        <stp>RT_Price</stp>
        <tr r="E34" s="1"/>
      </tp>
      <tp>
        <v>2812.2000000000003</v>
        <stp/>
        <stp>IH02.CFE</stp>
        <stp>LastPrice</stp>
        <stp>RT_Price</stp>
        <tr r="E30" s="1"/>
      </tp>
      <tp>
        <v>2788.8</v>
        <stp/>
        <stp>IH00.CFE</stp>
        <stp>LastPrice</stp>
        <stp>RT_Price</stp>
        <tr r="E28" s="1"/>
      </tp>
      <tp>
        <v>2794.2000000000003</v>
        <stp/>
        <stp>IH01.CFE</stp>
        <stp>LastPrice</stp>
        <stp>RT_Price</stp>
        <tr r="E29" s="1"/>
      </tp>
      <tp>
        <v>-1E-3</v>
        <stp/>
        <stp>510050.SH</stp>
        <stp>PREMIUM</stp>
        <stp>RT_Price</stp>
        <tr r="F27" s="1"/>
      </tp>
      <tp>
        <v>-1E-3</v>
        <stp/>
        <stp>510300.SH</stp>
        <stp>PREMIUM</stp>
        <stp>RT_Price</stp>
        <tr r="F32" s="1"/>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3543300</xdr:colOff>
          <xdr:row>2</xdr:row>
          <xdr:rowOff>19050</xdr:rowOff>
        </xdr:from>
        <xdr:to>
          <xdr:col>3</xdr:col>
          <xdr:colOff>4772025</xdr:colOff>
          <xdr:row>2</xdr:row>
          <xdr:rowOff>428625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检查更新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14</xdr:row>
          <xdr:rowOff>38100</xdr:rowOff>
        </xdr:from>
        <xdr:to>
          <xdr:col>2</xdr:col>
          <xdr:colOff>714375</xdr:colOff>
          <xdr:row>16</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66675</xdr:rowOff>
        </xdr:from>
        <xdr:to>
          <xdr:col>3</xdr:col>
          <xdr:colOff>733425</xdr:colOff>
          <xdr:row>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_info_code2"/>
      <definedName name="s_info_lddate"/>
      <definedName name="S_Info_Name"/>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D13"/>
  <sheetViews>
    <sheetView workbookViewId="0">
      <selection activeCell="D9" sqref="D9"/>
    </sheetView>
  </sheetViews>
  <sheetFormatPr defaultRowHeight="14.25" x14ac:dyDescent="0.2"/>
  <cols>
    <col min="2" max="2" width="12.125" customWidth="1"/>
    <col min="3" max="3" width="19.25" bestFit="1" customWidth="1"/>
    <col min="4" max="4" width="62.875" customWidth="1"/>
  </cols>
  <sheetData>
    <row r="2" spans="2:4" ht="36" customHeight="1" x14ac:dyDescent="0.2">
      <c r="B2" s="56" t="s">
        <v>54</v>
      </c>
      <c r="C2" s="56"/>
      <c r="D2" s="56"/>
    </row>
    <row r="3" spans="2:4" ht="36" customHeight="1" x14ac:dyDescent="0.2">
      <c r="B3" s="32" t="s">
        <v>47</v>
      </c>
      <c r="C3" s="33" t="s">
        <v>92</v>
      </c>
      <c r="D3" s="55" t="s">
        <v>94</v>
      </c>
    </row>
    <row r="4" spans="2:4" ht="42" customHeight="1" x14ac:dyDescent="0.2">
      <c r="B4" s="31" t="s">
        <v>48</v>
      </c>
      <c r="C4" s="57" t="s">
        <v>79</v>
      </c>
      <c r="D4" s="57"/>
    </row>
    <row r="5" spans="2:4" ht="36" customHeight="1" x14ac:dyDescent="0.2">
      <c r="B5" s="58" t="s">
        <v>49</v>
      </c>
      <c r="C5" s="31" t="s">
        <v>55</v>
      </c>
      <c r="D5" s="34" t="s">
        <v>56</v>
      </c>
    </row>
    <row r="6" spans="2:4" ht="36" customHeight="1" x14ac:dyDescent="0.2">
      <c r="B6" s="58"/>
      <c r="C6" s="31" t="s">
        <v>67</v>
      </c>
      <c r="D6" s="34"/>
    </row>
    <row r="7" spans="2:4" ht="36" customHeight="1" x14ac:dyDescent="0.2">
      <c r="B7" s="58"/>
      <c r="C7" s="31" t="s">
        <v>57</v>
      </c>
      <c r="D7" s="34" t="s">
        <v>71</v>
      </c>
    </row>
    <row r="8" spans="2:4" ht="36" customHeight="1" x14ac:dyDescent="0.2">
      <c r="B8" s="58" t="s">
        <v>50</v>
      </c>
      <c r="C8" s="36" t="s">
        <v>62</v>
      </c>
      <c r="D8" s="34" t="s">
        <v>69</v>
      </c>
    </row>
    <row r="9" spans="2:4" ht="36" customHeight="1" x14ac:dyDescent="0.2">
      <c r="B9" s="58"/>
      <c r="C9" s="36" t="s">
        <v>63</v>
      </c>
      <c r="D9" s="34" t="s">
        <v>70</v>
      </c>
    </row>
    <row r="10" spans="2:4" ht="36" customHeight="1" x14ac:dyDescent="0.2">
      <c r="B10" s="58"/>
      <c r="C10" s="31" t="s">
        <v>64</v>
      </c>
      <c r="D10" s="34" t="s">
        <v>73</v>
      </c>
    </row>
    <row r="11" spans="2:4" ht="36" customHeight="1" x14ac:dyDescent="0.2">
      <c r="B11" s="58"/>
      <c r="C11" s="31" t="s">
        <v>65</v>
      </c>
      <c r="D11" s="34" t="s">
        <v>72</v>
      </c>
    </row>
    <row r="12" spans="2:4" ht="36" customHeight="1" x14ac:dyDescent="0.2">
      <c r="B12" s="58" t="s">
        <v>51</v>
      </c>
      <c r="C12" s="31" t="s">
        <v>52</v>
      </c>
      <c r="D12" s="34" t="s">
        <v>68</v>
      </c>
    </row>
    <row r="13" spans="2:4" ht="36" customHeight="1" x14ac:dyDescent="0.2">
      <c r="B13" s="58"/>
      <c r="C13" s="31" t="s">
        <v>53</v>
      </c>
      <c r="D13" s="34" t="s">
        <v>89</v>
      </c>
    </row>
  </sheetData>
  <mergeCells count="5">
    <mergeCell ref="B2:D2"/>
    <mergeCell ref="C4:D4"/>
    <mergeCell ref="B5:B7"/>
    <mergeCell ref="B8:B11"/>
    <mergeCell ref="B12:B1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heck_update">
                <anchor moveWithCells="1" sizeWithCells="1">
                  <from>
                    <xdr:col>3</xdr:col>
                    <xdr:colOff>3543300</xdr:colOff>
                    <xdr:row>2</xdr:row>
                    <xdr:rowOff>19050</xdr:rowOff>
                  </from>
                  <to>
                    <xdr:col>3</xdr:col>
                    <xdr:colOff>4772025</xdr:colOff>
                    <xdr:row>2</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B1:V40"/>
  <sheetViews>
    <sheetView tabSelected="1" workbookViewId="0">
      <selection activeCell="R15" sqref="R15"/>
    </sheetView>
  </sheetViews>
  <sheetFormatPr defaultRowHeight="14.25" x14ac:dyDescent="0.2"/>
  <cols>
    <col min="1" max="1" width="2.25" customWidth="1"/>
    <col min="2" max="10" width="10" style="1" customWidth="1"/>
    <col min="11" max="11" width="11.125" style="1" customWidth="1"/>
    <col min="12" max="12" width="10" style="1" customWidth="1"/>
    <col min="13" max="13" width="9.5" style="1" bestFit="1" customWidth="1"/>
    <col min="14" max="14" width="14.375" style="1" bestFit="1" customWidth="1"/>
    <col min="15" max="15" width="7.25" style="1" customWidth="1"/>
    <col min="16" max="16" width="5.5" style="1" customWidth="1"/>
    <col min="17" max="17" width="10" customWidth="1"/>
    <col min="19" max="19" width="10.125" customWidth="1"/>
    <col min="21" max="21" width="10" customWidth="1"/>
  </cols>
  <sheetData>
    <row r="1" spans="2:22" ht="15" thickBot="1" x14ac:dyDescent="0.25"/>
    <row r="2" spans="2:22" ht="15" thickBot="1" x14ac:dyDescent="0.25">
      <c r="E2" s="6"/>
      <c r="F2" s="12" t="s">
        <v>16</v>
      </c>
      <c r="G2" s="12" t="s">
        <v>34</v>
      </c>
      <c r="H2" s="12" t="s">
        <v>26</v>
      </c>
      <c r="I2" s="12" t="s">
        <v>27</v>
      </c>
      <c r="J2" s="14" t="s">
        <v>31</v>
      </c>
      <c r="K2" s="12" t="s">
        <v>60</v>
      </c>
      <c r="L2" s="12" t="s">
        <v>29</v>
      </c>
      <c r="M2" s="12" t="s">
        <v>32</v>
      </c>
      <c r="N2" s="7"/>
      <c r="P2" s="6"/>
      <c r="Q2" s="12"/>
      <c r="R2" s="12" t="s">
        <v>88</v>
      </c>
      <c r="S2" s="12" t="s">
        <v>82</v>
      </c>
      <c r="T2" s="12" t="s">
        <v>84</v>
      </c>
      <c r="U2" s="12" t="s">
        <v>83</v>
      </c>
      <c r="V2" s="7" t="s">
        <v>84</v>
      </c>
    </row>
    <row r="3" spans="2:22" x14ac:dyDescent="0.2">
      <c r="B3" s="6" t="s">
        <v>19</v>
      </c>
      <c r="C3" s="7"/>
      <c r="E3" s="59" t="s">
        <v>35</v>
      </c>
      <c r="F3" s="19" t="str">
        <f>LEFT(D28,6)</f>
        <v>IH1711</v>
      </c>
      <c r="G3" s="19">
        <f>F28+G27-F27</f>
        <v>6.9500000000002728</v>
      </c>
      <c r="H3" s="19">
        <f>G3*I28</f>
        <v>2085.0000000000819</v>
      </c>
      <c r="I3" s="27">
        <f>H3-M28</f>
        <v>1066.572000000082</v>
      </c>
      <c r="J3" s="28">
        <f ca="1">I3/L28*365/H28</f>
        <v>2.5465036323605823E-2</v>
      </c>
      <c r="K3" s="29">
        <f ca="1">(EXP($C$6*H28/365)-1)*(J27+J28*$C$7)</f>
        <v>1378.9298493518052</v>
      </c>
      <c r="L3" s="29">
        <f t="shared" ref="L3:L10" ca="1" si="0">I3-K3</f>
        <v>-312.35784935172319</v>
      </c>
      <c r="M3" s="28">
        <f ca="1">L3/L28*365/H28</f>
        <v>-7.4577281043421506E-3</v>
      </c>
      <c r="N3" s="21" t="str">
        <f t="shared" ref="N3:N10" ca="1" si="1">IF(M3&gt;0,"IH-ETF&gt;GC&gt;0",IF(J3&lt;0,"GC&gt;0&gt;IH-ETF","GC&gt;IH-ETF&gt;0"))</f>
        <v>GC&gt;IH-ETF&gt;0</v>
      </c>
      <c r="P3" s="59" t="s">
        <v>85</v>
      </c>
      <c r="Q3" s="19" t="str">
        <f>D28</f>
        <v>IH1711.CFE</v>
      </c>
      <c r="R3" s="19">
        <f>E28</f>
        <v>2788.8</v>
      </c>
      <c r="S3" s="19"/>
      <c r="T3" s="19"/>
      <c r="U3" s="19">
        <f>E28-$E$26</f>
        <v>5.9500000000002728</v>
      </c>
      <c r="V3" s="52">
        <f ca="1">U3/$E$26*365/H28</f>
        <v>5.5743212893259467E-2</v>
      </c>
    </row>
    <row r="4" spans="2:22" x14ac:dyDescent="0.2">
      <c r="B4" s="8" t="s">
        <v>24</v>
      </c>
      <c r="C4" s="44">
        <v>5.0000000000000001E-4</v>
      </c>
      <c r="E4" s="60"/>
      <c r="F4" s="1" t="str">
        <f>LEFT(D29,6)</f>
        <v>IH1712</v>
      </c>
      <c r="G4" s="1">
        <f>F29+G27-F27</f>
        <v>12.350000000000364</v>
      </c>
      <c r="H4" s="1">
        <f>G4*I29</f>
        <v>3705.0000000001091</v>
      </c>
      <c r="I4" s="4">
        <f>H4-M29</f>
        <v>2686.2480000001092</v>
      </c>
      <c r="J4" s="2">
        <f ca="1">I4/L29*365/H29</f>
        <v>2.13469163815646E-2</v>
      </c>
      <c r="K4" s="5">
        <f ca="1">(EXP($C$6*H29/365)-1)*(J27+J29*$C$7)</f>
        <v>4143.7941519672322</v>
      </c>
      <c r="L4" s="5">
        <f t="shared" ca="1" si="0"/>
        <v>-1457.546151967123</v>
      </c>
      <c r="M4" s="2">
        <f ca="1">L4/L29*365/H29</f>
        <v>-1.1582741365768225E-2</v>
      </c>
      <c r="N4" s="9" t="str">
        <f t="shared" ca="1" si="1"/>
        <v>GC&gt;IH-ETF&gt;0</v>
      </c>
      <c r="P4" s="60"/>
      <c r="Q4" s="1" t="str">
        <f t="shared" ref="Q4:R5" si="2">D29</f>
        <v>IH1712.CFE</v>
      </c>
      <c r="R4" s="1">
        <f t="shared" si="2"/>
        <v>2794.2000000000003</v>
      </c>
      <c r="S4" s="1">
        <f>R4-R3</f>
        <v>5.4000000000000909</v>
      </c>
      <c r="T4" s="2">
        <f ca="1">S4/E26*365/(H29-H28)</f>
        <v>2.5295239464167427E-2</v>
      </c>
      <c r="U4" s="1">
        <f t="shared" ref="U4:U5" si="3">E29-$E$26</f>
        <v>11.350000000000364</v>
      </c>
      <c r="V4" s="44">
        <f t="shared" ref="V4:V5" ca="1" si="4">U4/$E$26*365/H29</f>
        <v>3.544456394053145E-2</v>
      </c>
    </row>
    <row r="5" spans="2:22" x14ac:dyDescent="0.2">
      <c r="B5" s="8" t="s">
        <v>25</v>
      </c>
      <c r="C5" s="44">
        <v>1E-4</v>
      </c>
      <c r="E5" s="60"/>
      <c r="F5" s="1" t="str">
        <f>LEFT(D30,6)</f>
        <v>IH1803</v>
      </c>
      <c r="G5" s="1">
        <f>F30+G27-F27</f>
        <v>30.350000000000364</v>
      </c>
      <c r="H5" s="1">
        <f>G5*I30</f>
        <v>9105.0000000001091</v>
      </c>
      <c r="I5" s="4">
        <f>H5-M30</f>
        <v>8085.1680000001088</v>
      </c>
      <c r="J5" s="2">
        <f ca="1">I5/L30*365/H30</f>
        <v>2.019000987030703E-2</v>
      </c>
      <c r="K5" s="5">
        <f ca="1">(EXP($C$6*H30/365)-1)*(J27+J30*$C$7)</f>
        <v>13194.877342749474</v>
      </c>
      <c r="L5" s="5">
        <f ca="1">I5-K5</f>
        <v>-5109.7093427493655</v>
      </c>
      <c r="M5" s="2">
        <f ca="1">L5/L30*365/H30</f>
        <v>-1.2759794485965946E-2</v>
      </c>
      <c r="N5" s="9" t="str">
        <f t="shared" ref="N5" ca="1" si="5">IF(M5&gt;0,"IH-ETF&gt;GC&gt;0",IF(J5&lt;0,"GC&gt;0&gt;IH-ETF","GC&gt;IH-ETF&gt;0"))</f>
        <v>GC&gt;IH-ETF&gt;0</v>
      </c>
      <c r="P5" s="60"/>
      <c r="Q5" s="1" t="str">
        <f t="shared" si="2"/>
        <v>IH1803.CFE</v>
      </c>
      <c r="R5" s="1">
        <f t="shared" si="2"/>
        <v>2812.2000000000003</v>
      </c>
      <c r="S5" s="1">
        <f>R5-R3</f>
        <v>23.400000000000091</v>
      </c>
      <c r="T5" s="2">
        <f ca="1">S5/E26*365/(H30-H28)</f>
        <v>2.5791224551699788E-2</v>
      </c>
      <c r="U5" s="1">
        <f t="shared" si="3"/>
        <v>29.350000000000364</v>
      </c>
      <c r="V5" s="44">
        <f t="shared" ca="1" si="4"/>
        <v>2.8944065429758702E-2</v>
      </c>
    </row>
    <row r="6" spans="2:22" x14ac:dyDescent="0.2">
      <c r="B6" s="8" t="s">
        <v>21</v>
      </c>
      <c r="C6" s="44">
        <f>E25/100</f>
        <v>3.2600000000000004E-2</v>
      </c>
      <c r="E6" s="60"/>
      <c r="F6" s="19" t="str">
        <f>LEFT(D33,6)</f>
        <v>IF1711</v>
      </c>
      <c r="G6" s="19">
        <f>F33+G32-F32</f>
        <v>-5.1500000000000909</v>
      </c>
      <c r="H6" s="19">
        <f>G6*I33</f>
        <v>-1545.0000000000273</v>
      </c>
      <c r="I6" s="27">
        <f>H6-M33</f>
        <v>-2999.7000000000276</v>
      </c>
      <c r="J6" s="28">
        <f ca="1">I6/L33*365/H33</f>
        <v>-5.0126565066668585E-2</v>
      </c>
      <c r="K6" s="29">
        <f ca="1">(EXP($C$6*H33/365)-1)*(J32+J33*$C$7)</f>
        <v>1969.6906568073077</v>
      </c>
      <c r="L6" s="29">
        <f t="shared" ca="1" si="0"/>
        <v>-4969.3906568073353</v>
      </c>
      <c r="M6" s="28">
        <f ca="1">L6/L33*365/H33</f>
        <v>-8.3041132146596516E-2</v>
      </c>
      <c r="N6" s="21" t="str">
        <f t="shared" ca="1" si="1"/>
        <v>GC&gt;0&gt;IH-ETF</v>
      </c>
      <c r="P6" s="59" t="s">
        <v>86</v>
      </c>
      <c r="Q6" s="19" t="str">
        <f>D33</f>
        <v>IF1711.CFE</v>
      </c>
      <c r="R6" s="19">
        <f>E33</f>
        <v>3985</v>
      </c>
      <c r="S6" s="19"/>
      <c r="T6" s="19"/>
      <c r="U6" s="19">
        <f>E33-$E$31</f>
        <v>-6.1500000000000909</v>
      </c>
      <c r="V6" s="52">
        <f ca="1">U6/$E$31*365/H33</f>
        <v>-4.0173705752549534E-2</v>
      </c>
    </row>
    <row r="7" spans="2:22" ht="15" thickBot="1" x14ac:dyDescent="0.25">
      <c r="B7" s="10" t="s">
        <v>22</v>
      </c>
      <c r="C7" s="43">
        <v>0.3</v>
      </c>
      <c r="E7" s="60"/>
      <c r="F7" s="1" t="str">
        <f>LEFT(D34,6)</f>
        <v>IF1712</v>
      </c>
      <c r="G7" s="1">
        <f>F34+G32-F32</f>
        <v>-11.349999999999909</v>
      </c>
      <c r="H7" s="1">
        <f>G7*I34</f>
        <v>-3404.9999999999727</v>
      </c>
      <c r="I7" s="4">
        <f>H7-M34</f>
        <v>-4859.3279999999731</v>
      </c>
      <c r="J7" s="2">
        <f ca="1">I7/L34*365/H34</f>
        <v>-2.7099616436748582E-2</v>
      </c>
      <c r="K7" s="5">
        <f ca="1">(EXP($C$6*H34/365)-1)*(J32+J34*$C$7)</f>
        <v>5914.3713248383501</v>
      </c>
      <c r="L7" s="5">
        <f t="shared" ca="1" si="0"/>
        <v>-10773.699324838322</v>
      </c>
      <c r="M7" s="2">
        <f ca="1">L7/L34*365/H34</f>
        <v>-6.0083023683105426E-2</v>
      </c>
      <c r="N7" s="9" t="str">
        <f t="shared" ca="1" si="1"/>
        <v>GC&gt;0&gt;IH-ETF</v>
      </c>
      <c r="P7" s="60"/>
      <c r="Q7" s="1" t="str">
        <f t="shared" ref="Q7:R7" si="6">D34</f>
        <v>IF1712.CFE</v>
      </c>
      <c r="R7" s="1">
        <f t="shared" si="6"/>
        <v>3978.8</v>
      </c>
      <c r="S7" s="1">
        <f>R7-R6</f>
        <v>-6.1999999999998181</v>
      </c>
      <c r="T7" s="2">
        <f ca="1">S7/E31*365/(H34-H33)</f>
        <v>-2.0250160623235456E-2</v>
      </c>
      <c r="U7" s="1">
        <f t="shared" ref="U7:U8" si="7">E34-$E$31</f>
        <v>-12.349999999999909</v>
      </c>
      <c r="V7" s="44">
        <f ca="1">U7/$E$31*365/H34</f>
        <v>-2.6891342333006819E-2</v>
      </c>
    </row>
    <row r="8" spans="2:22" ht="15" thickBot="1" x14ac:dyDescent="0.25">
      <c r="B8" s="51"/>
      <c r="C8" s="2"/>
      <c r="D8" s="9"/>
      <c r="E8" s="60"/>
      <c r="F8" s="25" t="str">
        <f>LEFT(D35,6)</f>
        <v>IF1803</v>
      </c>
      <c r="G8" s="25">
        <f>F35+G32-F32</f>
        <v>-14.550000000000182</v>
      </c>
      <c r="H8" s="25">
        <f>G8*I35</f>
        <v>-4365.0000000000546</v>
      </c>
      <c r="I8" s="48">
        <f>H8-M35</f>
        <v>-5819.136000000055</v>
      </c>
      <c r="J8" s="49">
        <f ca="1">I8/L35*365/H35</f>
        <v>-1.0254410876938166E-2</v>
      </c>
      <c r="K8" s="50">
        <f ca="1">(EXP($C$6*H35/365)-1)*(J32+J35*$C$7)</f>
        <v>18801.766341354902</v>
      </c>
      <c r="L8" s="50">
        <f ca="1">I8-K8</f>
        <v>-24620.902341354958</v>
      </c>
      <c r="M8" s="49">
        <f ca="1">L8/L35*365/H35</f>
        <v>-4.3386655470712535E-2</v>
      </c>
      <c r="N8" s="26" t="str">
        <f t="shared" ref="N8" ca="1" si="8">IF(M8&gt;0,"IH-ETF&gt;GC&gt;0",IF(J8&lt;0,"GC&gt;0&gt;IH-ETF","GC&gt;IH-ETF&gt;0"))</f>
        <v>GC&gt;0&gt;IH-ETF</v>
      </c>
      <c r="P8" s="62"/>
      <c r="Q8" s="25" t="str">
        <f t="shared" ref="Q8:R8" si="9">D35</f>
        <v>IF1803.CFE</v>
      </c>
      <c r="R8" s="25">
        <f t="shared" si="9"/>
        <v>3975.6</v>
      </c>
      <c r="S8" s="25">
        <f>R8-R6</f>
        <v>-9.4000000000000909</v>
      </c>
      <c r="T8" s="49">
        <f ca="1">S8/E31*365/(H35-H33)</f>
        <v>-7.22396621853589E-3</v>
      </c>
      <c r="U8" s="25">
        <f t="shared" si="7"/>
        <v>-15.550000000000182</v>
      </c>
      <c r="V8" s="53">
        <f ca="1">U8/$E$31*365/H35</f>
        <v>-1.0692359853695222E-2</v>
      </c>
    </row>
    <row r="9" spans="2:22" x14ac:dyDescent="0.2">
      <c r="B9" s="39" t="s">
        <v>74</v>
      </c>
      <c r="C9" s="7"/>
      <c r="E9" s="60"/>
      <c r="F9" s="19" t="str">
        <f>LEFT(D38,6)</f>
        <v>IC1711</v>
      </c>
      <c r="G9" s="19">
        <f>F38+G37-F37</f>
        <v>-23.360000000000582</v>
      </c>
      <c r="H9" s="19">
        <f>G9*I38</f>
        <v>-4672.0000000001164</v>
      </c>
      <c r="I9" s="27">
        <f>H9-M38</f>
        <v>-6293.1600000001163</v>
      </c>
      <c r="J9" s="28">
        <f ca="1">I9/L38*365/H38</f>
        <v>-9.6583196819194264E-2</v>
      </c>
      <c r="K9" s="29">
        <f ca="1">(EXP($C$6*H38/365)-1)*(J37+J38*$C$7)</f>
        <v>2189.7630021310092</v>
      </c>
      <c r="L9" s="29">
        <f t="shared" ca="1" si="0"/>
        <v>-8482.923002131125</v>
      </c>
      <c r="M9" s="28">
        <f ca="1">L9/L38*365/H38</f>
        <v>-0.13019020999257697</v>
      </c>
      <c r="N9" s="21" t="str">
        <f t="shared" ca="1" si="1"/>
        <v>GC&gt;0&gt;IH-ETF</v>
      </c>
      <c r="P9" s="60" t="s">
        <v>87</v>
      </c>
      <c r="Q9" s="1" t="str">
        <f>D38</f>
        <v>IC1711.CFE</v>
      </c>
      <c r="R9" s="1">
        <f>E38</f>
        <v>6449</v>
      </c>
      <c r="S9" s="1"/>
      <c r="T9" s="1"/>
      <c r="U9" s="1">
        <f>E38-$E$36</f>
        <v>-33.360000000000582</v>
      </c>
      <c r="V9" s="44">
        <f ca="1">U9/$E$36*365/H38</f>
        <v>-0.13417071207752612</v>
      </c>
    </row>
    <row r="10" spans="2:22" x14ac:dyDescent="0.2">
      <c r="B10" s="38" t="s">
        <v>80</v>
      </c>
      <c r="C10" s="40">
        <v>0.05</v>
      </c>
      <c r="E10" s="60"/>
      <c r="F10" s="1" t="str">
        <f>LEFT(D39,6)</f>
        <v>IC1712</v>
      </c>
      <c r="G10" s="1">
        <f>F39+G37-F37</f>
        <v>-63.360000000000582</v>
      </c>
      <c r="H10" s="1">
        <f>G10*I39</f>
        <v>-19008.000000000175</v>
      </c>
      <c r="I10" s="4">
        <f>H10-M39</f>
        <v>-20755.740000000176</v>
      </c>
      <c r="J10" s="2">
        <f ca="1">I10/L39*365/H39</f>
        <v>-7.7360020022522943E-2</v>
      </c>
      <c r="K10" s="5">
        <f ca="1">(EXP($C$6*H39/365)-1)*(J37+J39*$C$7)</f>
        <v>7291.0960428722055</v>
      </c>
      <c r="L10" s="5">
        <f t="shared" ca="1" si="0"/>
        <v>-28046.836042872383</v>
      </c>
      <c r="M10" s="2">
        <f ca="1">L10/L39*365/H39</f>
        <v>-0.10453512126500944</v>
      </c>
      <c r="N10" s="9" t="str">
        <f t="shared" ca="1" si="1"/>
        <v>GC&gt;0&gt;IH-ETF</v>
      </c>
      <c r="P10" s="60"/>
      <c r="Q10" s="1" t="str">
        <f t="shared" ref="Q10:R10" si="10">D39</f>
        <v>IC1712.CFE</v>
      </c>
      <c r="R10" s="1">
        <f t="shared" si="10"/>
        <v>6409</v>
      </c>
      <c r="S10" s="1">
        <f>R10-R9</f>
        <v>-40</v>
      </c>
      <c r="T10" s="2">
        <f ca="1">S10/E36*365/(H39-H38)</f>
        <v>-8.0438076785086202E-2</v>
      </c>
      <c r="U10" s="1">
        <f t="shared" ref="U10:U11" si="11">E39-$E$36</f>
        <v>-73.360000000000582</v>
      </c>
      <c r="V10" s="44">
        <f t="shared" ref="V10:V11" ca="1" si="12">U10/$E$36*365/H39</f>
        <v>-9.8348955215899495E-2</v>
      </c>
    </row>
    <row r="11" spans="2:22" ht="15" thickBot="1" x14ac:dyDescent="0.25">
      <c r="B11" s="38" t="s">
        <v>81</v>
      </c>
      <c r="C11" s="40">
        <v>0.05</v>
      </c>
      <c r="E11" s="61"/>
      <c r="F11" s="13" t="str">
        <f>LEFT(D40,6)</f>
        <v>IC1803</v>
      </c>
      <c r="G11" s="13">
        <f>F40+G37-F37</f>
        <v>-143.5600000000004</v>
      </c>
      <c r="H11" s="13">
        <f>G11*I40</f>
        <v>-43068.000000000116</v>
      </c>
      <c r="I11" s="15">
        <f>H11-M40</f>
        <v>-44810.928000000116</v>
      </c>
      <c r="J11" s="16">
        <f ca="1">I11/L40*365/H40</f>
        <v>-5.3292320504850409E-2</v>
      </c>
      <c r="K11" s="17">
        <f ca="1">(EXP($C$6*H40/365)-1)*(J37+J40*$C$7)</f>
        <v>23096.358958309509</v>
      </c>
      <c r="L11" s="17">
        <f t="shared" ref="L11" ca="1" si="13">I11-K11</f>
        <v>-67907.286958309618</v>
      </c>
      <c r="M11" s="16">
        <f ca="1">L11/L40*365/H40</f>
        <v>-8.0760141838550514E-2</v>
      </c>
      <c r="N11" s="11" t="str">
        <f t="shared" ref="N11" ca="1" si="14">IF(M11&gt;0,"IH-ETF&gt;GC&gt;0",IF(J11&lt;0,"GC&gt;0&gt;IH-ETF","GC&gt;IH-ETF&gt;0"))</f>
        <v>GC&gt;0&gt;IH-ETF</v>
      </c>
      <c r="P11" s="61"/>
      <c r="Q11" s="13" t="str">
        <f t="shared" ref="Q11:R11" si="15">D40</f>
        <v>IC1803.CFE</v>
      </c>
      <c r="R11" s="13">
        <f t="shared" si="15"/>
        <v>6328.8</v>
      </c>
      <c r="S11" s="13">
        <f>R11-R9</f>
        <v>-120.19999999999982</v>
      </c>
      <c r="T11" s="16">
        <f ca="1">S11/E36*365/(H40-H38)</f>
        <v>-5.687445193863145E-2</v>
      </c>
      <c r="U11" s="13">
        <f t="shared" si="11"/>
        <v>-153.5600000000004</v>
      </c>
      <c r="V11" s="54">
        <f t="shared" ca="1" si="12"/>
        <v>-6.501090037430457E-2</v>
      </c>
    </row>
    <row r="12" spans="2:22" ht="15" thickBot="1" x14ac:dyDescent="0.25">
      <c r="B12" s="38" t="s">
        <v>90</v>
      </c>
      <c r="C12" s="40">
        <v>0.03</v>
      </c>
      <c r="J12" s="2"/>
    </row>
    <row r="13" spans="2:22" ht="15" thickBot="1" x14ac:dyDescent="0.25">
      <c r="B13" s="41" t="s">
        <v>91</v>
      </c>
      <c r="C13" s="42">
        <v>0.03</v>
      </c>
      <c r="E13" s="6"/>
      <c r="F13" s="12" t="s">
        <v>16</v>
      </c>
      <c r="G13" s="12" t="s">
        <v>34</v>
      </c>
      <c r="H13" s="12" t="s">
        <v>26</v>
      </c>
      <c r="I13" s="12" t="s">
        <v>27</v>
      </c>
      <c r="J13" s="14" t="s">
        <v>31</v>
      </c>
      <c r="K13" s="12" t="s">
        <v>61</v>
      </c>
      <c r="L13" s="12" t="s">
        <v>29</v>
      </c>
      <c r="M13" s="12" t="s">
        <v>32</v>
      </c>
      <c r="N13" s="7"/>
    </row>
    <row r="14" spans="2:22" x14ac:dyDescent="0.2">
      <c r="E14" s="59" t="s">
        <v>36</v>
      </c>
      <c r="F14" s="19" t="str">
        <f>LEFT(D28,6)</f>
        <v>IH1711</v>
      </c>
      <c r="G14" s="19">
        <f t="shared" ref="G14:G22" si="16">-G3</f>
        <v>-6.9500000000002728</v>
      </c>
      <c r="H14" s="19">
        <f>G14*I28</f>
        <v>-2085.0000000000819</v>
      </c>
      <c r="I14" s="27">
        <f>H14-M28</f>
        <v>-3103.4280000000817</v>
      </c>
      <c r="J14" s="28">
        <f ca="1">I14/L28*365/H28</f>
        <v>-7.409617611159057E-2</v>
      </c>
      <c r="K14" s="27">
        <f ca="1">(EXP($C$6*H28/365)-1)*(J27-J28*$C$7)</f>
        <v>750.8509580278353</v>
      </c>
      <c r="L14" s="27">
        <f t="shared" ref="L14:L21" ca="1" si="17">I14+K14</f>
        <v>-2352.5770419722467</v>
      </c>
      <c r="M14" s="28">
        <f ca="1">L14/L28*365/H28</f>
        <v>-5.616916610214763E-2</v>
      </c>
      <c r="N14" s="21" t="str">
        <f ca="1">IF(J14&gt;0,"IH+GC&gt;IH&gt;ETF",IF(M14&lt;0,"ETF&gt;IH+GC&gt;IH","IH+GC&gt;ETF&gt;IH"))</f>
        <v>ETF&gt;IH+GC&gt;IH</v>
      </c>
    </row>
    <row r="15" spans="2:22" x14ac:dyDescent="0.2">
      <c r="E15" s="60"/>
      <c r="F15" s="1" t="str">
        <f>LEFT(D29,6)</f>
        <v>IH1712</v>
      </c>
      <c r="G15" s="1">
        <f t="shared" si="16"/>
        <v>-12.350000000000364</v>
      </c>
      <c r="H15" s="1">
        <f>G15*I29</f>
        <v>-3705.0000000001091</v>
      </c>
      <c r="I15" s="4">
        <f>H15-M29</f>
        <v>-4723.7520000001095</v>
      </c>
      <c r="J15" s="2">
        <f ca="1">I15/L29*365/H29</f>
        <v>-3.7538432397621814E-2</v>
      </c>
      <c r="K15" s="4">
        <f ca="1">(EXP($C$6*H29/365)-1)*(J26-J29*$C$7)</f>
        <v>2192.4926862246371</v>
      </c>
      <c r="L15" s="4">
        <f t="shared" ca="1" si="17"/>
        <v>-2531.2593137754725</v>
      </c>
      <c r="M15" s="2">
        <f ca="1">L15/L29*365/H29</f>
        <v>-2.011526147668399E-2</v>
      </c>
      <c r="N15" s="9" t="str">
        <f t="shared" ref="N15:N21" ca="1" si="18">IF(J15&gt;0,"IH+GC&gt;IH&gt;ETF",IF(M15&lt;0,"ETF&gt;IH+GC&gt;IH","IH+GC&gt;ETF&gt;IH"))</f>
        <v>ETF&gt;IH+GC&gt;IH</v>
      </c>
    </row>
    <row r="16" spans="2:22" x14ac:dyDescent="0.2">
      <c r="E16" s="60"/>
      <c r="F16" s="1" t="str">
        <f>LEFT(D30,6)</f>
        <v>IH1803</v>
      </c>
      <c r="G16" s="1">
        <f t="shared" si="16"/>
        <v>-30.350000000000364</v>
      </c>
      <c r="H16" s="1">
        <f>G16*I30</f>
        <v>-9105.0000000001091</v>
      </c>
      <c r="I16" s="4">
        <f>H16-M30</f>
        <v>-10124.832000000109</v>
      </c>
      <c r="J16" s="2">
        <f ca="1">I16/L30*365/H30</f>
        <v>-2.5283390278989858E-2</v>
      </c>
      <c r="K16" s="4">
        <f ca="1">(EXP($C$6*H30/365)-1)*(J27-J30*$C$7)</f>
        <v>7145.9675173464102</v>
      </c>
      <c r="L16" s="4">
        <f ca="1">I16+K16</f>
        <v>-2978.8644826536993</v>
      </c>
      <c r="M16" s="2">
        <f ca="1">L16/L30*365/H30</f>
        <v>-7.438720297102598E-3</v>
      </c>
      <c r="N16" s="9" t="str">
        <f t="shared" ref="N16" ca="1" si="19">IF(J16&gt;0,"IH+GC&gt;IH&gt;ETF",IF(M16&lt;0,"ETF&gt;IH+GC&gt;IH","IH+GC&gt;ETF&gt;IH"))</f>
        <v>ETF&gt;IH+GC&gt;IH</v>
      </c>
    </row>
    <row r="17" spans="2:14" x14ac:dyDescent="0.2">
      <c r="E17" s="60"/>
      <c r="F17" s="19" t="str">
        <f>LEFT(D33,6)</f>
        <v>IF1711</v>
      </c>
      <c r="G17" s="19">
        <f t="shared" si="16"/>
        <v>5.1500000000000909</v>
      </c>
      <c r="H17" s="19">
        <f>G17*I33</f>
        <v>1545.0000000000273</v>
      </c>
      <c r="I17" s="27">
        <f>H17-M33</f>
        <v>90.300000000027012</v>
      </c>
      <c r="J17" s="28">
        <f ca="1">I17/L33*365/H33</f>
        <v>1.5089605045576179E-3</v>
      </c>
      <c r="K17" s="27">
        <f ca="1">(EXP($C$6*H33/365)-1)*(J32-J33*$C$7)</f>
        <v>1072.2098830243117</v>
      </c>
      <c r="L17" s="27">
        <f t="shared" ca="1" si="17"/>
        <v>1162.5098830243387</v>
      </c>
      <c r="M17" s="28">
        <f ca="1">L17/L33*365/H33</f>
        <v>1.942615171252601E-2</v>
      </c>
      <c r="N17" s="21" t="str">
        <f t="shared" ca="1" si="18"/>
        <v>IH+GC&gt;IH&gt;ETF</v>
      </c>
    </row>
    <row r="18" spans="2:14" x14ac:dyDescent="0.2">
      <c r="E18" s="60"/>
      <c r="F18" s="1" t="str">
        <f>LEFT(D34,6)</f>
        <v>IF1712</v>
      </c>
      <c r="G18" s="1">
        <f t="shared" si="16"/>
        <v>11.349999999999909</v>
      </c>
      <c r="H18" s="1">
        <f>G18*I34</f>
        <v>3404.9999999999727</v>
      </c>
      <c r="I18" s="4">
        <f>H18-M34</f>
        <v>1950.6719999999723</v>
      </c>
      <c r="J18" s="2">
        <f ca="1">I18/L34*365/H34</f>
        <v>1.0878554193893636E-2</v>
      </c>
      <c r="K18" s="4">
        <f ca="1">(EXP($C$6*H34/365)-1)*(J31-J34*$C$7)</f>
        <v>3154.1457143358161</v>
      </c>
      <c r="L18" s="4">
        <f t="shared" ca="1" si="17"/>
        <v>5104.817714335788</v>
      </c>
      <c r="M18" s="2">
        <f ca="1">L18/L34*365/H34</f>
        <v>2.8468669338233644E-2</v>
      </c>
      <c r="N18" s="9" t="str">
        <f t="shared" ca="1" si="18"/>
        <v>IH+GC&gt;IH&gt;ETF</v>
      </c>
    </row>
    <row r="19" spans="2:14" x14ac:dyDescent="0.2">
      <c r="E19" s="60"/>
      <c r="F19" s="25" t="str">
        <f>LEFT(D35,6)</f>
        <v>IF1803</v>
      </c>
      <c r="G19" s="25">
        <f t="shared" si="16"/>
        <v>14.550000000000182</v>
      </c>
      <c r="H19" s="25">
        <f>G19*I35</f>
        <v>4365.0000000000546</v>
      </c>
      <c r="I19" s="48">
        <f>H19-M35</f>
        <v>2910.8640000000541</v>
      </c>
      <c r="J19" s="49">
        <f ca="1">I19/L35*365/H35</f>
        <v>5.1294892339495092E-3</v>
      </c>
      <c r="K19" s="48">
        <f ca="1">(EXP($C$6*H35/365)-1)*(J32-J35*$C$7)</f>
        <v>10250.437878986497</v>
      </c>
      <c r="L19" s="48">
        <f t="shared" ref="L19" ca="1" si="20">I19+K19</f>
        <v>13161.301878986551</v>
      </c>
      <c r="M19" s="49">
        <f ca="1">L19/L35*365/H35</f>
        <v>2.3192686533283484E-2</v>
      </c>
      <c r="N19" s="26" t="str">
        <f t="shared" ref="N19" ca="1" si="21">IF(J19&gt;0,"IH+GC&gt;IH&gt;ETF",IF(M19&lt;0,"ETF&gt;IH+GC&gt;IH","IH+GC&gt;ETF&gt;IH"))</f>
        <v>IH+GC&gt;IH&gt;ETF</v>
      </c>
    </row>
    <row r="20" spans="2:14" x14ac:dyDescent="0.2">
      <c r="E20" s="60"/>
      <c r="F20" s="1" t="str">
        <f>LEFT(D38,6)</f>
        <v>IC1711</v>
      </c>
      <c r="G20" s="1">
        <f t="shared" si="16"/>
        <v>23.360000000000582</v>
      </c>
      <c r="H20" s="1">
        <f>G20*I38</f>
        <v>4672.0000000001164</v>
      </c>
      <c r="I20" s="4">
        <f>H20-M38</f>
        <v>3050.8400000001166</v>
      </c>
      <c r="J20" s="2">
        <f ca="1">I20/L38*365/H38</f>
        <v>4.6822245133426844E-2</v>
      </c>
      <c r="K20" s="4">
        <f ca="1">(EXP($C$6*H38/365)-1)*(J37-J38*$C$7)</f>
        <v>1221.4897256564727</v>
      </c>
      <c r="L20" s="4">
        <f t="shared" ca="1" si="17"/>
        <v>4272.3297256565893</v>
      </c>
      <c r="M20" s="2">
        <f ca="1">L20/L38*365/H38</f>
        <v>6.556884979399491E-2</v>
      </c>
      <c r="N20" s="9" t="str">
        <f t="shared" ca="1" si="18"/>
        <v>IH+GC&gt;IH&gt;ETF</v>
      </c>
    </row>
    <row r="21" spans="2:14" x14ac:dyDescent="0.2">
      <c r="E21" s="60"/>
      <c r="F21" s="1" t="str">
        <f>LEFT(D39,6)</f>
        <v>IC1712</v>
      </c>
      <c r="G21" s="1">
        <f t="shared" si="16"/>
        <v>63.360000000000582</v>
      </c>
      <c r="H21" s="1">
        <f>G21*I39</f>
        <v>19008.000000000175</v>
      </c>
      <c r="I21" s="4">
        <f>H21-M39</f>
        <v>17260.260000000173</v>
      </c>
      <c r="J21" s="2">
        <f ca="1">I21/L39*365/H39</f>
        <v>6.4331797333843727E-2</v>
      </c>
      <c r="K21" s="4">
        <f ca="1">(EXP($C$6*H39/365)-1)*(J36-J39*$C$7)</f>
        <v>2704.689543046426</v>
      </c>
      <c r="L21" s="4">
        <f t="shared" ca="1" si="17"/>
        <v>19964.949543046598</v>
      </c>
      <c r="M21" s="2">
        <f ca="1">L21/L39*365/H39</f>
        <v>7.441261532466352E-2</v>
      </c>
      <c r="N21" s="9" t="str">
        <f t="shared" ca="1" si="18"/>
        <v>IH+GC&gt;IH&gt;ETF</v>
      </c>
    </row>
    <row r="22" spans="2:14" ht="15" thickBot="1" x14ac:dyDescent="0.25">
      <c r="E22" s="61"/>
      <c r="F22" s="13" t="str">
        <f>LEFT(D40,6)</f>
        <v>IC1803</v>
      </c>
      <c r="G22" s="13">
        <f t="shared" si="16"/>
        <v>143.5600000000004</v>
      </c>
      <c r="H22" s="13">
        <f>G22*I40</f>
        <v>43068.000000000116</v>
      </c>
      <c r="I22" s="15">
        <f>H22-M40</f>
        <v>41325.072000000117</v>
      </c>
      <c r="J22" s="16">
        <f ca="1">I22/L40*365/H40</f>
        <v>4.9146694348977109E-2</v>
      </c>
      <c r="K22" s="15">
        <f ca="1">(EXP($C$6*H40/365)-1)*(J37-J40*$C$7)</f>
        <v>9483.4080646991988</v>
      </c>
      <c r="L22" s="15">
        <f t="shared" ref="L22" ca="1" si="22">I22+K22</f>
        <v>50808.480064699317</v>
      </c>
      <c r="M22" s="16">
        <f ca="1">L22/L40*365/H40</f>
        <v>6.0425033018112272E-2</v>
      </c>
      <c r="N22" s="11" t="str">
        <f t="shared" ref="N22" ca="1" si="23">IF(J22&gt;0,"IH+GC&gt;IH&gt;ETF",IF(M22&lt;0,"ETF&gt;IH+GC&gt;IH","IH+GC&gt;ETF&gt;IH"))</f>
        <v>IH+GC&gt;IH&gt;ETF</v>
      </c>
    </row>
    <row r="23" spans="2:14" ht="15" thickBot="1" x14ac:dyDescent="0.25"/>
    <row r="24" spans="2:14" x14ac:dyDescent="0.2">
      <c r="B24" s="6"/>
      <c r="C24" s="12" t="s">
        <v>16</v>
      </c>
      <c r="D24" s="12" t="s">
        <v>15</v>
      </c>
      <c r="E24" s="12" t="s">
        <v>4</v>
      </c>
      <c r="F24" s="12" t="s">
        <v>23</v>
      </c>
      <c r="G24" s="12" t="s">
        <v>37</v>
      </c>
      <c r="H24" s="12" t="s">
        <v>18</v>
      </c>
      <c r="I24" s="12" t="s">
        <v>5</v>
      </c>
      <c r="J24" s="12" t="s">
        <v>6</v>
      </c>
      <c r="K24" s="12" t="s">
        <v>30</v>
      </c>
      <c r="L24" s="12" t="s">
        <v>33</v>
      </c>
      <c r="M24" s="12" t="s">
        <v>28</v>
      </c>
      <c r="N24" s="7" t="s">
        <v>17</v>
      </c>
    </row>
    <row r="25" spans="2:14" x14ac:dyDescent="0.2">
      <c r="B25" s="37" t="s">
        <v>43</v>
      </c>
      <c r="C25" s="22" t="s">
        <v>20</v>
      </c>
      <c r="D25" s="22" t="str">
        <f>[1]!S_Info_Name(C25)</f>
        <v>GC007</v>
      </c>
      <c r="E25" s="22">
        <f>RTD("wdf.rtq", ,C25, "LastPrice","RT_Price")</f>
        <v>3.2600000000000002</v>
      </c>
      <c r="F25" s="22"/>
      <c r="G25" s="22"/>
      <c r="H25" s="23"/>
      <c r="I25" s="22"/>
      <c r="J25" s="22"/>
      <c r="K25" s="22"/>
      <c r="L25" s="22"/>
      <c r="M25" s="22"/>
      <c r="N25" s="24" t="str">
        <f>RTD("wdf.rtq", ,C25, "Update_Time","RT_Price")</f>
        <v>09:51:57</v>
      </c>
    </row>
    <row r="26" spans="2:14" x14ac:dyDescent="0.2">
      <c r="B26" s="59" t="s">
        <v>44</v>
      </c>
      <c r="C26" s="19" t="s">
        <v>1</v>
      </c>
      <c r="D26" s="19" t="str">
        <f>[1]!S_Info_Name(C26)</f>
        <v>上证50</v>
      </c>
      <c r="E26" s="19">
        <f>RTD("wdf.rtq", ,C26, "LastPrice","RT_Price")</f>
        <v>2782.85</v>
      </c>
      <c r="F26" s="19"/>
      <c r="G26" s="19"/>
      <c r="H26" s="20"/>
      <c r="I26" s="19">
        <v>300</v>
      </c>
      <c r="J26" s="19">
        <f>E26*I26</f>
        <v>834855</v>
      </c>
      <c r="K26" s="19"/>
      <c r="L26" s="19"/>
      <c r="M26" s="19"/>
      <c r="N26" s="21" t="str">
        <f>RTD("wdf.rtq", ,C26, "Update_Time","RT_Price")</f>
        <v>09:51:54</v>
      </c>
    </row>
    <row r="27" spans="2:14" x14ac:dyDescent="0.2">
      <c r="B27" s="60"/>
      <c r="C27" s="1" t="s">
        <v>0</v>
      </c>
      <c r="D27" s="1" t="str">
        <f>[1]!S_Info_Name(C27)</f>
        <v>50ETF</v>
      </c>
      <c r="E27" s="1">
        <f>RTD("wdf.rtq", ,C27, "LastPrice","RT_Price")</f>
        <v>2.8370000000000002</v>
      </c>
      <c r="F27" s="1">
        <f>RTD("wdf.rtq", ,C27, "PREMIUM","RT_Price")*1000</f>
        <v>-1</v>
      </c>
      <c r="G27" s="1">
        <v>0</v>
      </c>
      <c r="H27" s="3"/>
      <c r="I27" s="1">
        <v>300000</v>
      </c>
      <c r="J27" s="1">
        <f>E27*I27</f>
        <v>851100</v>
      </c>
      <c r="N27" s="9" t="str">
        <f>RTD("wdf.rtq", ,C27, "Update_Time","RT_Price")</f>
        <v>09:51:57</v>
      </c>
    </row>
    <row r="28" spans="2:14" x14ac:dyDescent="0.2">
      <c r="B28" s="60"/>
      <c r="C28" s="1" t="s">
        <v>2</v>
      </c>
      <c r="D28" s="1" t="str">
        <f>[1]!s_info_code2(C28,"")</f>
        <v>IH1711.CFE</v>
      </c>
      <c r="E28" s="1">
        <f>RTD("wdf.rtq", ,C28, "LastPrice","RT_Price")</f>
        <v>2788.8</v>
      </c>
      <c r="F28" s="1">
        <f>E28-E26</f>
        <v>5.9500000000002728</v>
      </c>
      <c r="H28" s="3">
        <f ca="1">IF([1]!s_info_lddate(C28)&lt;&gt;0,[1]!s_info_lddate(C28)-TODAY(),0)</f>
        <v>14</v>
      </c>
      <c r="I28" s="1">
        <v>300</v>
      </c>
      <c r="J28" s="1">
        <f t="shared" ref="J28:J30" si="24">E28*I28</f>
        <v>836640</v>
      </c>
      <c r="K28" s="1">
        <f>J28+J27</f>
        <v>1687740</v>
      </c>
      <c r="L28" s="1">
        <f>J28+J27*$C$7</f>
        <v>1091970</v>
      </c>
      <c r="M28" s="1">
        <f>J27*$C$4*2+J28*$C$5*2</f>
        <v>1018.428</v>
      </c>
      <c r="N28" s="9" t="str">
        <f>RTD("wdf.rtq", ,C28, "Update_Time","RT_Price")</f>
        <v>09:51:58</v>
      </c>
    </row>
    <row r="29" spans="2:14" x14ac:dyDescent="0.2">
      <c r="B29" s="60"/>
      <c r="C29" s="1" t="s">
        <v>3</v>
      </c>
      <c r="D29" s="1" t="str">
        <f>[1]!s_info_code2(C29,"")</f>
        <v>IH1712.CFE</v>
      </c>
      <c r="E29" s="1">
        <f>RTD("wdf.rtq", ,C29, "LastPrice","RT_Price")</f>
        <v>2794.2000000000003</v>
      </c>
      <c r="F29" s="1">
        <f>E29-E26</f>
        <v>11.350000000000364</v>
      </c>
      <c r="H29" s="3">
        <f ca="1">IF([1]!s_info_lddate(C29)&lt;&gt;0,[1]!s_info_lddate(C29)-TODAY(),0)</f>
        <v>42</v>
      </c>
      <c r="I29" s="1">
        <v>300</v>
      </c>
      <c r="J29" s="1">
        <f t="shared" si="24"/>
        <v>838260.00000000012</v>
      </c>
      <c r="K29" s="1">
        <f>J29+J27</f>
        <v>1689360</v>
      </c>
      <c r="L29" s="1">
        <f>J29+J27*$C$7</f>
        <v>1093590</v>
      </c>
      <c r="M29" s="1">
        <f>J27*$C$4*2+J29*$C$5*2</f>
        <v>1018.7520000000001</v>
      </c>
      <c r="N29" s="9" t="str">
        <f>RTD("wdf.rtq", ,C29, "Update_Time","RT_Price")</f>
        <v>09:51:53</v>
      </c>
    </row>
    <row r="30" spans="2:14" x14ac:dyDescent="0.2">
      <c r="B30" s="62"/>
      <c r="C30" s="45" t="s">
        <v>76</v>
      </c>
      <c r="D30" s="1" t="str">
        <f>[1]!s_info_code2(C30,"")</f>
        <v>IH1803.CFE</v>
      </c>
      <c r="E30" s="45">
        <f>RTD("wdf.rtq", ,C30, "LastPrice","RT_Price")</f>
        <v>2812.2000000000003</v>
      </c>
      <c r="F30" s="1">
        <f>E30-E26</f>
        <v>29.350000000000364</v>
      </c>
      <c r="H30" s="3">
        <f ca="1">IF([1]!s_info_lddate(C30)&lt;&gt;0,[1]!s_info_lddate(C30)-TODAY(),0)</f>
        <v>133</v>
      </c>
      <c r="I30" s="45">
        <v>300</v>
      </c>
      <c r="J30" s="45">
        <f t="shared" si="24"/>
        <v>843660.00000000012</v>
      </c>
      <c r="K30" s="1">
        <f>J30+J27</f>
        <v>1694760</v>
      </c>
      <c r="L30" s="1">
        <f>J30+J27*$C$7</f>
        <v>1098990</v>
      </c>
      <c r="M30" s="1">
        <f>J27*$C$4*2+J30*$C$5*2</f>
        <v>1019.8320000000001</v>
      </c>
      <c r="N30" s="9" t="str">
        <f>RTD("wdf.rtq", ,C30, "Update_Time","RT_Price")</f>
        <v>09:51:56</v>
      </c>
    </row>
    <row r="31" spans="2:14" x14ac:dyDescent="0.2">
      <c r="B31" s="59" t="s">
        <v>45</v>
      </c>
      <c r="C31" s="19" t="s">
        <v>8</v>
      </c>
      <c r="D31" s="19" t="str">
        <f>[1]!S_Info_Name(C31)</f>
        <v>沪深300</v>
      </c>
      <c r="E31" s="19">
        <f>RTD("wdf.rtq", ,C31, "LastPrice","RT_Price")</f>
        <v>3991.15</v>
      </c>
      <c r="F31" s="19"/>
      <c r="G31" s="19"/>
      <c r="H31" s="20"/>
      <c r="I31" s="19">
        <v>300</v>
      </c>
      <c r="J31" s="19">
        <f>E31*I31</f>
        <v>1197345</v>
      </c>
      <c r="K31" s="19"/>
      <c r="L31" s="19"/>
      <c r="M31" s="19"/>
      <c r="N31" s="21" t="str">
        <f>RTD("wdf.rtq", ,C31, "Update_Time","RT_Price")</f>
        <v>09:51:54</v>
      </c>
    </row>
    <row r="32" spans="2:14" x14ac:dyDescent="0.2">
      <c r="B32" s="60"/>
      <c r="C32" s="1" t="s">
        <v>7</v>
      </c>
      <c r="D32" s="1" t="str">
        <f>[1]!S_Info_Name(C32)</f>
        <v>300ETF</v>
      </c>
      <c r="E32" s="1">
        <f>RTD("wdf.rtq", ,C32, "LastPrice","RT_Price")</f>
        <v>4.0520000000000005</v>
      </c>
      <c r="F32" s="1">
        <f>RTD("wdf.rtq", ,C32, "PREMIUM","RT_Price")*1000</f>
        <v>-1</v>
      </c>
      <c r="G32" s="1">
        <v>0</v>
      </c>
      <c r="H32" s="3"/>
      <c r="I32" s="1">
        <v>300000</v>
      </c>
      <c r="J32" s="1">
        <f>E32*I32</f>
        <v>1215600.0000000002</v>
      </c>
      <c r="N32" s="9" t="str">
        <f>RTD("wdf.rtq", ,C32, "Update_Time","RT_Price")</f>
        <v>09:51:57</v>
      </c>
    </row>
    <row r="33" spans="2:14" x14ac:dyDescent="0.2">
      <c r="B33" s="60"/>
      <c r="C33" s="1" t="s">
        <v>9</v>
      </c>
      <c r="D33" s="1" t="str">
        <f>[1]!s_info_code2(C33,"")</f>
        <v>IF1711.CFE</v>
      </c>
      <c r="E33" s="1">
        <f>RTD("wdf.rtq", ,C33, "LastPrice","RT_Price")</f>
        <v>3985</v>
      </c>
      <c r="F33" s="1">
        <f>E33-E31</f>
        <v>-6.1500000000000909</v>
      </c>
      <c r="H33" s="3">
        <f ca="1">IF([1]!s_info_lddate(C33)&lt;&gt;0,[1]!s_info_lddate(C33)-TODAY(),0)</f>
        <v>14</v>
      </c>
      <c r="I33" s="1">
        <v>300</v>
      </c>
      <c r="J33" s="1">
        <f>E33*I33</f>
        <v>1195500</v>
      </c>
      <c r="K33" s="1">
        <f>J33+J32</f>
        <v>2411100</v>
      </c>
      <c r="L33" s="1">
        <f>J33+J32*$C$7</f>
        <v>1560180</v>
      </c>
      <c r="M33" s="1">
        <f>J32*$C$4*2+J33*$C$5*2</f>
        <v>1454.7000000000003</v>
      </c>
      <c r="N33" s="9" t="str">
        <f>RTD("wdf.rtq", ,C33, "Update_Time","RT_Price")</f>
        <v>09:51:59</v>
      </c>
    </row>
    <row r="34" spans="2:14" x14ac:dyDescent="0.2">
      <c r="B34" s="60"/>
      <c r="C34" s="1" t="s">
        <v>10</v>
      </c>
      <c r="D34" s="1" t="str">
        <f>[1]!s_info_code2(C34,"")</f>
        <v>IF1712.CFE</v>
      </c>
      <c r="E34" s="1">
        <f>RTD("wdf.rtq", ,C34, "LastPrice","RT_Price")</f>
        <v>3978.8</v>
      </c>
      <c r="F34" s="1">
        <f>E34-E31</f>
        <v>-12.349999999999909</v>
      </c>
      <c r="H34" s="3">
        <f ca="1">IF([1]!s_info_lddate(C34)&lt;&gt;0,[1]!s_info_lddate(C34)-TODAY(),0)</f>
        <v>42</v>
      </c>
      <c r="I34" s="1">
        <v>300</v>
      </c>
      <c r="J34" s="1">
        <f t="shared" ref="J34:J35" si="25">E34*I34</f>
        <v>1193640</v>
      </c>
      <c r="K34" s="1">
        <f>J34+J32</f>
        <v>2409240</v>
      </c>
      <c r="L34" s="1">
        <f>J34+J32*$C$7</f>
        <v>1558320</v>
      </c>
      <c r="M34" s="1">
        <f>J32*$C$4*2+J34*$C$5*2</f>
        <v>1454.3280000000004</v>
      </c>
      <c r="N34" s="9" t="str">
        <f>RTD("wdf.rtq", ,C34, "Update_Time","RT_Price")</f>
        <v>09:51:59</v>
      </c>
    </row>
    <row r="35" spans="2:14" x14ac:dyDescent="0.2">
      <c r="B35" s="60"/>
      <c r="C35" s="45" t="s">
        <v>77</v>
      </c>
      <c r="D35" s="1" t="str">
        <f>[1]!s_info_code2(C35,"")</f>
        <v>IF1803.CFE</v>
      </c>
      <c r="E35" s="45">
        <f>RTD("wdf.rtq", ,C35, "LastPrice","RT_Price")</f>
        <v>3975.6</v>
      </c>
      <c r="F35" s="1">
        <f>E35-E31</f>
        <v>-15.550000000000182</v>
      </c>
      <c r="H35" s="3">
        <f ca="1">IF([1]!s_info_lddate(C35)&lt;&gt;0,[1]!s_info_lddate(C35)-TODAY(),0)</f>
        <v>133</v>
      </c>
      <c r="I35" s="45">
        <v>300</v>
      </c>
      <c r="J35" s="45">
        <f t="shared" si="25"/>
        <v>1192680</v>
      </c>
      <c r="K35" s="1">
        <f>J35+J32</f>
        <v>2408280</v>
      </c>
      <c r="L35" s="1">
        <f>J35+J32*$C$7</f>
        <v>1557360</v>
      </c>
      <c r="M35" s="1">
        <f>J32*$C$4*2+J35*$C$5*2</f>
        <v>1454.1360000000004</v>
      </c>
      <c r="N35" s="9" t="str">
        <f>RTD("wdf.rtq", ,C35, "Update_Time","RT_Price")</f>
        <v>09:51:59</v>
      </c>
    </row>
    <row r="36" spans="2:14" x14ac:dyDescent="0.2">
      <c r="B36" s="59" t="s">
        <v>46</v>
      </c>
      <c r="C36" s="19" t="s">
        <v>12</v>
      </c>
      <c r="D36" s="19" t="str">
        <f>[1]!S_Info_Name(C36)</f>
        <v>中证500</v>
      </c>
      <c r="E36" s="19">
        <f>RTD("wdf.rtq", ,C36, "LastPrice","RT_Price")</f>
        <v>6482.3600000000006</v>
      </c>
      <c r="F36" s="19"/>
      <c r="G36" s="19"/>
      <c r="H36" s="20"/>
      <c r="I36" s="19">
        <v>200</v>
      </c>
      <c r="J36" s="19">
        <f>E36*I36</f>
        <v>1296472</v>
      </c>
      <c r="K36" s="19"/>
      <c r="L36" s="19"/>
      <c r="M36" s="19"/>
      <c r="N36" s="21" t="str">
        <f>RTD("wdf.rtq", ,C36, "Update_Time","RT_Price")</f>
        <v>09:51:54</v>
      </c>
    </row>
    <row r="37" spans="2:14" x14ac:dyDescent="0.2">
      <c r="B37" s="60"/>
      <c r="C37" s="1" t="s">
        <v>11</v>
      </c>
      <c r="D37" s="1" t="str">
        <f>[1]!S_Info_Name(C37)</f>
        <v>500ETF</v>
      </c>
      <c r="E37" s="1">
        <f>RTD("wdf.rtq", ,C37, "LastPrice","RT_Price")</f>
        <v>6.8159999999999998</v>
      </c>
      <c r="F37" s="1">
        <f>RTD("wdf.rtq", ,C37, "PREMIUM","RT_Price")*1000</f>
        <v>-10</v>
      </c>
      <c r="G37" s="1">
        <v>0</v>
      </c>
      <c r="H37" s="3"/>
      <c r="I37" s="1">
        <v>200000</v>
      </c>
      <c r="J37" s="1">
        <f t="shared" ref="J37:J40" si="26">E37*I37</f>
        <v>1363200</v>
      </c>
      <c r="N37" s="9" t="str">
        <f>RTD("wdf.rtq", ,C37, "Update_Time","RT_Price")</f>
        <v>09:51:57</v>
      </c>
    </row>
    <row r="38" spans="2:14" x14ac:dyDescent="0.2">
      <c r="B38" s="60"/>
      <c r="C38" s="1" t="s">
        <v>13</v>
      </c>
      <c r="D38" s="1" t="str">
        <f>[1]!s_info_code2(C38,"")</f>
        <v>IC1711.CFE</v>
      </c>
      <c r="E38" s="1">
        <f>RTD("wdf.rtq", ,C38, "LastPrice","RT_Price")</f>
        <v>6449</v>
      </c>
      <c r="F38" s="1">
        <f>E38-E36</f>
        <v>-33.360000000000582</v>
      </c>
      <c r="H38" s="3">
        <f ca="1">IF([1]!s_info_lddate(C38)&lt;&gt;0,[1]!s_info_lddate(C38)-TODAY(),0)</f>
        <v>14</v>
      </c>
      <c r="I38" s="1">
        <v>200</v>
      </c>
      <c r="J38" s="1">
        <f t="shared" si="26"/>
        <v>1289800</v>
      </c>
      <c r="K38" s="1">
        <f>J38+J37</f>
        <v>2653000</v>
      </c>
      <c r="L38" s="1">
        <f>J38+J37*$C$7</f>
        <v>1698760</v>
      </c>
      <c r="M38" s="1">
        <f>J37*$C$4*2+J38*$C$5*2</f>
        <v>1621.16</v>
      </c>
      <c r="N38" s="9" t="str">
        <f>RTD("wdf.rtq", ,C38, "Update_Time","RT_Price")</f>
        <v>09:51:59</v>
      </c>
    </row>
    <row r="39" spans="2:14" x14ac:dyDescent="0.2">
      <c r="B39" s="60"/>
      <c r="C39" s="1" t="s">
        <v>14</v>
      </c>
      <c r="D39" s="1" t="str">
        <f>[1]!s_info_code2(C39,"")</f>
        <v>IC1712.CFE</v>
      </c>
      <c r="E39" s="1">
        <f>RTD("wdf.rtq", ,C39, "LastPrice","RT_Price")</f>
        <v>6409</v>
      </c>
      <c r="F39" s="1">
        <f>E39-E36</f>
        <v>-73.360000000000582</v>
      </c>
      <c r="H39" s="3">
        <f ca="1">IF([1]!s_info_lddate(C39)&lt;&gt;0,[1]!s_info_lddate(C39)-TODAY(),0)</f>
        <v>42</v>
      </c>
      <c r="I39" s="1">
        <v>300</v>
      </c>
      <c r="J39" s="1">
        <f t="shared" si="26"/>
        <v>1922700</v>
      </c>
      <c r="K39" s="1">
        <f>J39+J37</f>
        <v>3285900</v>
      </c>
      <c r="L39" s="1">
        <f>J39+J37*$C$7</f>
        <v>2331660</v>
      </c>
      <c r="M39" s="1">
        <f>J37*$C$4*2+J39*$C$5*2</f>
        <v>1747.74</v>
      </c>
      <c r="N39" s="9" t="str">
        <f>RTD("wdf.rtq", ,C39, "Update_Time","RT_Price")</f>
        <v>09:51:59</v>
      </c>
    </row>
    <row r="40" spans="2:14" ht="15" thickBot="1" x14ac:dyDescent="0.25">
      <c r="B40" s="61"/>
      <c r="C40" s="46" t="s">
        <v>78</v>
      </c>
      <c r="D40" s="13" t="str">
        <f>[1]!s_info_code2(C40,"")</f>
        <v>IC1803.CFE</v>
      </c>
      <c r="E40" s="46">
        <f>RTD("wdf.rtq", ,C40, "LastPrice","RT_Price")</f>
        <v>6328.8</v>
      </c>
      <c r="F40" s="13">
        <f>E40-E36</f>
        <v>-153.5600000000004</v>
      </c>
      <c r="G40" s="13"/>
      <c r="H40" s="18">
        <f ca="1">IF([1]!s_info_lddate(C40)&lt;&gt;0,[1]!s_info_lddate(C40)-TODAY(),0)</f>
        <v>133</v>
      </c>
      <c r="I40" s="46">
        <v>300</v>
      </c>
      <c r="J40" s="46">
        <f t="shared" si="26"/>
        <v>1898640</v>
      </c>
      <c r="K40" s="13">
        <f>J40+J37</f>
        <v>3261840</v>
      </c>
      <c r="L40" s="13">
        <f>J40+J37*$C$7</f>
        <v>2307600</v>
      </c>
      <c r="M40" s="13">
        <f>J37*$C$4*2+J40*$C$5*2</f>
        <v>1742.9280000000001</v>
      </c>
      <c r="N40" s="47" t="str">
        <f>RTD("wdf.rtq", ,C40, "Update_Time","RT_Price")</f>
        <v>09:51:58</v>
      </c>
    </row>
  </sheetData>
  <mergeCells count="8">
    <mergeCell ref="B36:B40"/>
    <mergeCell ref="E3:E11"/>
    <mergeCell ref="E14:E22"/>
    <mergeCell ref="P3:P5"/>
    <mergeCell ref="P6:P8"/>
    <mergeCell ref="P9:P11"/>
    <mergeCell ref="B26:B30"/>
    <mergeCell ref="B31:B35"/>
  </mergeCells>
  <phoneticPr fontId="2" type="noConversion"/>
  <conditionalFormatting sqref="M3:M11">
    <cfRule type="cellIs" dxfId="3" priority="4" operator="greaterThan">
      <formula>0</formula>
    </cfRule>
  </conditionalFormatting>
  <conditionalFormatting sqref="J3:J11">
    <cfRule type="cellIs" dxfId="2" priority="3" operator="greaterThan">
      <formula>$C$10</formula>
    </cfRule>
  </conditionalFormatting>
  <conditionalFormatting sqref="J14:J22">
    <cfRule type="cellIs" dxfId="1" priority="2" operator="greaterThan">
      <formula>$C$11</formula>
    </cfRule>
  </conditionalFormatting>
  <conditionalFormatting sqref="M14:M22">
    <cfRule type="cellIs" dxfId="0" priority="1" operator="greaterThan">
      <formula>$C$11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arn_test">
                <anchor moveWithCells="1" sizeWithCells="1">
                  <from>
                    <xdr:col>1</xdr:col>
                    <xdr:colOff>66675</xdr:colOff>
                    <xdr:row>14</xdr:row>
                    <xdr:rowOff>38100</xdr:rowOff>
                  </from>
                  <to>
                    <xdr:col>2</xdr:col>
                    <xdr:colOff>714375</xdr:colOff>
                    <xdr:row>16</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L12" sqref="L12"/>
    </sheetView>
  </sheetViews>
  <sheetFormatPr defaultRowHeight="14.25" x14ac:dyDescent="0.2"/>
  <sheetData>
    <row r="1" spans="1:1" x14ac:dyDescent="0.2">
      <c r="A1" t="s">
        <v>93</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8"/>
  <sheetViews>
    <sheetView workbookViewId="0">
      <selection activeCell="C20" sqref="C20"/>
    </sheetView>
  </sheetViews>
  <sheetFormatPr defaultRowHeight="14.25" x14ac:dyDescent="0.2"/>
  <cols>
    <col min="2" max="2" width="24.25" customWidth="1"/>
    <col min="3" max="3" width="11.875" customWidth="1"/>
    <col min="4" max="4" width="10.25" customWidth="1"/>
  </cols>
  <sheetData>
    <row r="1" spans="1:11" x14ac:dyDescent="0.2">
      <c r="A1">
        <f ca="1">IF(期现套利!J3&gt;期现套利!$C$10,1,0)</f>
        <v>0</v>
      </c>
      <c r="B1" t="str">
        <f ca="1">期现套利!F3&amp;" 正向 "&amp;ROUND(期现套利!J3*100,2)&amp;"%"</f>
        <v>IH1711 正向 2.55%</v>
      </c>
    </row>
    <row r="2" spans="1:11" x14ac:dyDescent="0.2">
      <c r="A2">
        <f ca="1">IF(期现套利!J4&gt;期现套利!$C$10,1,0)</f>
        <v>0</v>
      </c>
      <c r="B2" t="str">
        <f ca="1">期现套利!F4&amp;" 正向 "&amp;ROUND(期现套利!J4*100,2)&amp;"%"</f>
        <v>IH1712 正向 2.13%</v>
      </c>
    </row>
    <row r="3" spans="1:11" x14ac:dyDescent="0.2">
      <c r="A3">
        <f ca="1">IF(期现套利!J5&gt;期现套利!$C$10,1,0)</f>
        <v>0</v>
      </c>
      <c r="B3" t="str">
        <f ca="1">期现套利!F5&amp;" 正向 "&amp;ROUND(期现套利!J5*100,2)&amp;"%"</f>
        <v>IH1803 正向 2.02%</v>
      </c>
    </row>
    <row r="4" spans="1:11" x14ac:dyDescent="0.2">
      <c r="A4">
        <f ca="1">IF(期现套利!J6&gt;期现套利!$C$10,1,0)</f>
        <v>0</v>
      </c>
      <c r="B4" t="str">
        <f ca="1">期现套利!F6&amp;" 正向 "&amp;ROUND(期现套利!J6*100,2)&amp;"%"</f>
        <v>IF1711 正向 -5.01%</v>
      </c>
    </row>
    <row r="5" spans="1:11" x14ac:dyDescent="0.2">
      <c r="A5">
        <f ca="1">IF(期现套利!J7&gt;期现套利!$C$10,1,0)</f>
        <v>0</v>
      </c>
      <c r="B5" t="str">
        <f ca="1">期现套利!F7&amp;" 正向 "&amp;ROUND(期现套利!J7*100,2)&amp;"%"</f>
        <v>IF1712 正向 -2.71%</v>
      </c>
      <c r="C5" t="s">
        <v>42</v>
      </c>
      <c r="D5">
        <v>895.5</v>
      </c>
    </row>
    <row r="6" spans="1:11" x14ac:dyDescent="0.2">
      <c r="A6">
        <f ca="1">IF(期现套利!J8&gt;期现套利!$C$10,1,0)</f>
        <v>0</v>
      </c>
      <c r="B6" t="str">
        <f ca="1">期现套利!F8&amp;" 正向 "&amp;ROUND(期现套利!J8*100,2)&amp;"%"</f>
        <v>IF1803 正向 -1.03%</v>
      </c>
      <c r="C6" s="30" t="s">
        <v>41</v>
      </c>
      <c r="D6">
        <v>342.75</v>
      </c>
    </row>
    <row r="7" spans="1:11" x14ac:dyDescent="0.2">
      <c r="A7">
        <f ca="1">IF(期现套利!J9&gt;期现套利!$C$10,1,0)</f>
        <v>0</v>
      </c>
      <c r="B7" t="str">
        <f ca="1">期现套利!F9&amp;" 正向 "&amp;ROUND(期现套利!J9*100,2)&amp;"%"</f>
        <v>IC1711 正向 -9.66%</v>
      </c>
      <c r="C7" t="s">
        <v>39</v>
      </c>
      <c r="D7">
        <v>3</v>
      </c>
    </row>
    <row r="8" spans="1:11" x14ac:dyDescent="0.2">
      <c r="A8">
        <f ca="1">IF(期现套利!J10&gt;期现套利!$C$10,1,0)</f>
        <v>0</v>
      </c>
      <c r="B8" t="str">
        <f ca="1">期现套利!F10&amp;" 正向 "&amp;ROUND(期现套利!J10*100,2)&amp;"%"</f>
        <v>IC1712 正向 -7.74%</v>
      </c>
      <c r="C8" t="s">
        <v>40</v>
      </c>
      <c r="D8">
        <v>6</v>
      </c>
      <c r="K8" t="s">
        <v>38</v>
      </c>
    </row>
    <row r="9" spans="1:11" x14ac:dyDescent="0.2">
      <c r="A9">
        <f ca="1">IF(期现套利!J11&gt;期现套利!$C$10,1,0)</f>
        <v>0</v>
      </c>
      <c r="B9" t="str">
        <f ca="1">期现套利!F11&amp;" 正向 "&amp;ROUND(期现套利!J11*100,2)&amp;"%"</f>
        <v>IC1803 正向 -5.33%</v>
      </c>
      <c r="C9" t="s">
        <v>66</v>
      </c>
      <c r="D9">
        <f ca="1">COUNT(A:A)</f>
        <v>38</v>
      </c>
    </row>
    <row r="10" spans="1:11" x14ac:dyDescent="0.2">
      <c r="A10">
        <v>-1</v>
      </c>
    </row>
    <row r="11" spans="1:11" x14ac:dyDescent="0.2">
      <c r="A11">
        <v>-1</v>
      </c>
      <c r="C11" t="s">
        <v>58</v>
      </c>
    </row>
    <row r="12" spans="1:11" x14ac:dyDescent="0.2">
      <c r="A12">
        <f ca="1">IF(期现套利!J14&gt;期现套利!$C$11,1,0)</f>
        <v>0</v>
      </c>
      <c r="B12" t="str">
        <f ca="1">期现套利!F14&amp;" 反向 "&amp;ROUND(期现套利!J14*100,2)&amp;"%"</f>
        <v>IH1711 反向 -7.41%</v>
      </c>
      <c r="C12" s="35" t="s">
        <v>75</v>
      </c>
    </row>
    <row r="13" spans="1:11" x14ac:dyDescent="0.2">
      <c r="A13">
        <f ca="1">IF(期现套利!J15&gt;期现套利!$C$11,1,0)</f>
        <v>0</v>
      </c>
      <c r="B13" t="str">
        <f ca="1">期现套利!F15&amp;" 反向 "&amp;ROUND(期现套利!J15*100,2)&amp;"%"</f>
        <v>IH1712 反向 -3.75%</v>
      </c>
      <c r="C13" s="35" t="s">
        <v>59</v>
      </c>
    </row>
    <row r="14" spans="1:11" x14ac:dyDescent="0.2">
      <c r="A14">
        <f ca="1">IF(期现套利!J16&gt;期现套利!$C$11,1,0)</f>
        <v>0</v>
      </c>
      <c r="B14" t="str">
        <f ca="1">期现套利!F16&amp;" 反向 "&amp;ROUND(期现套利!J16*100,2)&amp;"%"</f>
        <v>IH1803 反向 -2.53%</v>
      </c>
    </row>
    <row r="15" spans="1:11" x14ac:dyDescent="0.2">
      <c r="A15">
        <f ca="1">IF(期现套利!J17&gt;期现套利!$C$11,1,0)</f>
        <v>0</v>
      </c>
      <c r="B15" t="str">
        <f ca="1">期现套利!F17&amp;" 反向 "&amp;ROUND(期现套利!J17*100,2)&amp;"%"</f>
        <v>IF1711 反向 0.15%</v>
      </c>
    </row>
    <row r="16" spans="1:11" x14ac:dyDescent="0.2">
      <c r="A16">
        <f ca="1">IF(期现套利!J18&gt;期现套利!$C$11,1,0)</f>
        <v>0</v>
      </c>
      <c r="B16" t="str">
        <f ca="1">期现套利!F18&amp;" 反向 "&amp;ROUND(期现套利!J18*100,2)&amp;"%"</f>
        <v>IF1712 反向 1.09%</v>
      </c>
    </row>
    <row r="17" spans="1:2" x14ac:dyDescent="0.2">
      <c r="A17">
        <f ca="1">IF(期现套利!J19&gt;期现套利!$C$11,1,0)</f>
        <v>0</v>
      </c>
      <c r="B17" t="str">
        <f ca="1">期现套利!F19&amp;" 反向 "&amp;ROUND(期现套利!J19*100,2)&amp;"%"</f>
        <v>IF1803 反向 0.51%</v>
      </c>
    </row>
    <row r="18" spans="1:2" x14ac:dyDescent="0.2">
      <c r="A18">
        <f ca="1">IF(期现套利!J20&gt;期现套利!$C$11,1,0)</f>
        <v>0</v>
      </c>
      <c r="B18" t="str">
        <f ca="1">期现套利!F20&amp;" 反向 "&amp;ROUND(期现套利!J20*100,2)&amp;"%"</f>
        <v>IC1711 反向 4.68%</v>
      </c>
    </row>
    <row r="19" spans="1:2" x14ac:dyDescent="0.2">
      <c r="A19">
        <f ca="1">IF(期现套利!J21&gt;期现套利!$C$11,1,0)</f>
        <v>1</v>
      </c>
      <c r="B19" t="str">
        <f ca="1">期现套利!F21&amp;" 反向 "&amp;ROUND(期现套利!J21*100,2)&amp;"%"</f>
        <v>IC1712 反向 6.43%</v>
      </c>
    </row>
    <row r="20" spans="1:2" x14ac:dyDescent="0.2">
      <c r="A20">
        <f ca="1">IF(期现套利!J22&gt;期现套利!$C$11,1,0)</f>
        <v>0</v>
      </c>
      <c r="B20" t="str">
        <f ca="1">期现套利!F22&amp;" 反向 "&amp;ROUND(期现套利!J22*100,2)&amp;"%"</f>
        <v>IC1803 反向 4.91%</v>
      </c>
    </row>
    <row r="21" spans="1:2" x14ac:dyDescent="0.2">
      <c r="A21">
        <f>IF(期现套利!T3&gt;期现套利!$C$12,1,0)</f>
        <v>0</v>
      </c>
      <c r="B21" t="str">
        <f>LEFT(期现套利!Q3,6)&amp;" 展期 "&amp;ROUND(期现套利!T3*100,2)&amp;"%"</f>
        <v>IH1711 展期 0%</v>
      </c>
    </row>
    <row r="22" spans="1:2" x14ac:dyDescent="0.2">
      <c r="A22">
        <f ca="1">IF(期现套利!T4&gt;期现套利!$C$12,1,0)</f>
        <v>0</v>
      </c>
      <c r="B22" t="str">
        <f ca="1">LEFT(期现套利!Q4,6)&amp;" 展期 "&amp;ROUND(期现套利!T4*100,2)&amp;"%"</f>
        <v>IH1712 展期 2.53%</v>
      </c>
    </row>
    <row r="23" spans="1:2" x14ac:dyDescent="0.2">
      <c r="A23">
        <f ca="1">IF(期现套利!T5&gt;期现套利!$C$12,1,0)</f>
        <v>0</v>
      </c>
      <c r="B23" t="str">
        <f ca="1">LEFT(期现套利!Q5,6)&amp;" 展期 "&amp;ROUND(期现套利!T5*100,2)&amp;"%"</f>
        <v>IH1803 展期 2.58%</v>
      </c>
    </row>
    <row r="24" spans="1:2" x14ac:dyDescent="0.2">
      <c r="A24">
        <f>IF(期现套利!T6&gt;期现套利!$C$12,1,0)</f>
        <v>0</v>
      </c>
      <c r="B24" t="str">
        <f>LEFT(期现套利!Q6,6)&amp;" 展期 "&amp;ROUND(期现套利!T6*100,2)&amp;"%"</f>
        <v>IF1711 展期 0%</v>
      </c>
    </row>
    <row r="25" spans="1:2" x14ac:dyDescent="0.2">
      <c r="A25">
        <f ca="1">IF(期现套利!T7&gt;期现套利!$C$12,1,0)</f>
        <v>0</v>
      </c>
      <c r="B25" t="str">
        <f ca="1">LEFT(期现套利!Q7,6)&amp;" 展期 "&amp;ROUND(期现套利!T7*100,2)&amp;"%"</f>
        <v>IF1712 展期 -2.03%</v>
      </c>
    </row>
    <row r="26" spans="1:2" x14ac:dyDescent="0.2">
      <c r="A26">
        <f ca="1">IF(期现套利!T8&gt;期现套利!$C$12,1,0)</f>
        <v>0</v>
      </c>
      <c r="B26" t="str">
        <f ca="1">LEFT(期现套利!Q8,6)&amp;" 展期 "&amp;ROUND(期现套利!T8*100,2)&amp;"%"</f>
        <v>IF1803 展期 -0.72%</v>
      </c>
    </row>
    <row r="27" spans="1:2" x14ac:dyDescent="0.2">
      <c r="A27">
        <f>IF(期现套利!T9&gt;期现套利!$C$12,1,0)</f>
        <v>0</v>
      </c>
      <c r="B27" t="str">
        <f>LEFT(期现套利!Q9,6)&amp;" 展期 "&amp;ROUND(期现套利!T9*100,2)&amp;"%"</f>
        <v>IC1711 展期 0%</v>
      </c>
    </row>
    <row r="28" spans="1:2" x14ac:dyDescent="0.2">
      <c r="A28">
        <f ca="1">IF(期现套利!T10&gt;期现套利!$C$12,1,0)</f>
        <v>0</v>
      </c>
      <c r="B28" t="str">
        <f ca="1">LEFT(期现套利!Q10,6)&amp;" 展期 "&amp;ROUND(期现套利!T10*100,2)&amp;"%"</f>
        <v>IC1712 展期 -8.04%</v>
      </c>
    </row>
    <row r="29" spans="1:2" x14ac:dyDescent="0.2">
      <c r="A29">
        <f ca="1">IF(期现套利!T11&gt;期现套利!$C$12,1,0)</f>
        <v>0</v>
      </c>
      <c r="B29" t="str">
        <f ca="1">LEFT(期现套利!Q11,6)&amp;" 展期 "&amp;ROUND(期现套利!T11*100,2)&amp;"%"</f>
        <v>IC1803 展期 -5.69%</v>
      </c>
    </row>
    <row r="30" spans="1:2" x14ac:dyDescent="0.2">
      <c r="A30">
        <f ca="1">IF(期现套利!V3&gt;期现套利!$C$13,1,0)</f>
        <v>1</v>
      </c>
      <c r="B30" t="str">
        <f ca="1">LEFT(期现套利!Q3,6)&amp;" 对冲 "&amp;ROUND(期现套利!V3*100,2)&amp;"%"</f>
        <v>IH1711 对冲 5.57%</v>
      </c>
    </row>
    <row r="31" spans="1:2" x14ac:dyDescent="0.2">
      <c r="A31">
        <f ca="1">IF(期现套利!V4&gt;期现套利!$C$13,1,0)</f>
        <v>1</v>
      </c>
      <c r="B31" t="str">
        <f ca="1">LEFT(期现套利!Q4,6)&amp;" 对冲 "&amp;ROUND(期现套利!V4*100,2)&amp;"%"</f>
        <v>IH1712 对冲 3.54%</v>
      </c>
    </row>
    <row r="32" spans="1:2" x14ac:dyDescent="0.2">
      <c r="A32">
        <f ca="1">IF(期现套利!V5&gt;期现套利!$C$13,1,0)</f>
        <v>0</v>
      </c>
      <c r="B32" t="str">
        <f ca="1">LEFT(期现套利!Q5,6)&amp;" 对冲 "&amp;ROUND(期现套利!V5*100,2)&amp;"%"</f>
        <v>IH1803 对冲 2.89%</v>
      </c>
    </row>
    <row r="33" spans="1:2" x14ac:dyDescent="0.2">
      <c r="A33">
        <f ca="1">IF(期现套利!V6&gt;期现套利!$C$13,1,0)</f>
        <v>0</v>
      </c>
      <c r="B33" t="str">
        <f ca="1">LEFT(期现套利!Q6,6)&amp;" 对冲 "&amp;ROUND(期现套利!V6*100,2)&amp;"%"</f>
        <v>IF1711 对冲 -4.02%</v>
      </c>
    </row>
    <row r="34" spans="1:2" x14ac:dyDescent="0.2">
      <c r="A34">
        <f ca="1">IF(期现套利!V7&gt;期现套利!$C$13,1,0)</f>
        <v>0</v>
      </c>
      <c r="B34" t="str">
        <f ca="1">LEFT(期现套利!Q7,6)&amp;" 对冲 "&amp;ROUND(期现套利!V7*100,2)&amp;"%"</f>
        <v>IF1712 对冲 -2.69%</v>
      </c>
    </row>
    <row r="35" spans="1:2" x14ac:dyDescent="0.2">
      <c r="A35">
        <f ca="1">IF(期现套利!V8&gt;期现套利!$C$13,1,0)</f>
        <v>0</v>
      </c>
      <c r="B35" t="str">
        <f ca="1">LEFT(期现套利!Q8,6)&amp;" 对冲 "&amp;ROUND(期现套利!V8*100,2)&amp;"%"</f>
        <v>IF1803 对冲 -1.07%</v>
      </c>
    </row>
    <row r="36" spans="1:2" x14ac:dyDescent="0.2">
      <c r="A36">
        <f ca="1">IF(期现套利!V9&gt;期现套利!$C$13,1,0)</f>
        <v>0</v>
      </c>
      <c r="B36" t="str">
        <f ca="1">LEFT(期现套利!Q9,6)&amp;" 对冲 "&amp;ROUND(期现套利!V9*100,2)&amp;"%"</f>
        <v>IC1711 对冲 -13.42%</v>
      </c>
    </row>
    <row r="37" spans="1:2" x14ac:dyDescent="0.2">
      <c r="A37">
        <f ca="1">IF(期现套利!V10&gt;期现套利!$C$13,1,0)</f>
        <v>0</v>
      </c>
      <c r="B37" t="str">
        <f ca="1">LEFT(期现套利!Q10,6)&amp;" 对冲 "&amp;ROUND(期现套利!V10*100,2)&amp;"%"</f>
        <v>IC1712 对冲 -9.83%</v>
      </c>
    </row>
    <row r="38" spans="1:2" x14ac:dyDescent="0.2">
      <c r="A38">
        <f ca="1">IF(期现套利!V11&gt;期现套利!$C$13,1,0)</f>
        <v>0</v>
      </c>
      <c r="B38" t="str">
        <f ca="1">LEFT(期现套利!Q11,6)&amp;" 对冲 "&amp;ROUND(期现套利!V11*100,2)&amp;"%"</f>
        <v>IC1803 对冲 -6.5%</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warn_test">
                <anchor moveWithCells="1" sizeWithCells="1">
                  <from>
                    <xdr:col>2</xdr:col>
                    <xdr:colOff>57150</xdr:colOff>
                    <xdr:row>0</xdr:row>
                    <xdr:rowOff>66675</xdr:rowOff>
                  </from>
                  <to>
                    <xdr:col>3</xdr:col>
                    <xdr:colOff>733425</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使用说明</vt:lpstr>
      <vt:lpstr>期现套利</vt:lpstr>
      <vt:lpstr>Data</vt:lpstr>
      <vt:lpstr>Warn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Windows 用户</cp:lastModifiedBy>
  <dcterms:created xsi:type="dcterms:W3CDTF">2017-10-23T03:12:17Z</dcterms:created>
  <dcterms:modified xsi:type="dcterms:W3CDTF">2017-11-03T01:52:03Z</dcterms:modified>
</cp:coreProperties>
</file>