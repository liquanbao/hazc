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autorun\期现套利机会监控\"/>
    </mc:Choice>
  </mc:AlternateContent>
  <bookViews>
    <workbookView xWindow="0" yWindow="0" windowWidth="28800" windowHeight="12120" activeTab="1"/>
  </bookViews>
  <sheets>
    <sheet name="使用说明" sheetId="3" r:id="rId1"/>
    <sheet name="期现套利" sheetId="1" r:id="rId2"/>
    <sheet name="Data" sheetId="4" state="hidden" r:id="rId3"/>
    <sheet name="Warn" sheetId="2" r:id="rId4"/>
  </sheets>
  <externalReferences>
    <externalReference r:id="rId5"/>
  </externalReferenc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2" i="1" l="1"/>
  <c r="F19" i="1"/>
  <c r="F16" i="1"/>
  <c r="F11" i="1"/>
  <c r="F8" i="1"/>
  <c r="F5" i="1"/>
  <c r="E40" i="1"/>
  <c r="E39" i="1"/>
  <c r="D40" i="1"/>
  <c r="D39" i="1"/>
  <c r="H40" i="1"/>
  <c r="H39" i="1"/>
  <c r="N40" i="1"/>
  <c r="H35" i="1"/>
  <c r="E35" i="1"/>
  <c r="E34" i="1"/>
  <c r="D35" i="1"/>
  <c r="D34" i="1"/>
  <c r="H34" i="1"/>
  <c r="N35" i="1"/>
  <c r="H30" i="1"/>
  <c r="D30" i="1"/>
  <c r="E30" i="1"/>
  <c r="N30" i="1"/>
  <c r="E27" i="1"/>
  <c r="N27" i="1"/>
  <c r="N36" i="1"/>
  <c r="N29" i="1"/>
  <c r="E33" i="1"/>
  <c r="N25" i="1"/>
  <c r="N26" i="1"/>
  <c r="N38" i="1"/>
  <c r="N39" i="1"/>
  <c r="E31" i="1"/>
  <c r="E32" i="1"/>
  <c r="N34" i="1"/>
  <c r="E37" i="1"/>
  <c r="F27" i="1"/>
  <c r="N32" i="1"/>
  <c r="F32" i="1"/>
  <c r="N28" i="1"/>
  <c r="E38" i="1"/>
  <c r="E26" i="1"/>
  <c r="E29" i="1"/>
  <c r="E28" i="1"/>
  <c r="E25" i="1"/>
  <c r="F37" i="1"/>
  <c r="N37" i="1"/>
  <c r="N33" i="1"/>
  <c r="E36" i="1"/>
  <c r="N31" i="1"/>
  <c r="H38" i="1"/>
  <c r="D33" i="1"/>
  <c r="D26" i="1"/>
  <c r="H33" i="1"/>
  <c r="D37" i="1"/>
  <c r="D31" i="1"/>
  <c r="D28" i="1"/>
  <c r="D25" i="1"/>
  <c r="D29" i="1"/>
  <c r="D27" i="1"/>
  <c r="H28" i="1"/>
  <c r="H29" i="1"/>
  <c r="D38" i="1"/>
  <c r="D36" i="1"/>
  <c r="D32" i="1"/>
  <c r="F39" i="1" l="1"/>
  <c r="G10" i="1" s="1"/>
  <c r="G21" i="1" s="1"/>
  <c r="H21" i="1" s="1"/>
  <c r="J39" i="1"/>
  <c r="F40" i="1"/>
  <c r="G11" i="1" s="1"/>
  <c r="G22" i="1" s="1"/>
  <c r="H22" i="1" s="1"/>
  <c r="J40" i="1"/>
  <c r="J34" i="1"/>
  <c r="F34" i="1"/>
  <c r="G7" i="1" s="1"/>
  <c r="G18" i="1" s="1"/>
  <c r="H18" i="1" s="1"/>
  <c r="J35" i="1"/>
  <c r="F35" i="1"/>
  <c r="G8" i="1" s="1"/>
  <c r="G19" i="1" s="1"/>
  <c r="J30" i="1"/>
  <c r="F30" i="1"/>
  <c r="F14" i="1"/>
  <c r="F15" i="1"/>
  <c r="F17" i="1"/>
  <c r="F18" i="1"/>
  <c r="F20" i="1"/>
  <c r="F21" i="1"/>
  <c r="F3" i="1"/>
  <c r="F4" i="1"/>
  <c r="F6" i="1"/>
  <c r="F7" i="1"/>
  <c r="F9" i="1"/>
  <c r="F10" i="1"/>
  <c r="C6" i="1"/>
  <c r="F38" i="1"/>
  <c r="G9" i="1" s="1"/>
  <c r="G20" i="1" s="1"/>
  <c r="H20" i="1" s="1"/>
  <c r="F33" i="1"/>
  <c r="F29" i="1"/>
  <c r="G4" i="1" s="1"/>
  <c r="G15" i="1" s="1"/>
  <c r="H15" i="1" s="1"/>
  <c r="F28" i="1"/>
  <c r="G3" i="1" s="1"/>
  <c r="G14" i="1" s="1"/>
  <c r="H14" i="1" s="1"/>
  <c r="J29" i="1"/>
  <c r="J31" i="1"/>
  <c r="J33" i="1"/>
  <c r="J32" i="1"/>
  <c r="J36" i="1"/>
  <c r="J38" i="1"/>
  <c r="J37" i="1"/>
  <c r="J28" i="1"/>
  <c r="J27" i="1"/>
  <c r="J26" i="1"/>
  <c r="K19" i="1" l="1"/>
  <c r="K16" i="1"/>
  <c r="K22" i="1"/>
  <c r="H8" i="1"/>
  <c r="H19" i="1"/>
  <c r="K8" i="1"/>
  <c r="K11" i="1"/>
  <c r="H11" i="1"/>
  <c r="K5" i="1"/>
  <c r="G6" i="1"/>
  <c r="G17" i="1" s="1"/>
  <c r="H17" i="1" s="1"/>
  <c r="G5" i="1"/>
  <c r="G16" i="1" s="1"/>
  <c r="H16" i="1" s="1"/>
  <c r="L40" i="1"/>
  <c r="K40" i="1"/>
  <c r="M40" i="1"/>
  <c r="I22" i="1" s="1"/>
  <c r="L39" i="1"/>
  <c r="K39" i="1"/>
  <c r="M39" i="1"/>
  <c r="K35" i="1"/>
  <c r="M35" i="1"/>
  <c r="L35" i="1"/>
  <c r="K34" i="1"/>
  <c r="M34" i="1"/>
  <c r="L34" i="1"/>
  <c r="M28" i="1"/>
  <c r="L30" i="1"/>
  <c r="M30" i="1"/>
  <c r="M29" i="1"/>
  <c r="K30" i="1"/>
  <c r="L29" i="1"/>
  <c r="L38" i="1"/>
  <c r="L33" i="1"/>
  <c r="L28" i="1"/>
  <c r="K28" i="1"/>
  <c r="K10" i="1"/>
  <c r="K29" i="1"/>
  <c r="K38" i="1"/>
  <c r="K33" i="1"/>
  <c r="K6" i="1"/>
  <c r="K20" i="1"/>
  <c r="K14" i="1"/>
  <c r="K21" i="1"/>
  <c r="K18" i="1"/>
  <c r="K7" i="1"/>
  <c r="K15" i="1"/>
  <c r="H4" i="1"/>
  <c r="H3" i="1"/>
  <c r="H9" i="1"/>
  <c r="H10" i="1"/>
  <c r="K3" i="1"/>
  <c r="M38" i="1"/>
  <c r="M33" i="1"/>
  <c r="H7" i="1"/>
  <c r="K4" i="1"/>
  <c r="K9" i="1"/>
  <c r="K17" i="1"/>
  <c r="I8" i="1" l="1"/>
  <c r="L8" i="1" s="1"/>
  <c r="M8" i="1" s="1"/>
  <c r="A6" i="2" s="1"/>
  <c r="B6" i="2" s="1"/>
  <c r="I16" i="1"/>
  <c r="I19" i="1"/>
  <c r="J19" i="1" s="1"/>
  <c r="N19" i="1" s="1"/>
  <c r="J22" i="1"/>
  <c r="N22" i="1" s="1"/>
  <c r="L22" i="1"/>
  <c r="M22" i="1" s="1"/>
  <c r="A20" i="2" s="1"/>
  <c r="H5" i="1"/>
  <c r="I5" i="1" s="1"/>
  <c r="L5" i="1" s="1"/>
  <c r="M5" i="1" s="1"/>
  <c r="A3" i="2" s="1"/>
  <c r="I11" i="1"/>
  <c r="J11" i="1" s="1"/>
  <c r="H6" i="1"/>
  <c r="I6" i="1" s="1"/>
  <c r="J6" i="1" s="1"/>
  <c r="I18" i="1"/>
  <c r="J18" i="1" s="1"/>
  <c r="I15" i="1"/>
  <c r="J15" i="1" s="1"/>
  <c r="I20" i="1"/>
  <c r="J20" i="1" s="1"/>
  <c r="I21" i="1"/>
  <c r="J21" i="1" s="1"/>
  <c r="I17" i="1"/>
  <c r="J17" i="1" s="1"/>
  <c r="I14" i="1"/>
  <c r="J14" i="1" s="1"/>
  <c r="I3" i="1"/>
  <c r="J3" i="1" s="1"/>
  <c r="I7" i="1"/>
  <c r="J7" i="1" s="1"/>
  <c r="I10" i="1"/>
  <c r="J10" i="1" s="1"/>
  <c r="I9" i="1"/>
  <c r="J9" i="1" s="1"/>
  <c r="I4" i="1"/>
  <c r="J4" i="1" s="1"/>
  <c r="B20" i="2" l="1"/>
  <c r="J8" i="1"/>
  <c r="N8" i="1" s="1"/>
  <c r="L19" i="1"/>
  <c r="M19" i="1" s="1"/>
  <c r="A17" i="2" s="1"/>
  <c r="B17" i="2" s="1"/>
  <c r="J16" i="1"/>
  <c r="L16" i="1"/>
  <c r="M16" i="1" s="1"/>
  <c r="A14" i="2" s="1"/>
  <c r="B14" i="2" s="1"/>
  <c r="L11" i="1"/>
  <c r="M11" i="1" s="1"/>
  <c r="A9" i="2" s="1"/>
  <c r="B9" i="2" s="1"/>
  <c r="J5" i="1"/>
  <c r="N5" i="1" s="1"/>
  <c r="N18" i="1"/>
  <c r="N21" i="1"/>
  <c r="N20" i="1"/>
  <c r="L18" i="1"/>
  <c r="M18" i="1" s="1"/>
  <c r="A16" i="2" s="1"/>
  <c r="B16" i="2" s="1"/>
  <c r="L21" i="1"/>
  <c r="M21" i="1" s="1"/>
  <c r="A19" i="2" s="1"/>
  <c r="B19" i="2" s="1"/>
  <c r="L17" i="1"/>
  <c r="M17" i="1" s="1"/>
  <c r="A15" i="2" s="1"/>
  <c r="B15" i="2" s="1"/>
  <c r="L20" i="1"/>
  <c r="M20" i="1" s="1"/>
  <c r="A18" i="2" s="1"/>
  <c r="B18" i="2" s="1"/>
  <c r="L14" i="1"/>
  <c r="M14" i="1" s="1"/>
  <c r="A12" i="2" s="1"/>
  <c r="L15" i="1"/>
  <c r="M15" i="1" s="1"/>
  <c r="A13" i="2" s="1"/>
  <c r="B13" i="2" s="1"/>
  <c r="L4" i="1"/>
  <c r="M4" i="1" s="1"/>
  <c r="A2" i="2" s="1"/>
  <c r="L9" i="1"/>
  <c r="M9" i="1" s="1"/>
  <c r="A7" i="2" s="1"/>
  <c r="B7" i="2" s="1"/>
  <c r="L6" i="1"/>
  <c r="M6" i="1" s="1"/>
  <c r="A4" i="2" s="1"/>
  <c r="B4" i="2" s="1"/>
  <c r="L7" i="1"/>
  <c r="M7" i="1" s="1"/>
  <c r="A5" i="2" s="1"/>
  <c r="B5" i="2" s="1"/>
  <c r="L10" i="1"/>
  <c r="M10" i="1" s="1"/>
  <c r="A8" i="2" s="1"/>
  <c r="B8" i="2" s="1"/>
  <c r="L3" i="1"/>
  <c r="M3" i="1" s="1"/>
  <c r="A1" i="2" s="1"/>
  <c r="N11" i="1" l="1"/>
  <c r="N16" i="1"/>
  <c r="B3" i="2"/>
  <c r="N14" i="1"/>
  <c r="B12" i="2"/>
  <c r="N15" i="1"/>
  <c r="N17" i="1"/>
  <c r="N4" i="1"/>
  <c r="B2" i="2"/>
  <c r="N9" i="1"/>
  <c r="N10" i="1"/>
  <c r="N7" i="1"/>
  <c r="N6" i="1"/>
  <c r="N3" i="1"/>
  <c r="B1" i="2" l="1"/>
  <c r="D9" i="2"/>
</calcChain>
</file>

<file path=xl/sharedStrings.xml><?xml version="1.0" encoding="utf-8"?>
<sst xmlns="http://schemas.openxmlformats.org/spreadsheetml/2006/main" count="94" uniqueCount="86">
  <si>
    <t>510050.SH</t>
    <phoneticPr fontId="2" type="noConversion"/>
  </si>
  <si>
    <t>000016.SH</t>
    <phoneticPr fontId="2" type="noConversion"/>
  </si>
  <si>
    <t>IH00.CFE</t>
    <phoneticPr fontId="2" type="noConversion"/>
  </si>
  <si>
    <t>IH01.CFE</t>
    <phoneticPr fontId="2" type="noConversion"/>
  </si>
  <si>
    <t>最新价</t>
    <phoneticPr fontId="2" type="noConversion"/>
  </si>
  <si>
    <t>coef</t>
    <phoneticPr fontId="2" type="noConversion"/>
  </si>
  <si>
    <t>单位市值</t>
    <phoneticPr fontId="2" type="noConversion"/>
  </si>
  <si>
    <t>510300.SH</t>
    <phoneticPr fontId="2" type="noConversion"/>
  </si>
  <si>
    <t>000300.SH</t>
    <phoneticPr fontId="2" type="noConversion"/>
  </si>
  <si>
    <t>IF00.CFE</t>
    <phoneticPr fontId="2" type="noConversion"/>
  </si>
  <si>
    <t>IF01.CFE</t>
    <phoneticPr fontId="2" type="noConversion"/>
  </si>
  <si>
    <t>510500.SH</t>
    <phoneticPr fontId="2" type="noConversion"/>
  </si>
  <si>
    <t>000905.SH</t>
    <phoneticPr fontId="2" type="noConversion"/>
  </si>
  <si>
    <t>IC00.CFE</t>
    <phoneticPr fontId="2" type="noConversion"/>
  </si>
  <si>
    <t>IC01.CFE</t>
    <phoneticPr fontId="2" type="noConversion"/>
  </si>
  <si>
    <t>名称</t>
    <phoneticPr fontId="2" type="noConversion"/>
  </si>
  <si>
    <t>代码</t>
    <phoneticPr fontId="2" type="noConversion"/>
  </si>
  <si>
    <t>更新时间</t>
    <phoneticPr fontId="2" type="noConversion"/>
  </si>
  <si>
    <t>距离交割</t>
    <phoneticPr fontId="2" type="noConversion"/>
  </si>
  <si>
    <t>参数</t>
    <phoneticPr fontId="2" type="noConversion"/>
  </si>
  <si>
    <t>204007.SH</t>
    <phoneticPr fontId="2" type="noConversion"/>
  </si>
  <si>
    <t>融资成本</t>
    <phoneticPr fontId="2" type="noConversion"/>
  </si>
  <si>
    <t>保证金比率</t>
    <phoneticPr fontId="2" type="noConversion"/>
  </si>
  <si>
    <t>溢价点数</t>
    <phoneticPr fontId="2" type="noConversion"/>
  </si>
  <si>
    <t>ETF成本</t>
    <phoneticPr fontId="2" type="noConversion"/>
  </si>
  <si>
    <t>期货成本</t>
    <phoneticPr fontId="2" type="noConversion"/>
  </si>
  <si>
    <t>毛利</t>
    <phoneticPr fontId="2" type="noConversion"/>
  </si>
  <si>
    <t>净利</t>
    <phoneticPr fontId="2" type="noConversion"/>
  </si>
  <si>
    <t>交易成本</t>
    <phoneticPr fontId="2" type="noConversion"/>
  </si>
  <si>
    <t>超额盈利</t>
    <phoneticPr fontId="2" type="noConversion"/>
  </si>
  <si>
    <t>成交额</t>
    <phoneticPr fontId="2" type="noConversion"/>
  </si>
  <si>
    <t>净利年化</t>
    <phoneticPr fontId="2" type="noConversion"/>
  </si>
  <si>
    <t>超额年化</t>
    <phoneticPr fontId="2" type="noConversion"/>
  </si>
  <si>
    <t>资金占用</t>
    <phoneticPr fontId="2" type="noConversion"/>
  </si>
  <si>
    <t>基差空间</t>
    <phoneticPr fontId="2" type="noConversion"/>
  </si>
  <si>
    <t>正向套利</t>
    <phoneticPr fontId="2" type="noConversion"/>
  </si>
  <si>
    <t>反向套利</t>
    <phoneticPr fontId="2" type="noConversion"/>
  </si>
  <si>
    <t>预期分红</t>
    <phoneticPr fontId="2" type="noConversion"/>
  </si>
  <si>
    <t xml:space="preserve"> </t>
    <phoneticPr fontId="2" type="noConversion"/>
  </si>
  <si>
    <t>激活次数</t>
    <phoneticPr fontId="2" type="noConversion"/>
  </si>
  <si>
    <t>刷新次数</t>
    <phoneticPr fontId="2" type="noConversion"/>
  </si>
  <si>
    <t>窗体top</t>
    <phoneticPr fontId="2" type="noConversion"/>
  </si>
  <si>
    <t>窗体left</t>
    <phoneticPr fontId="2" type="noConversion"/>
  </si>
  <si>
    <t>逆回购</t>
    <phoneticPr fontId="2" type="noConversion"/>
  </si>
  <si>
    <t>上证50</t>
    <phoneticPr fontId="2" type="noConversion"/>
  </si>
  <si>
    <t>沪深300</t>
    <phoneticPr fontId="2" type="noConversion"/>
  </si>
  <si>
    <t>中证500</t>
    <phoneticPr fontId="2" type="noConversion"/>
  </si>
  <si>
    <t>当前版本</t>
    <phoneticPr fontId="6" type="noConversion"/>
  </si>
  <si>
    <t>操作说明</t>
    <phoneticPr fontId="6" type="noConversion"/>
  </si>
  <si>
    <t>表格内容</t>
    <phoneticPr fontId="6" type="noConversion"/>
  </si>
  <si>
    <t>关键指标</t>
    <phoneticPr fontId="6" type="noConversion"/>
  </si>
  <si>
    <t>版本升级</t>
    <phoneticPr fontId="6" type="noConversion"/>
  </si>
  <si>
    <t>v1.0</t>
    <phoneticPr fontId="6" type="noConversion"/>
  </si>
  <si>
    <t>v1.1</t>
    <phoneticPr fontId="6" type="noConversion"/>
  </si>
  <si>
    <t>ver1.0</t>
  </si>
  <si>
    <t>期现套利机会监控</t>
    <phoneticPr fontId="6" type="noConversion"/>
  </si>
  <si>
    <t>期现套利</t>
    <phoneticPr fontId="6" type="noConversion"/>
  </si>
  <si>
    <t>期现套利机会跟踪，根据实时数据计算</t>
    <phoneticPr fontId="6" type="noConversion"/>
  </si>
  <si>
    <t>Warn(隐藏)</t>
    <phoneticPr fontId="6" type="noConversion"/>
  </si>
  <si>
    <t>预警使用说明：</t>
    <phoneticPr fontId="2" type="noConversion"/>
  </si>
  <si>
    <t>B列为A列为1时的提示内容</t>
    <phoneticPr fontId="2" type="noConversion"/>
  </si>
  <si>
    <t>回购成本</t>
    <phoneticPr fontId="2" type="noConversion"/>
  </si>
  <si>
    <t>逆回购收益</t>
    <phoneticPr fontId="2" type="noConversion"/>
  </si>
  <si>
    <t>净利、净利年化</t>
    <phoneticPr fontId="2" type="noConversion"/>
  </si>
  <si>
    <t>超额盈利、超额年化</t>
    <phoneticPr fontId="2" type="noConversion"/>
  </si>
  <si>
    <t>溢价点数</t>
    <phoneticPr fontId="6" type="noConversion"/>
  </si>
  <si>
    <t>预期分红</t>
    <phoneticPr fontId="6" type="noConversion"/>
  </si>
  <si>
    <t>预警行数</t>
    <phoneticPr fontId="2" type="noConversion"/>
  </si>
  <si>
    <t>Data(隐藏)</t>
    <phoneticPr fontId="2" type="noConversion"/>
  </si>
  <si>
    <t>期现套利实时计算，预警监控</t>
    <phoneticPr fontId="2" type="noConversion"/>
  </si>
  <si>
    <t>扣除手续费后的绝对收益金额及其年化收益率</t>
    <phoneticPr fontId="2" type="noConversion"/>
  </si>
  <si>
    <t>净利扣除资金成本或增加回购收益后的超额收益金额及其年化收益率</t>
    <phoneticPr fontId="2" type="noConversion"/>
  </si>
  <si>
    <t>预警监控设置，A列为预警信号，B列为提示内容</t>
    <phoneticPr fontId="6" type="noConversion"/>
  </si>
  <si>
    <t>在到期期限内，ETF相对指数的超额收益点数</t>
    <phoneticPr fontId="2" type="noConversion"/>
  </si>
  <si>
    <t>(ETF-IOPV)x1000；期货-指数</t>
    <phoneticPr fontId="2" type="noConversion"/>
  </si>
  <si>
    <t>预警阈值</t>
    <phoneticPr fontId="2" type="noConversion"/>
  </si>
  <si>
    <t>正向超额</t>
    <phoneticPr fontId="2" type="noConversion"/>
  </si>
  <si>
    <t>负向超额</t>
    <phoneticPr fontId="2" type="noConversion"/>
  </si>
  <si>
    <t>A列为信号值，1时表示预警</t>
    <phoneticPr fontId="2" type="noConversion"/>
  </si>
  <si>
    <t>ver1.0</t>
    <phoneticPr fontId="6" type="noConversion"/>
  </si>
  <si>
    <t>IH02.CFE</t>
    <phoneticPr fontId="2" type="noConversion"/>
  </si>
  <si>
    <t>IF02.CFE</t>
    <phoneticPr fontId="2" type="noConversion"/>
  </si>
  <si>
    <t>IC02.CFE</t>
    <phoneticPr fontId="2" type="noConversion"/>
  </si>
  <si>
    <t>1.需要启用VBA宏和Wind插件，且Wind插件处于已登录状态。
2.点击[预警监控窗口]显示监控，点击窗体内部隐藏10秒，点击右上角X关闭窗体。</t>
    <phoneticPr fontId="6" type="noConversion"/>
  </si>
  <si>
    <t>空行</t>
    <phoneticPr fontId="2" type="noConversion"/>
  </si>
  <si>
    <t>空行</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</si>
</sst>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等线"/>
      <family val="2"/>
      <charset val="134"/>
      <scheme val="minor"/>
    </font>
    <font>
      <sz val="11"/>
      <color theme="1"/>
      <name val="等线"/>
      <family val="2"/>
      <charset val="134"/>
      <scheme val="minor"/>
    </font>
    <font>
      <sz val="9"/>
      <name val="等线"/>
      <family val="2"/>
      <charset val="134"/>
      <scheme val="minor"/>
    </font>
    <font>
      <sz val="11"/>
      <color rgb="FF000000"/>
      <name val="等线"/>
      <family val="3"/>
      <charset val="134"/>
    </font>
    <font>
      <sz val="11"/>
      <color theme="1"/>
      <name val="等线"/>
      <family val="3"/>
      <charset val="134"/>
      <scheme val="minor"/>
    </font>
    <font>
      <b/>
      <sz val="16"/>
      <color indexed="8"/>
      <name val="等线"/>
      <family val="3"/>
      <charset val="134"/>
      <scheme val="minor"/>
    </font>
    <font>
      <sz val="9"/>
      <name val="等线"/>
      <family val="3"/>
      <charset val="134"/>
      <scheme val="minor"/>
    </font>
    <font>
      <b/>
      <sz val="11"/>
      <color indexed="8"/>
      <name val="等线"/>
      <family val="3"/>
      <charset val="134"/>
      <scheme val="minor"/>
    </font>
    <font>
      <b/>
      <sz val="11"/>
      <name val="等线"/>
      <family val="3"/>
      <charset val="134"/>
      <scheme val="minor"/>
    </font>
    <font>
      <sz val="11"/>
      <name val="等线"/>
      <family val="3"/>
      <charset val="134"/>
      <scheme val="minor"/>
    </font>
    <font>
      <b/>
      <sz val="11"/>
      <color theme="1"/>
      <name val="等线"/>
      <family val="3"/>
      <charset val="134"/>
      <scheme val="minor"/>
    </font>
  </fonts>
  <fills count="2">
    <fill>
      <patternFill patternType="none"/>
    </fill>
    <fill>
      <patternFill patternType="gray125"/>
    </fill>
  </fills>
  <borders count="20">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s>
  <cellStyleXfs count="2">
    <xf numFmtId="0" fontId="0" fillId="0" borderId="0">
      <alignment vertical="center"/>
    </xf>
    <xf numFmtId="9" fontId="1" fillId="0" borderId="0" applyFont="0" applyFill="0" applyBorder="0" applyAlignment="0" applyProtection="0">
      <alignment vertical="center"/>
    </xf>
  </cellStyleXfs>
  <cellXfs count="60">
    <xf numFmtId="0" fontId="0" fillId="0" borderId="0" xfId="0">
      <alignment vertical="center"/>
    </xf>
    <xf numFmtId="0" fontId="0" fillId="0" borderId="0" xfId="0" applyBorder="1">
      <alignment vertical="center"/>
    </xf>
    <xf numFmtId="10" fontId="0" fillId="0" borderId="0" xfId="1" applyNumberFormat="1" applyFont="1" applyBorder="1">
      <alignment vertical="center"/>
    </xf>
    <xf numFmtId="0" fontId="0" fillId="0" borderId="0" xfId="0" applyNumberFormat="1" applyBorder="1">
      <alignment vertical="center"/>
    </xf>
    <xf numFmtId="1" fontId="0" fillId="0" borderId="0" xfId="0" applyNumberFormat="1" applyBorder="1">
      <alignment vertical="center"/>
    </xf>
    <xf numFmtId="1" fontId="0" fillId="0" borderId="0" xfId="0" applyNumberFormat="1" applyBorder="1" applyAlignment="1">
      <alignment horizontal="right" vertical="center"/>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10" fontId="0" fillId="0" borderId="7" xfId="1" applyNumberFormat="1" applyFont="1" applyBorder="1">
      <alignment vertical="center"/>
    </xf>
    <xf numFmtId="1" fontId="0" fillId="0" borderId="8" xfId="0" applyNumberFormat="1" applyBorder="1">
      <alignment vertical="center"/>
    </xf>
    <xf numFmtId="10" fontId="0" fillId="0" borderId="8" xfId="1" applyNumberFormat="1" applyFont="1" applyBorder="1">
      <alignment vertical="center"/>
    </xf>
    <xf numFmtId="1" fontId="0" fillId="0" borderId="8" xfId="0" applyNumberFormat="1" applyBorder="1" applyAlignment="1">
      <alignment horizontal="right" vertical="center"/>
    </xf>
    <xf numFmtId="0" fontId="0" fillId="0" borderId="8" xfId="0" applyNumberFormat="1" applyBorder="1">
      <alignment vertical="center"/>
    </xf>
    <xf numFmtId="0" fontId="0" fillId="0" borderId="10" xfId="0" applyBorder="1">
      <alignment vertical="center"/>
    </xf>
    <xf numFmtId="0" fontId="0" fillId="0" borderId="10" xfId="0" applyNumberFormat="1" applyBorder="1">
      <alignment vertical="center"/>
    </xf>
    <xf numFmtId="0" fontId="0" fillId="0" borderId="11" xfId="0" applyBorder="1">
      <alignment vertical="center"/>
    </xf>
    <xf numFmtId="0" fontId="0" fillId="0" borderId="13" xfId="0" applyBorder="1">
      <alignment vertical="center"/>
    </xf>
    <xf numFmtId="0" fontId="0" fillId="0" borderId="13" xfId="0" applyNumberFormat="1" applyBorder="1">
      <alignment vertical="center"/>
    </xf>
    <xf numFmtId="0" fontId="0" fillId="0" borderId="14" xfId="0" applyBorder="1">
      <alignment vertical="center"/>
    </xf>
    <xf numFmtId="0" fontId="0" fillId="0" borderId="16" xfId="0" applyBorder="1">
      <alignment vertical="center"/>
    </xf>
    <xf numFmtId="0" fontId="0" fillId="0" borderId="17" xfId="0" applyBorder="1">
      <alignment vertical="center"/>
    </xf>
    <xf numFmtId="1" fontId="0" fillId="0" borderId="10" xfId="0" applyNumberFormat="1" applyBorder="1">
      <alignment vertical="center"/>
    </xf>
    <xf numFmtId="10" fontId="0" fillId="0" borderId="10" xfId="1" applyNumberFormat="1" applyFont="1" applyBorder="1">
      <alignment vertical="center"/>
    </xf>
    <xf numFmtId="1" fontId="0" fillId="0" borderId="10" xfId="0" applyNumberFormat="1" applyBorder="1" applyAlignment="1">
      <alignment horizontal="right" vertical="center"/>
    </xf>
    <xf numFmtId="0" fontId="4" fillId="0" borderId="0" xfId="0" applyFont="1">
      <alignment vertical="center"/>
    </xf>
    <xf numFmtId="0" fontId="7" fillId="0" borderId="18" xfId="0" applyFont="1" applyBorder="1" applyAlignment="1">
      <alignment horizontal="center" vertical="center" wrapText="1"/>
    </xf>
    <xf numFmtId="0" fontId="8" fillId="0" borderId="18" xfId="0" applyFont="1" applyBorder="1" applyAlignment="1">
      <alignment horizontal="center" vertical="center" wrapText="1"/>
    </xf>
    <xf numFmtId="14" fontId="9" fillId="0" borderId="18" xfId="0" applyNumberFormat="1" applyFont="1" applyBorder="1" applyAlignment="1">
      <alignment horizontal="center" vertical="center" wrapText="1"/>
    </xf>
    <xf numFmtId="0" fontId="0" fillId="0" borderId="18" xfId="0" applyBorder="1" applyAlignment="1">
      <alignment vertical="center" wrapText="1"/>
    </xf>
    <xf numFmtId="0" fontId="0" fillId="0" borderId="18" xfId="0" applyBorder="1">
      <alignment vertical="center"/>
    </xf>
    <xf numFmtId="0" fontId="0" fillId="0" borderId="0" xfId="0" applyAlignment="1">
      <alignment horizontal="left" vertical="center" indent="1"/>
    </xf>
    <xf numFmtId="0" fontId="10" fillId="0" borderId="18" xfId="0" applyFont="1" applyBorder="1" applyAlignment="1">
      <alignment horizontal="center" vertical="center"/>
    </xf>
    <xf numFmtId="0" fontId="0" fillId="0" borderId="12" xfId="0" applyBorder="1" applyAlignment="1">
      <alignment horizontal="center" vertical="center"/>
    </xf>
    <xf numFmtId="0" fontId="0" fillId="0" borderId="3" xfId="0" applyFill="1" applyBorder="1">
      <alignment vertical="center"/>
    </xf>
    <xf numFmtId="0" fontId="0" fillId="0" borderId="1" xfId="0" applyFill="1" applyBorder="1">
      <alignment vertical="center"/>
    </xf>
    <xf numFmtId="9" fontId="0" fillId="0" borderId="4" xfId="0" applyNumberFormat="1" applyBorder="1">
      <alignment vertical="center"/>
    </xf>
    <xf numFmtId="0" fontId="0" fillId="0" borderId="5" xfId="0" applyFill="1" applyBorder="1">
      <alignment vertical="center"/>
    </xf>
    <xf numFmtId="9" fontId="0" fillId="0" borderId="6" xfId="0" applyNumberFormat="1" applyBorder="1">
      <alignment vertical="center"/>
    </xf>
    <xf numFmtId="9" fontId="0" fillId="0" borderId="6" xfId="1" applyFont="1" applyBorder="1">
      <alignment vertical="center"/>
    </xf>
    <xf numFmtId="10" fontId="0" fillId="0" borderId="4" xfId="1" applyNumberFormat="1" applyFont="1" applyBorder="1">
      <alignment vertical="center"/>
    </xf>
    <xf numFmtId="0" fontId="5" fillId="0" borderId="0" xfId="0" applyFont="1" applyAlignment="1">
      <alignment horizontal="center" vertical="center"/>
    </xf>
    <xf numFmtId="0" fontId="0" fillId="0" borderId="18" xfId="0" applyBorder="1" applyAlignment="1">
      <alignment horizontal="left" vertical="center" wrapText="1"/>
    </xf>
    <xf numFmtId="0" fontId="7" fillId="0" borderId="18" xfId="0" applyFont="1" applyBorder="1" applyAlignment="1">
      <alignment horizontal="center" vertical="center" wrapText="1"/>
    </xf>
    <xf numFmtId="0" fontId="0" fillId="0" borderId="9"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15" xfId="0" applyBorder="1" applyAlignment="1">
      <alignment horizontal="center" vertical="center"/>
    </xf>
    <xf numFmtId="0" fontId="0" fillId="0" borderId="0" xfId="0" applyFill="1" applyBorder="1">
      <alignment vertical="center"/>
    </xf>
    <xf numFmtId="0" fontId="0" fillId="0" borderId="8" xfId="0" applyFill="1" applyBorder="1">
      <alignment vertical="center"/>
    </xf>
    <xf numFmtId="0" fontId="0" fillId="0" borderId="6" xfId="0" applyFill="1" applyBorder="1">
      <alignment vertical="center"/>
    </xf>
    <xf numFmtId="1" fontId="0" fillId="0" borderId="16" xfId="0" applyNumberFormat="1" applyBorder="1">
      <alignment vertical="center"/>
    </xf>
    <xf numFmtId="10" fontId="0" fillId="0" borderId="16" xfId="1" applyNumberFormat="1" applyFont="1" applyBorder="1">
      <alignment vertical="center"/>
    </xf>
    <xf numFmtId="1" fontId="0" fillId="0" borderId="16" xfId="0" applyNumberFormat="1" applyBorder="1" applyAlignment="1">
      <alignment horizontal="right" vertical="center"/>
    </xf>
    <xf numFmtId="0" fontId="0" fillId="0" borderId="19" xfId="0" applyBorder="1">
      <alignment vertical="center"/>
    </xf>
  </cellXfs>
  <cellStyles count="2">
    <cellStyle name="百分比" xfId="1" builtinId="5"/>
    <cellStyle name="常规" xfId="0" builtinId="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t="s">
        <v>11:18:16</v>
        <stp/>
        <stp>IH02.CFE</stp>
        <stp>Update_Time</stp>
        <stp>RT_Price</stp>
        <tr r="N30" s="1"/>
      </tp>
      <tp t="s">
        <v>11:18:04</v>
        <stp/>
        <stp>IF02.CFE</stp>
        <stp>Update_Time</stp>
        <stp>RT_Price</stp>
        <tr r="N35" s="1"/>
      </tp>
      <tp t="s">
        <v>11:18:25</v>
        <stp/>
        <stp>IC02.CFE</stp>
        <stp>Update_Time</stp>
        <stp>RT_Price</stp>
        <tr r="N40" s="1"/>
      </tp>
      <tp t="s">
        <v>11:18:18</v>
        <stp/>
        <stp>IH00.CFE</stp>
        <stp>Update_Time</stp>
        <stp>RT_Price</stp>
        <tr r="N28" s="1"/>
      </tp>
      <tp t="s">
        <v>11:18:25</v>
        <stp/>
        <stp>IF00.CFE</stp>
        <stp>Update_Time</stp>
        <stp>RT_Price</stp>
        <tr r="N33" s="1"/>
      </tp>
      <tp t="s">
        <v>11:18:25</v>
        <stp/>
        <stp>IC00.CFE</stp>
        <stp>Update_Time</stp>
        <stp>RT_Price</stp>
        <tr r="N38" s="1"/>
      </tp>
      <tp t="s">
        <v>11:18:10</v>
        <stp/>
        <stp>IH01.CFE</stp>
        <stp>Update_Time</stp>
        <stp>RT_Price</stp>
        <tr r="N29" s="1"/>
      </tp>
      <tp t="s">
        <v>11:18:20</v>
        <stp/>
        <stp>IF01.CFE</stp>
        <stp>Update_Time</stp>
        <stp>RT_Price</stp>
        <tr r="N34" s="1"/>
      </tp>
      <tp t="s">
        <v>11:18:25</v>
        <stp/>
        <stp>IC01.CFE</stp>
        <stp>Update_Time</stp>
        <stp>RT_Price</stp>
        <tr r="N39" s="1"/>
      </tp>
      <tp t="s">
        <v>11:18:24</v>
        <stp/>
        <stp>000905.SH</stp>
        <stp>Update_Time</stp>
        <stp>RT_Price</stp>
        <tr r="N36" s="1"/>
      </tp>
      <tp t="s">
        <v>11:18:24</v>
        <stp/>
        <stp>000300.SH</stp>
        <stp>Update_Time</stp>
        <stp>RT_Price</stp>
        <tr r="N31" s="1"/>
      </tp>
      <tp t="s">
        <v>11:18:09</v>
        <stp/>
        <stp>510300.SH</stp>
        <stp>Update_Time</stp>
        <stp>RT_Price</stp>
        <tr r="N32" s="1"/>
      </tp>
      <tp t="s">
        <v>11:18:20</v>
        <stp/>
        <stp>204007.SH</stp>
        <stp>Update_Time</stp>
        <stp>RT_Price</stp>
        <tr r="N25" s="1"/>
      </tp>
      <tp t="s">
        <v>11:18:24</v>
        <stp/>
        <stp>510050.SH</stp>
        <stp>Update_Time</stp>
        <stp>RT_Price</stp>
        <tr r="N27" s="1"/>
      </tp>
      <tp t="s">
        <v>11:18:24</v>
        <stp/>
        <stp>000016.SH</stp>
        <stp>Update_Time</stp>
        <stp>RT_Price</stp>
        <tr r="N26" s="1"/>
      </tp>
      <tp t="s">
        <v>11:18:24</v>
        <stp/>
        <stp>510500.SH</stp>
        <stp>Update_Time</stp>
        <stp>RT_Price</stp>
        <tr r="N37" s="1"/>
      </tp>
      <tp>
        <v>6590.39</v>
        <stp/>
        <stp>000905.SH</stp>
        <stp>LastPrice</stp>
        <stp>RT_Price</stp>
        <tr r="E36" s="1"/>
      </tp>
      <tp>
        <v>2753.41</v>
        <stp/>
        <stp>000016.SH</stp>
        <stp>LastPrice</stp>
        <stp>RT_Price</stp>
        <tr r="E26" s="1"/>
      </tp>
      <tp>
        <v>3.85</v>
        <stp/>
        <stp>204007.SH</stp>
        <stp>LastPrice</stp>
        <stp>RT_Price</stp>
        <tr r="E25" s="1"/>
      </tp>
      <tp>
        <v>3951.1600000000003</v>
        <stp/>
        <stp>000300.SH</stp>
        <stp>LastPrice</stp>
        <stp>RT_Price</stp>
        <tr r="E31" s="1"/>
      </tp>
      <tp>
        <v>2.8040000000000003</v>
        <stp/>
        <stp>510050.SH</stp>
        <stp>LastPrice</stp>
        <stp>RT_Price</stp>
        <tr r="E27" s="1"/>
      </tp>
      <tp>
        <v>4.0069999999999997</v>
        <stp/>
        <stp>510300.SH</stp>
        <stp>LastPrice</stp>
        <stp>RT_Price</stp>
        <tr r="E32" s="1"/>
      </tp>
      <tp>
        <v>6.9390000000000001</v>
        <stp/>
        <stp>510500.SH</stp>
        <stp>LastPrice</stp>
        <stp>RT_Price</stp>
        <tr r="E37" s="1"/>
      </tp>
      <tp>
        <v>0</v>
        <stp/>
        <stp>510500.SH</stp>
        <stp>PREMIUM</stp>
        <stp>RT_Price</stp>
        <tr r="F37" s="1"/>
      </tp>
      <tp>
        <v>6424</v>
        <stp/>
        <stp>IC02.CFE</stp>
        <stp>LastPrice</stp>
        <stp>RT_Price</stp>
        <tr r="E40" s="1"/>
      </tp>
      <tp>
        <v>6529.6</v>
        <stp/>
        <stp>IC00.CFE</stp>
        <stp>LastPrice</stp>
        <stp>RT_Price</stp>
        <tr r="E38" s="1"/>
      </tp>
      <tp>
        <v>6496</v>
        <stp/>
        <stp>IC01.CFE</stp>
        <stp>LastPrice</stp>
        <stp>RT_Price</stp>
        <tr r="E39" s="1"/>
      </tp>
      <tp>
        <v>3924.6</v>
        <stp/>
        <stp>IF02.CFE</stp>
        <stp>LastPrice</stp>
        <stp>RT_Price</stp>
        <tr r="E35" s="1"/>
      </tp>
      <tp>
        <v>3934.2000000000003</v>
        <stp/>
        <stp>IF00.CFE</stp>
        <stp>LastPrice</stp>
        <stp>RT_Price</stp>
        <tr r="E33" s="1"/>
      </tp>
      <tp>
        <v>3930</v>
        <stp/>
        <stp>IF01.CFE</stp>
        <stp>LastPrice</stp>
        <stp>RT_Price</stp>
        <tr r="E34" s="1"/>
      </tp>
      <tp>
        <v>2776.4</v>
        <stp/>
        <stp>IH02.CFE</stp>
        <stp>LastPrice</stp>
        <stp>RT_Price</stp>
        <tr r="E30" s="1"/>
      </tp>
      <tp>
        <v>2757.4</v>
        <stp/>
        <stp>IH00.CFE</stp>
        <stp>LastPrice</stp>
        <stp>RT_Price</stp>
        <tr r="E28" s="1"/>
      </tp>
      <tp>
        <v>2761.8</v>
        <stp/>
        <stp>IH01.CFE</stp>
        <stp>LastPrice</stp>
        <stp>RT_Price</stp>
        <tr r="E29" s="1"/>
      </tp>
      <tp>
        <v>-4.0000000000000001E-3</v>
        <stp/>
        <stp>510050.SH</stp>
        <stp>PREMIUM</stp>
        <stp>RT_Price</stp>
        <tr r="F27" s="1"/>
      </tp>
      <tp>
        <v>-5.0000000000000001E-3</v>
        <stp/>
        <stp>510300.SH</stp>
        <stp>PREMIUM</stp>
        <stp>RT_Price</stp>
        <tr r="F32" s="1"/>
      </tp>
    </main>
  </volType>
</volType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volatileDependencies" Target="volatileDependencies.xml"/><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3543300</xdr:colOff>
          <xdr:row>2</xdr:row>
          <xdr:rowOff>19050</xdr:rowOff>
        </xdr:from>
        <xdr:to>
          <xdr:col>3</xdr:col>
          <xdr:colOff>4772025</xdr:colOff>
          <xdr:row>2</xdr:row>
          <xdr:rowOff>428625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检查更新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12</xdr:row>
          <xdr:rowOff>38100</xdr:rowOff>
        </xdr:from>
        <xdr:to>
          <xdr:col>2</xdr:col>
          <xdr:colOff>695325</xdr:colOff>
          <xdr:row>14</xdr:row>
          <xdr:rowOff>133350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66675</xdr:rowOff>
        </xdr:from>
        <xdr:to>
          <xdr:col>3</xdr:col>
          <xdr:colOff>733425</xdr:colOff>
          <xdr:row>3</xdr:row>
          <xdr:rowOff>114300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预警监控窗口</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s_info_code2"/>
      <definedName name="s_info_lddate"/>
      <definedName name="S_Info_Name"/>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D13"/>
  <sheetViews>
    <sheetView workbookViewId="0">
      <selection activeCell="D12" sqref="D12"/>
    </sheetView>
  </sheetViews>
  <sheetFormatPr defaultRowHeight="14.25" x14ac:dyDescent="0.2"/>
  <cols>
    <col min="2" max="2" width="12.125" customWidth="1"/>
    <col min="3" max="3" width="19.25" bestFit="1" customWidth="1"/>
    <col min="4" max="4" width="62.875" customWidth="1"/>
  </cols>
  <sheetData>
    <row r="2" spans="2:4" ht="36" customHeight="1" x14ac:dyDescent="0.2">
      <c r="B2" s="46" t="s">
        <v>55</v>
      </c>
      <c r="C2" s="46"/>
      <c r="D2" s="46"/>
    </row>
    <row r="3" spans="2:4" ht="36" customHeight="1" x14ac:dyDescent="0.2">
      <c r="B3" s="32" t="s">
        <v>47</v>
      </c>
      <c r="C3" s="33" t="s">
        <v>79</v>
      </c>
      <c r="D3" s="35"/>
    </row>
    <row r="4" spans="2:4" ht="42" customHeight="1" x14ac:dyDescent="0.2">
      <c r="B4" s="31" t="s">
        <v>48</v>
      </c>
      <c r="C4" s="47" t="s">
        <v>83</v>
      </c>
      <c r="D4" s="47"/>
    </row>
    <row r="5" spans="2:4" ht="36" customHeight="1" x14ac:dyDescent="0.2">
      <c r="B5" s="48" t="s">
        <v>49</v>
      </c>
      <c r="C5" s="31" t="s">
        <v>56</v>
      </c>
      <c r="D5" s="34" t="s">
        <v>57</v>
      </c>
    </row>
    <row r="6" spans="2:4" ht="36" customHeight="1" x14ac:dyDescent="0.2">
      <c r="B6" s="48"/>
      <c r="C6" s="31" t="s">
        <v>68</v>
      </c>
      <c r="D6" s="34"/>
    </row>
    <row r="7" spans="2:4" ht="36" customHeight="1" x14ac:dyDescent="0.2">
      <c r="B7" s="48"/>
      <c r="C7" s="31" t="s">
        <v>58</v>
      </c>
      <c r="D7" s="34" t="s">
        <v>72</v>
      </c>
    </row>
    <row r="8" spans="2:4" ht="36" customHeight="1" x14ac:dyDescent="0.2">
      <c r="B8" s="48" t="s">
        <v>50</v>
      </c>
      <c r="C8" s="37" t="s">
        <v>63</v>
      </c>
      <c r="D8" s="34" t="s">
        <v>70</v>
      </c>
    </row>
    <row r="9" spans="2:4" ht="36" customHeight="1" x14ac:dyDescent="0.2">
      <c r="B9" s="48"/>
      <c r="C9" s="37" t="s">
        <v>64</v>
      </c>
      <c r="D9" s="34" t="s">
        <v>71</v>
      </c>
    </row>
    <row r="10" spans="2:4" ht="36" customHeight="1" x14ac:dyDescent="0.2">
      <c r="B10" s="48"/>
      <c r="C10" s="31" t="s">
        <v>65</v>
      </c>
      <c r="D10" s="34" t="s">
        <v>74</v>
      </c>
    </row>
    <row r="11" spans="2:4" ht="36" customHeight="1" x14ac:dyDescent="0.2">
      <c r="B11" s="48"/>
      <c r="C11" s="31" t="s">
        <v>66</v>
      </c>
      <c r="D11" s="34" t="s">
        <v>73</v>
      </c>
    </row>
    <row r="12" spans="2:4" ht="36" customHeight="1" x14ac:dyDescent="0.2">
      <c r="B12" s="48" t="s">
        <v>51</v>
      </c>
      <c r="C12" s="31" t="s">
        <v>52</v>
      </c>
      <c r="D12" s="34" t="s">
        <v>69</v>
      </c>
    </row>
    <row r="13" spans="2:4" ht="36" customHeight="1" x14ac:dyDescent="0.2">
      <c r="B13" s="48"/>
      <c r="C13" s="31" t="s">
        <v>53</v>
      </c>
      <c r="D13" s="34"/>
    </row>
  </sheetData>
  <mergeCells count="5">
    <mergeCell ref="B2:D2"/>
    <mergeCell ref="C4:D4"/>
    <mergeCell ref="B5:B7"/>
    <mergeCell ref="B8:B11"/>
    <mergeCell ref="B12:B13"/>
  </mergeCells>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check_update">
                <anchor moveWithCells="1" sizeWithCells="1">
                  <from>
                    <xdr:col>3</xdr:col>
                    <xdr:colOff>3543300</xdr:colOff>
                    <xdr:row>2</xdr:row>
                    <xdr:rowOff>19050</xdr:rowOff>
                  </from>
                  <to>
                    <xdr:col>3</xdr:col>
                    <xdr:colOff>4772025</xdr:colOff>
                    <xdr:row>2</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C00000"/>
  </sheetPr>
  <dimension ref="B1:O40"/>
  <sheetViews>
    <sheetView tabSelected="1" workbookViewId="0">
      <selection activeCell="I13" sqref="I13"/>
    </sheetView>
  </sheetViews>
  <sheetFormatPr defaultRowHeight="14.25" x14ac:dyDescent="0.2"/>
  <cols>
    <col min="1" max="1" width="2.25" customWidth="1"/>
    <col min="2" max="10" width="10" style="1" customWidth="1"/>
    <col min="11" max="11" width="11.125" style="1" customWidth="1"/>
    <col min="12" max="12" width="10" style="1" customWidth="1"/>
    <col min="13" max="13" width="9.5" style="1" bestFit="1" customWidth="1"/>
    <col min="14" max="14" width="14.375" style="1" bestFit="1" customWidth="1"/>
    <col min="15" max="15" width="10" style="1" customWidth="1"/>
    <col min="16" max="16" width="10" customWidth="1"/>
  </cols>
  <sheetData>
    <row r="1" spans="2:14" ht="15" thickBot="1" x14ac:dyDescent="0.25"/>
    <row r="2" spans="2:14" ht="15" thickBot="1" x14ac:dyDescent="0.25">
      <c r="E2" s="6"/>
      <c r="F2" s="12" t="s">
        <v>16</v>
      </c>
      <c r="G2" s="12" t="s">
        <v>34</v>
      </c>
      <c r="H2" s="12" t="s">
        <v>26</v>
      </c>
      <c r="I2" s="12" t="s">
        <v>27</v>
      </c>
      <c r="J2" s="14" t="s">
        <v>31</v>
      </c>
      <c r="K2" s="12" t="s">
        <v>61</v>
      </c>
      <c r="L2" s="12" t="s">
        <v>29</v>
      </c>
      <c r="M2" s="12" t="s">
        <v>32</v>
      </c>
      <c r="N2" s="7"/>
    </row>
    <row r="3" spans="2:14" x14ac:dyDescent="0.2">
      <c r="B3" s="6" t="s">
        <v>19</v>
      </c>
      <c r="C3" s="7"/>
      <c r="E3" s="49" t="s">
        <v>35</v>
      </c>
      <c r="F3" s="19" t="str">
        <f>LEFT(D28,6)</f>
        <v>IH1711</v>
      </c>
      <c r="G3" s="19">
        <f>F28+G27-F27</f>
        <v>7.9900000000002365</v>
      </c>
      <c r="H3" s="19">
        <f>G3*I28</f>
        <v>2397.0000000000709</v>
      </c>
      <c r="I3" s="27">
        <f>H3-M28</f>
        <v>1390.3560000000707</v>
      </c>
      <c r="J3" s="28">
        <f ca="1">I3/L28*365/H28</f>
        <v>1.9586318290447279E-2</v>
      </c>
      <c r="K3" s="29">
        <f ca="1">(EXP($C$6*H28/365)-1)*(J27+J28*$C$7)</f>
        <v>2761.2310534547182</v>
      </c>
      <c r="L3" s="29">
        <f t="shared" ref="L3:L10" ca="1" si="0">I3-K3</f>
        <v>-1370.8750534546475</v>
      </c>
      <c r="M3" s="28">
        <f ca="1">L3/L28*365/H28</f>
        <v>-1.9311884965717622E-2</v>
      </c>
      <c r="N3" s="21" t="str">
        <f t="shared" ref="N3:N10" ca="1" si="1">IF(M3&gt;0,"IH-ETF&gt;GC&gt;0",IF(J3&lt;0,"GC&gt;0&gt;IH-ETF","GC&gt;IH-ETF&gt;0"))</f>
        <v>GC&gt;IH-ETF&gt;0</v>
      </c>
    </row>
    <row r="4" spans="2:14" x14ac:dyDescent="0.2">
      <c r="B4" s="8" t="s">
        <v>24</v>
      </c>
      <c r="C4" s="45">
        <v>5.0000000000000001E-4</v>
      </c>
      <c r="E4" s="50"/>
      <c r="F4" s="1" t="str">
        <f>LEFT(D29,6)</f>
        <v>IH1712</v>
      </c>
      <c r="G4" s="1">
        <f>F29+G27-F27</f>
        <v>12.390000000000327</v>
      </c>
      <c r="H4" s="1">
        <f>G4*I29</f>
        <v>3717.0000000000982</v>
      </c>
      <c r="I4" s="4">
        <f>H4-M29</f>
        <v>2710.0920000000979</v>
      </c>
      <c r="J4" s="2">
        <f ca="1">I4/L29*365/H29</f>
        <v>1.7599001900126598E-2</v>
      </c>
      <c r="K4" s="5">
        <f ca="1">(EXP($C$6*H29/365)-1)*(J27+J29*$C$7)</f>
        <v>5993.6923984905752</v>
      </c>
      <c r="L4" s="5">
        <f t="shared" ca="1" si="0"/>
        <v>-3283.6003984904773</v>
      </c>
      <c r="M4" s="2">
        <f ca="1">L4/L29*365/H29</f>
        <v>-2.1323294431439335E-2</v>
      </c>
      <c r="N4" s="9" t="str">
        <f t="shared" ca="1" si="1"/>
        <v>GC&gt;IH-ETF&gt;0</v>
      </c>
    </row>
    <row r="5" spans="2:14" x14ac:dyDescent="0.2">
      <c r="B5" s="8" t="s">
        <v>25</v>
      </c>
      <c r="C5" s="45">
        <v>1E-4</v>
      </c>
      <c r="E5" s="50"/>
      <c r="F5" s="1" t="str">
        <f>LEFT(D30,6)</f>
        <v>IH1803</v>
      </c>
      <c r="G5" s="1">
        <f>F30+G27-F27</f>
        <v>26.990000000000236</v>
      </c>
      <c r="H5" s="1">
        <f>G5*I30</f>
        <v>8097.0000000000709</v>
      </c>
      <c r="I5" s="4">
        <f>H5-M30</f>
        <v>7089.2160000000713</v>
      </c>
      <c r="J5" s="2">
        <f ca="1">I5/L30*365/H30</f>
        <v>1.6672980270503658E-2</v>
      </c>
      <c r="K5" s="5">
        <f ca="1">(EXP($C$6*H30/365)-1)*(J27+J30*$C$7)</f>
        <v>16582.055949592828</v>
      </c>
      <c r="L5" s="5">
        <f ca="1">I5-K5</f>
        <v>-9492.839949592757</v>
      </c>
      <c r="M5" s="2">
        <f ca="1">L5/L30*365/H30</f>
        <v>-2.2326013650960468E-2</v>
      </c>
      <c r="N5" s="9" t="str">
        <f t="shared" ref="N5" ca="1" si="2">IF(M5&gt;0,"IH-ETF&gt;GC&gt;0",IF(J5&lt;0,"GC&gt;0&gt;IH-ETF","GC&gt;IH-ETF&gt;0"))</f>
        <v>GC&gt;IH-ETF&gt;0</v>
      </c>
    </row>
    <row r="6" spans="2:14" x14ac:dyDescent="0.2">
      <c r="B6" s="8" t="s">
        <v>21</v>
      </c>
      <c r="C6" s="45">
        <f>E25/100</f>
        <v>3.85E-2</v>
      </c>
      <c r="E6" s="50"/>
      <c r="F6" s="19" t="str">
        <f>LEFT(D33,6)</f>
        <v>IF1711</v>
      </c>
      <c r="G6" s="19">
        <f>F33+G32-F32</f>
        <v>-11.960000000000036</v>
      </c>
      <c r="H6" s="19">
        <f>G6*I33</f>
        <v>-3588.0000000000109</v>
      </c>
      <c r="I6" s="27">
        <f>H6-M33</f>
        <v>-5026.152000000011</v>
      </c>
      <c r="J6" s="28">
        <f ca="1">I6/L33*365/H33</f>
        <v>-4.9607301624386015E-2</v>
      </c>
      <c r="K6" s="29">
        <f ca="1">(EXP($C$6*H33/365)-1)*(J32+J33*$C$7)</f>
        <v>3944.4658804323399</v>
      </c>
      <c r="L6" s="29">
        <f t="shared" ca="1" si="0"/>
        <v>-8970.6178804323499</v>
      </c>
      <c r="M6" s="28">
        <f ca="1">L6/L33*365/H33</f>
        <v>-8.853853742419987E-2</v>
      </c>
      <c r="N6" s="21" t="str">
        <f t="shared" ca="1" si="1"/>
        <v>GC&gt;0&gt;IH-ETF</v>
      </c>
    </row>
    <row r="7" spans="2:14" ht="15" thickBot="1" x14ac:dyDescent="0.25">
      <c r="B7" s="10" t="s">
        <v>22</v>
      </c>
      <c r="C7" s="44">
        <v>0.3</v>
      </c>
      <c r="E7" s="50"/>
      <c r="F7" s="1" t="str">
        <f>LEFT(D34,6)</f>
        <v>IF1712</v>
      </c>
      <c r="G7" s="1">
        <f>F34+G32-F32</f>
        <v>-16.160000000000309</v>
      </c>
      <c r="H7" s="1">
        <f>G7*I34</f>
        <v>-4848.0000000000928</v>
      </c>
      <c r="I7" s="4">
        <f>H7-M34</f>
        <v>-6285.9000000000924</v>
      </c>
      <c r="J7" s="2">
        <f ca="1">I7/L34*365/H34</f>
        <v>-2.8657653262347666E-2</v>
      </c>
      <c r="K7" s="5">
        <f ca="1">(EXP($C$6*H34/365)-1)*(J32+J34*$C$7)</f>
        <v>8556.9019965567131</v>
      </c>
      <c r="L7" s="5">
        <f t="shared" ca="1" si="0"/>
        <v>-14842.801996556806</v>
      </c>
      <c r="M7" s="2">
        <f ca="1">L7/L34*365/H34</f>
        <v>-6.766888958764862E-2</v>
      </c>
      <c r="N7" s="9" t="str">
        <f t="shared" ca="1" si="1"/>
        <v>GC&gt;0&gt;IH-ETF</v>
      </c>
    </row>
    <row r="8" spans="2:14" ht="15" thickBot="1" x14ac:dyDescent="0.25">
      <c r="B8" s="59"/>
      <c r="C8" s="2"/>
      <c r="D8" s="9"/>
      <c r="E8" s="50"/>
      <c r="F8" s="25" t="str">
        <f>LEFT(D35,6)</f>
        <v>IF1803</v>
      </c>
      <c r="G8" s="25">
        <f>F35+G32-F32</f>
        <v>-21.5600000000004</v>
      </c>
      <c r="H8" s="25">
        <f>G8*I35</f>
        <v>-6468.0000000001201</v>
      </c>
      <c r="I8" s="56">
        <f>H8-M35</f>
        <v>-7905.5760000001201</v>
      </c>
      <c r="J8" s="57">
        <f ca="1">I8/L35*365/H35</f>
        <v>-1.3119919969238444E-2</v>
      </c>
      <c r="K8" s="58">
        <f ca="1">(EXP($C$6*H35/365)-1)*(J32+J35*$C$7)</f>
        <v>23637.495249813044</v>
      </c>
      <c r="L8" s="58">
        <f ca="1">I8-K8</f>
        <v>-31543.071249813165</v>
      </c>
      <c r="M8" s="57">
        <f ca="1">L8/L35*365/H35</f>
        <v>-5.234818694824115E-2</v>
      </c>
      <c r="N8" s="26" t="str">
        <f t="shared" ref="N8" ca="1" si="3">IF(M8&gt;0,"IH-ETF&gt;GC&gt;0",IF(J8&lt;0,"GC&gt;0&gt;IH-ETF","GC&gt;IH-ETF&gt;0"))</f>
        <v>GC&gt;0&gt;IH-ETF</v>
      </c>
    </row>
    <row r="9" spans="2:14" x14ac:dyDescent="0.2">
      <c r="B9" s="40" t="s">
        <v>75</v>
      </c>
      <c r="C9" s="7"/>
      <c r="E9" s="50"/>
      <c r="F9" s="19" t="str">
        <f>LEFT(D38,6)</f>
        <v>IC1711</v>
      </c>
      <c r="G9" s="19">
        <f>F38+G37-F37</f>
        <v>-60.789999999999964</v>
      </c>
      <c r="H9" s="19">
        <f>G9*I38</f>
        <v>-12157.999999999993</v>
      </c>
      <c r="I9" s="27">
        <f>H9-M38</f>
        <v>-13806.983999999993</v>
      </c>
      <c r="J9" s="28">
        <f ca="1">I9/L38*365/H38</f>
        <v>-0.12192190203569724</v>
      </c>
      <c r="K9" s="29">
        <f ca="1">(EXP($C$6*H38/365)-1)*(J37+J38*$C$7)</f>
        <v>4510.7158780269747</v>
      </c>
      <c r="L9" s="29">
        <f t="shared" ca="1" si="0"/>
        <v>-18317.699878026968</v>
      </c>
      <c r="M9" s="28">
        <f ca="1">L9/L38*365/H38</f>
        <v>-0.16175355965126839</v>
      </c>
      <c r="N9" s="21" t="str">
        <f t="shared" ca="1" si="1"/>
        <v>GC&gt;0&gt;IH-ETF</v>
      </c>
    </row>
    <row r="10" spans="2:14" x14ac:dyDescent="0.2">
      <c r="B10" s="39" t="s">
        <v>76</v>
      </c>
      <c r="C10" s="41">
        <v>0.01</v>
      </c>
      <c r="E10" s="50"/>
      <c r="F10" s="1" t="str">
        <f>LEFT(D39,6)</f>
        <v>IC1712</v>
      </c>
      <c r="G10" s="1">
        <f>F39+G37-F37</f>
        <v>-94.390000000000327</v>
      </c>
      <c r="H10" s="1">
        <f>G10*I39</f>
        <v>-28317.000000000098</v>
      </c>
      <c r="I10" s="4">
        <f>H10-M39</f>
        <v>-30094.5600000001</v>
      </c>
      <c r="J10" s="2">
        <f ca="1">I10/L39*365/H39</f>
        <v>-8.9314231520528267E-2</v>
      </c>
      <c r="K10" s="5">
        <f ca="1">(EXP($C$6*H39/365)-1)*(J37+J39*$C$7)</f>
        <v>10848.422531230442</v>
      </c>
      <c r="L10" s="5">
        <f t="shared" ca="1" si="0"/>
        <v>-40942.98253123054</v>
      </c>
      <c r="M10" s="2">
        <f ca="1">L10/L39*365/H39</f>
        <v>-0.12151003440273779</v>
      </c>
      <c r="N10" s="9" t="str">
        <f t="shared" ca="1" si="1"/>
        <v>GC&gt;0&gt;IH-ETF</v>
      </c>
    </row>
    <row r="11" spans="2:14" ht="15" thickBot="1" x14ac:dyDescent="0.25">
      <c r="B11" s="42" t="s">
        <v>77</v>
      </c>
      <c r="C11" s="43">
        <v>0.01</v>
      </c>
      <c r="E11" s="51"/>
      <c r="F11" s="13" t="str">
        <f>LEFT(D40,6)</f>
        <v>IC1803</v>
      </c>
      <c r="G11" s="13">
        <f>F40+G37-F37</f>
        <v>-166.39000000000033</v>
      </c>
      <c r="H11" s="13">
        <f>G11*I40</f>
        <v>-49917.000000000102</v>
      </c>
      <c r="I11" s="15">
        <f>H11-M40</f>
        <v>-51690.2400000001</v>
      </c>
      <c r="J11" s="16">
        <f ca="1">I11/L40*365/H40</f>
        <v>-5.6298004972574332E-2</v>
      </c>
      <c r="K11" s="17">
        <f ca="1">(EXP($C$6*H40/365)-1)*(J37+J40*$C$7)</f>
        <v>29878.449085729604</v>
      </c>
      <c r="L11" s="17">
        <f t="shared" ref="L11" ca="1" si="4">I11-K11</f>
        <v>-81568.689085729711</v>
      </c>
      <c r="M11" s="16">
        <f ca="1">L11/L40*365/H40</f>
        <v>-8.8839875066449123E-2</v>
      </c>
      <c r="N11" s="11" t="str">
        <f t="shared" ref="N11" ca="1" si="5">IF(M11&gt;0,"IH-ETF&gt;GC&gt;0",IF(J11&lt;0,"GC&gt;0&gt;IH-ETF","GC&gt;IH-ETF&gt;0"))</f>
        <v>GC&gt;0&gt;IH-ETF</v>
      </c>
    </row>
    <row r="12" spans="2:14" ht="15" thickBot="1" x14ac:dyDescent="0.25">
      <c r="J12" s="2"/>
    </row>
    <row r="13" spans="2:14" x14ac:dyDescent="0.2">
      <c r="E13" s="6"/>
      <c r="F13" s="12" t="s">
        <v>16</v>
      </c>
      <c r="G13" s="12" t="s">
        <v>34</v>
      </c>
      <c r="H13" s="12" t="s">
        <v>26</v>
      </c>
      <c r="I13" s="12" t="s">
        <v>27</v>
      </c>
      <c r="J13" s="14" t="s">
        <v>31</v>
      </c>
      <c r="K13" s="12" t="s">
        <v>62</v>
      </c>
      <c r="L13" s="12" t="s">
        <v>29</v>
      </c>
      <c r="M13" s="12" t="s">
        <v>32</v>
      </c>
      <c r="N13" s="7"/>
    </row>
    <row r="14" spans="2:14" x14ac:dyDescent="0.2">
      <c r="E14" s="49" t="s">
        <v>36</v>
      </c>
      <c r="F14" s="19" t="str">
        <f>LEFT(D28,6)</f>
        <v>IH1711</v>
      </c>
      <c r="G14" s="19">
        <f>-G3</f>
        <v>-7.9900000000002365</v>
      </c>
      <c r="H14" s="19">
        <f>G14*I28</f>
        <v>-2397.0000000000709</v>
      </c>
      <c r="I14" s="27">
        <f>H14-M28</f>
        <v>-3403.6440000000712</v>
      </c>
      <c r="J14" s="28">
        <f ca="1">I14/L28*365/H28</f>
        <v>-4.7948046925657274E-2</v>
      </c>
      <c r="K14" s="27">
        <f ca="1">(EXP($C$6*H28/365)-1)*(J27-J28*$C$7)</f>
        <v>1503.1714745590239</v>
      </c>
      <c r="L14" s="27">
        <f t="shared" ref="L14:L21" ca="1" si="6">I14+K14</f>
        <v>-1900.4725254410473</v>
      </c>
      <c r="M14" s="28">
        <f ca="1">L14/L28*365/H28</f>
        <v>-2.6772466753505308E-2</v>
      </c>
      <c r="N14" s="21" t="str">
        <f ca="1">IF(J14&gt;0,"IH+GC&gt;IH&gt;ETF",IF(M14&lt;0,"ETF&gt;IH+GC&gt;IH","IH+GC&gt;ETF&gt;IH"))</f>
        <v>ETF&gt;IH+GC&gt;IH</v>
      </c>
    </row>
    <row r="15" spans="2:14" x14ac:dyDescent="0.2">
      <c r="E15" s="50"/>
      <c r="F15" s="1" t="str">
        <f>LEFT(D29,6)</f>
        <v>IH1712</v>
      </c>
      <c r="G15" s="1">
        <f>-G4</f>
        <v>-12.390000000000327</v>
      </c>
      <c r="H15" s="1">
        <f>G15*I29</f>
        <v>-3717.0000000000982</v>
      </c>
      <c r="I15" s="4">
        <f>H15-M29</f>
        <v>-4723.9080000000986</v>
      </c>
      <c r="J15" s="2">
        <f ca="1">I15/L29*365/H29</f>
        <v>-3.067647366510878E-2</v>
      </c>
      <c r="K15" s="4">
        <f ca="1">(EXP($C$6*H29/365)-1)*(J26-J29*$C$7)</f>
        <v>3176.0362410551716</v>
      </c>
      <c r="L15" s="4">
        <f t="shared" ca="1" si="6"/>
        <v>-1547.871758944927</v>
      </c>
      <c r="M15" s="2">
        <f ca="1">L15/L29*365/H29</f>
        <v>-1.0051687554084173E-2</v>
      </c>
      <c r="N15" s="9" t="str">
        <f t="shared" ref="N15:N21" ca="1" si="7">IF(J15&gt;0,"IH+GC&gt;IH&gt;ETF",IF(M15&lt;0,"ETF&gt;IH+GC&gt;IH","IH+GC&gt;ETF&gt;IH"))</f>
        <v>ETF&gt;IH+GC&gt;IH</v>
      </c>
    </row>
    <row r="16" spans="2:14" x14ac:dyDescent="0.2">
      <c r="E16" s="50"/>
      <c r="F16" s="1" t="str">
        <f>LEFT(D30,6)</f>
        <v>IH1803</v>
      </c>
      <c r="G16" s="1">
        <f>-G5</f>
        <v>-26.990000000000236</v>
      </c>
      <c r="H16" s="1">
        <f>G16*I30</f>
        <v>-8097.0000000000709</v>
      </c>
      <c r="I16" s="4">
        <f>H16-M30</f>
        <v>-9104.7840000000706</v>
      </c>
      <c r="J16" s="2">
        <f ca="1">I16/L30*365/H30</f>
        <v>-2.1413352900969167E-2</v>
      </c>
      <c r="K16" s="4">
        <f ca="1">(EXP($C$6*H30/365)-1)*(J27-J30*$C$7)</f>
        <v>8986.8786888695486</v>
      </c>
      <c r="L16" s="4">
        <f ca="1">I16+K16</f>
        <v>-117.90531113052202</v>
      </c>
      <c r="M16" s="2">
        <f ca="1">L16/L30*365/H30</f>
        <v>-2.7729905905910743E-4</v>
      </c>
      <c r="N16" s="9" t="str">
        <f t="shared" ref="N16" ca="1" si="8">IF(J16&gt;0,"IH+GC&gt;IH&gt;ETF",IF(M16&lt;0,"ETF&gt;IH+GC&gt;IH","IH+GC&gt;ETF&gt;IH"))</f>
        <v>ETF&gt;IH+GC&gt;IH</v>
      </c>
    </row>
    <row r="17" spans="2:14" x14ac:dyDescent="0.2">
      <c r="E17" s="50"/>
      <c r="F17" s="19" t="str">
        <f>LEFT(D33,6)</f>
        <v>IF1711</v>
      </c>
      <c r="G17" s="19">
        <f>-G6</f>
        <v>11.960000000000036</v>
      </c>
      <c r="H17" s="19">
        <f>G17*I33</f>
        <v>3588.0000000000109</v>
      </c>
      <c r="I17" s="27">
        <f>H17-M33</f>
        <v>2149.8480000000109</v>
      </c>
      <c r="J17" s="28">
        <f ca="1">I17/L33*365/H33</f>
        <v>2.1218649611588217E-2</v>
      </c>
      <c r="K17" s="27">
        <f ca="1">(EXP($C$6*H33/365)-1)*(J32-J33*$C$7)</f>
        <v>2149.4930816757424</v>
      </c>
      <c r="L17" s="27">
        <f t="shared" ca="1" si="6"/>
        <v>4299.3410816757532</v>
      </c>
      <c r="M17" s="28">
        <f ca="1">L17/L33*365/H33</f>
        <v>4.2433796237121894E-2</v>
      </c>
      <c r="N17" s="21" t="str">
        <f t="shared" ca="1" si="7"/>
        <v>IH+GC&gt;IH&gt;ETF</v>
      </c>
    </row>
    <row r="18" spans="2:14" x14ac:dyDescent="0.2">
      <c r="E18" s="50"/>
      <c r="F18" s="1" t="str">
        <f>LEFT(D34,6)</f>
        <v>IF1712</v>
      </c>
      <c r="G18" s="1">
        <f>-G7</f>
        <v>16.160000000000309</v>
      </c>
      <c r="H18" s="1">
        <f>G18*I34</f>
        <v>4848.0000000000928</v>
      </c>
      <c r="I18" s="4">
        <f>H18-M34</f>
        <v>3410.1000000000927</v>
      </c>
      <c r="J18" s="2">
        <f ca="1">I18/L34*365/H34</f>
        <v>1.5546773475545745E-2</v>
      </c>
      <c r="K18" s="4">
        <f ca="1">(EXP($C$6*H34/365)-1)*(J31-J34*$C$7)</f>
        <v>4574.0650672531156</v>
      </c>
      <c r="L18" s="4">
        <f t="shared" ca="1" si="6"/>
        <v>7984.1650672532087</v>
      </c>
      <c r="M18" s="2">
        <f ca="1">L18/L34*365/H34</f>
        <v>3.6400107237895586E-2</v>
      </c>
      <c r="N18" s="9" t="str">
        <f t="shared" ca="1" si="7"/>
        <v>IH+GC&gt;IH&gt;ETF</v>
      </c>
    </row>
    <row r="19" spans="2:14" x14ac:dyDescent="0.2">
      <c r="E19" s="50"/>
      <c r="F19" s="25" t="str">
        <f>LEFT(D35,6)</f>
        <v>IF1803</v>
      </c>
      <c r="G19" s="25">
        <f>-G8</f>
        <v>21.5600000000004</v>
      </c>
      <c r="H19" s="25">
        <f>G19*I35</f>
        <v>6468.0000000001201</v>
      </c>
      <c r="I19" s="56">
        <f>H19-M35</f>
        <v>5030.42400000012</v>
      </c>
      <c r="J19" s="57">
        <f ca="1">I19/L35*365/H35</f>
        <v>8.3483809770897015E-3</v>
      </c>
      <c r="K19" s="56">
        <f ca="1">(EXP($C$6*H35/365)-1)*(J32-J35*$C$7)</f>
        <v>12901.278322340568</v>
      </c>
      <c r="L19" s="56">
        <f t="shared" ref="L19" ca="1" si="9">I19+K19</f>
        <v>17931.702322340687</v>
      </c>
      <c r="M19" s="57">
        <f ca="1">L19/L35*365/H35</f>
        <v>2.97590585912163E-2</v>
      </c>
      <c r="N19" s="26" t="str">
        <f t="shared" ref="N19" ca="1" si="10">IF(J19&gt;0,"IH+GC&gt;IH&gt;ETF",IF(M19&lt;0,"ETF&gt;IH+GC&gt;IH","IH+GC&gt;ETF&gt;IH"))</f>
        <v>IH+GC&gt;IH&gt;ETF</v>
      </c>
    </row>
    <row r="20" spans="2:14" x14ac:dyDescent="0.2">
      <c r="E20" s="50"/>
      <c r="F20" s="1" t="str">
        <f>LEFT(D38,6)</f>
        <v>IC1711</v>
      </c>
      <c r="G20" s="1">
        <f>-G9</f>
        <v>60.789999999999964</v>
      </c>
      <c r="H20" s="1">
        <f>G20*I38</f>
        <v>12157.999999999993</v>
      </c>
      <c r="I20" s="4">
        <f>H20-M38</f>
        <v>10509.015999999992</v>
      </c>
      <c r="J20" s="2">
        <f ca="1">I20/L38*365/H38</f>
        <v>9.279935569155251E-2</v>
      </c>
      <c r="K20" s="4">
        <f ca="1">(EXP($C$6*H38/365)-1)*(J37-J38*$C$7)</f>
        <v>2524.6357962210882</v>
      </c>
      <c r="L20" s="4">
        <f t="shared" ca="1" si="6"/>
        <v>13033.65179622108</v>
      </c>
      <c r="M20" s="2">
        <f ca="1">L20/L38*365/H38</f>
        <v>0.11509302954694932</v>
      </c>
      <c r="N20" s="9" t="str">
        <f t="shared" ca="1" si="7"/>
        <v>IH+GC&gt;IH&gt;ETF</v>
      </c>
    </row>
    <row r="21" spans="2:14" x14ac:dyDescent="0.2">
      <c r="E21" s="50"/>
      <c r="F21" s="1" t="str">
        <f>LEFT(D39,6)</f>
        <v>IC1712</v>
      </c>
      <c r="G21" s="1">
        <f>-G10</f>
        <v>94.390000000000327</v>
      </c>
      <c r="H21" s="1">
        <f>G21*I39</f>
        <v>28317.000000000098</v>
      </c>
      <c r="I21" s="4">
        <f>H21-M39</f>
        <v>26539.440000000097</v>
      </c>
      <c r="J21" s="2">
        <f ca="1">I21/L39*365/H39</f>
        <v>7.8763394068069773E-2</v>
      </c>
      <c r="K21" s="4">
        <f ca="1">(EXP($C$6*H39/365)-1)*(J36-J39*$C$7)</f>
        <v>4033.9099412203127</v>
      </c>
      <c r="L21" s="4">
        <f t="shared" ca="1" si="6"/>
        <v>30573.349941220411</v>
      </c>
      <c r="M21" s="2">
        <f ca="1">L21/L39*365/H39</f>
        <v>9.073517788624523E-2</v>
      </c>
      <c r="N21" s="9" t="str">
        <f t="shared" ca="1" si="7"/>
        <v>IH+GC&gt;IH&gt;ETF</v>
      </c>
    </row>
    <row r="22" spans="2:14" ht="15" thickBot="1" x14ac:dyDescent="0.25">
      <c r="E22" s="51"/>
      <c r="F22" s="13" t="str">
        <f>LEFT(D40,6)</f>
        <v>IC1803</v>
      </c>
      <c r="G22" s="13">
        <f>-G11</f>
        <v>166.39000000000033</v>
      </c>
      <c r="H22" s="13">
        <f>G22*I40</f>
        <v>49917.000000000102</v>
      </c>
      <c r="I22" s="15">
        <f>H22-M40</f>
        <v>48143.760000000104</v>
      </c>
      <c r="J22" s="16">
        <f ca="1">I22/L40*365/H40</f>
        <v>5.2435385091623203E-2</v>
      </c>
      <c r="K22" s="15">
        <f ca="1">(EXP($C$6*H40/365)-1)*(J37-J40*$C$7)</f>
        <v>12304.821826369875</v>
      </c>
      <c r="L22" s="15">
        <f t="shared" ref="L22" ca="1" si="11">I22+K22</f>
        <v>60448.581826369977</v>
      </c>
      <c r="M22" s="16">
        <f ca="1">L22/L40*365/H40</f>
        <v>6.5837081821365814E-2</v>
      </c>
      <c r="N22" s="11" t="str">
        <f t="shared" ref="N22" ca="1" si="12">IF(J22&gt;0,"IH+GC&gt;IH&gt;ETF",IF(M22&lt;0,"ETF&gt;IH+GC&gt;IH","IH+GC&gt;ETF&gt;IH"))</f>
        <v>IH+GC&gt;IH&gt;ETF</v>
      </c>
    </row>
    <row r="23" spans="2:14" ht="15" thickBot="1" x14ac:dyDescent="0.25"/>
    <row r="24" spans="2:14" x14ac:dyDescent="0.2">
      <c r="B24" s="6"/>
      <c r="C24" s="12" t="s">
        <v>16</v>
      </c>
      <c r="D24" s="12" t="s">
        <v>15</v>
      </c>
      <c r="E24" s="12" t="s">
        <v>4</v>
      </c>
      <c r="F24" s="12" t="s">
        <v>23</v>
      </c>
      <c r="G24" s="12" t="s">
        <v>37</v>
      </c>
      <c r="H24" s="12" t="s">
        <v>18</v>
      </c>
      <c r="I24" s="12" t="s">
        <v>5</v>
      </c>
      <c r="J24" s="12" t="s">
        <v>6</v>
      </c>
      <c r="K24" s="12" t="s">
        <v>30</v>
      </c>
      <c r="L24" s="12" t="s">
        <v>33</v>
      </c>
      <c r="M24" s="12" t="s">
        <v>28</v>
      </c>
      <c r="N24" s="7" t="s">
        <v>17</v>
      </c>
    </row>
    <row r="25" spans="2:14" x14ac:dyDescent="0.2">
      <c r="B25" s="38" t="s">
        <v>43</v>
      </c>
      <c r="C25" s="22" t="s">
        <v>20</v>
      </c>
      <c r="D25" s="22" t="str">
        <f>[1]!S_Info_Name(C25)</f>
        <v>GC007</v>
      </c>
      <c r="E25" s="22">
        <f>RTD("wdf.rtq", ,C25, "LastPrice","RT_Price")</f>
        <v>3.85</v>
      </c>
      <c r="F25" s="22"/>
      <c r="G25" s="22"/>
      <c r="H25" s="23"/>
      <c r="I25" s="22"/>
      <c r="J25" s="22"/>
      <c r="K25" s="22"/>
      <c r="L25" s="22"/>
      <c r="M25" s="22"/>
      <c r="N25" s="24" t="str">
        <f>RTD("wdf.rtq", ,C25, "Update_Time","RT_Price")</f>
        <v>11:18:20</v>
      </c>
    </row>
    <row r="26" spans="2:14" x14ac:dyDescent="0.2">
      <c r="B26" s="49" t="s">
        <v>44</v>
      </c>
      <c r="C26" s="19" t="s">
        <v>1</v>
      </c>
      <c r="D26" s="19" t="str">
        <f>[1]!S_Info_Name(C26)</f>
        <v>上证50</v>
      </c>
      <c r="E26" s="19">
        <f>RTD("wdf.rtq", ,C26, "LastPrice","RT_Price")</f>
        <v>2753.41</v>
      </c>
      <c r="F26" s="19"/>
      <c r="G26" s="19"/>
      <c r="H26" s="20"/>
      <c r="I26" s="19">
        <v>300</v>
      </c>
      <c r="J26" s="19">
        <f>E26*I26</f>
        <v>826023</v>
      </c>
      <c r="K26" s="19"/>
      <c r="L26" s="19"/>
      <c r="M26" s="19"/>
      <c r="N26" s="21" t="str">
        <f>RTD("wdf.rtq", ,C26, "Update_Time","RT_Price")</f>
        <v>11:18:24</v>
      </c>
    </row>
    <row r="27" spans="2:14" x14ac:dyDescent="0.2">
      <c r="B27" s="50"/>
      <c r="C27" s="1" t="s">
        <v>0</v>
      </c>
      <c r="D27" s="1" t="str">
        <f>[1]!S_Info_Name(C27)</f>
        <v>50ETF</v>
      </c>
      <c r="E27" s="1">
        <f>RTD("wdf.rtq", ,C27, "LastPrice","RT_Price")</f>
        <v>2.8040000000000003</v>
      </c>
      <c r="F27" s="1">
        <f>RTD("wdf.rtq", ,C27, "PREMIUM","RT_Price")*1000</f>
        <v>-4</v>
      </c>
      <c r="G27" s="1">
        <v>0</v>
      </c>
      <c r="H27" s="3"/>
      <c r="I27" s="1">
        <v>300000</v>
      </c>
      <c r="J27" s="1">
        <f>E27*I27</f>
        <v>841200.00000000012</v>
      </c>
      <c r="N27" s="9" t="str">
        <f>RTD("wdf.rtq", ,C27, "Update_Time","RT_Price")</f>
        <v>11:18:24</v>
      </c>
    </row>
    <row r="28" spans="2:14" x14ac:dyDescent="0.2">
      <c r="B28" s="50"/>
      <c r="C28" s="1" t="s">
        <v>2</v>
      </c>
      <c r="D28" s="1" t="str">
        <f>[1]!s_info_code2(C28,"")</f>
        <v>IH1711.CFE</v>
      </c>
      <c r="E28" s="1">
        <f>RTD("wdf.rtq", ,C28, "LastPrice","RT_Price")</f>
        <v>2757.4</v>
      </c>
      <c r="F28" s="1">
        <f>E28-E26</f>
        <v>3.9900000000002365</v>
      </c>
      <c r="H28" s="3">
        <f ca="1">IF([1]!s_info_lddate(C28)&lt;&gt;0,[1]!s_info_lddate(C28)-TODAY(),0)</f>
        <v>24</v>
      </c>
      <c r="I28" s="1">
        <v>300</v>
      </c>
      <c r="J28" s="1">
        <f t="shared" ref="J28:J30" si="13">E28*I28</f>
        <v>827220</v>
      </c>
      <c r="K28" s="1">
        <f>J28+J27</f>
        <v>1668420</v>
      </c>
      <c r="L28" s="1">
        <f>J28+J27*$C$7</f>
        <v>1079580</v>
      </c>
      <c r="M28" s="1">
        <f>J27*$C$4*2+J28*$C$5*2</f>
        <v>1006.6440000000002</v>
      </c>
      <c r="N28" s="9" t="str">
        <f>RTD("wdf.rtq", ,C28, "Update_Time","RT_Price")</f>
        <v>11:18:18</v>
      </c>
    </row>
    <row r="29" spans="2:14" x14ac:dyDescent="0.2">
      <c r="B29" s="50"/>
      <c r="C29" s="1" t="s">
        <v>3</v>
      </c>
      <c r="D29" s="1" t="str">
        <f>[1]!s_info_code2(C29,"")</f>
        <v>IH1712.CFE</v>
      </c>
      <c r="E29" s="1">
        <f>RTD("wdf.rtq", ,C29, "LastPrice","RT_Price")</f>
        <v>2761.8</v>
      </c>
      <c r="F29" s="1">
        <f>E29-E26</f>
        <v>8.3900000000003274</v>
      </c>
      <c r="H29" s="3">
        <f ca="1">IF([1]!s_info_lddate(C29)&lt;&gt;0,[1]!s_info_lddate(C29)-TODAY(),0)</f>
        <v>52</v>
      </c>
      <c r="I29" s="1">
        <v>300</v>
      </c>
      <c r="J29" s="1">
        <f t="shared" si="13"/>
        <v>828540</v>
      </c>
      <c r="K29" s="1">
        <f>J29+J27</f>
        <v>1669740</v>
      </c>
      <c r="L29" s="1">
        <f>J29+J27*$C$7</f>
        <v>1080900</v>
      </c>
      <c r="M29" s="1">
        <f>J27*$C$4*2+J29*$C$5*2</f>
        <v>1006.9080000000001</v>
      </c>
      <c r="N29" s="9" t="str">
        <f>RTD("wdf.rtq", ,C29, "Update_Time","RT_Price")</f>
        <v>11:18:10</v>
      </c>
    </row>
    <row r="30" spans="2:14" x14ac:dyDescent="0.2">
      <c r="B30" s="52"/>
      <c r="C30" s="53" t="s">
        <v>80</v>
      </c>
      <c r="D30" s="1" t="str">
        <f>[1]!s_info_code2(C30,"")</f>
        <v>IH1803.CFE</v>
      </c>
      <c r="E30" s="53">
        <f>RTD("wdf.rtq", ,C30, "LastPrice","RT_Price")</f>
        <v>2776.4</v>
      </c>
      <c r="F30" s="1">
        <f>E30-E26</f>
        <v>22.990000000000236</v>
      </c>
      <c r="H30" s="3">
        <f ca="1">IF([1]!s_info_lddate(C30)&lt;&gt;0,[1]!s_info_lddate(C30)-TODAY(),0)</f>
        <v>143</v>
      </c>
      <c r="I30" s="53">
        <v>300</v>
      </c>
      <c r="J30" s="53">
        <f t="shared" si="13"/>
        <v>832920</v>
      </c>
      <c r="K30" s="1">
        <f>J30+J27</f>
        <v>1674120</v>
      </c>
      <c r="L30" s="1">
        <f>J30+J27*$C$7</f>
        <v>1085280</v>
      </c>
      <c r="M30" s="1">
        <f>J27*$C$4*2+J30*$C$5*2</f>
        <v>1007.7840000000001</v>
      </c>
      <c r="N30" s="9" t="str">
        <f>RTD("wdf.rtq", ,C30, "Update_Time","RT_Price")</f>
        <v>11:18:16</v>
      </c>
    </row>
    <row r="31" spans="2:14" x14ac:dyDescent="0.2">
      <c r="B31" s="49" t="s">
        <v>45</v>
      </c>
      <c r="C31" s="19" t="s">
        <v>8</v>
      </c>
      <c r="D31" s="19" t="str">
        <f>[1]!S_Info_Name(C31)</f>
        <v>沪深300</v>
      </c>
      <c r="E31" s="19">
        <f>RTD("wdf.rtq", ,C31, "LastPrice","RT_Price")</f>
        <v>3951.1600000000003</v>
      </c>
      <c r="F31" s="19"/>
      <c r="G31" s="19"/>
      <c r="H31" s="20"/>
      <c r="I31" s="19">
        <v>300</v>
      </c>
      <c r="J31" s="19">
        <f>E31*I31</f>
        <v>1185348</v>
      </c>
      <c r="K31" s="19"/>
      <c r="L31" s="19"/>
      <c r="M31" s="19"/>
      <c r="N31" s="21" t="str">
        <f>RTD("wdf.rtq", ,C31, "Update_Time","RT_Price")</f>
        <v>11:18:24</v>
      </c>
    </row>
    <row r="32" spans="2:14" x14ac:dyDescent="0.2">
      <c r="B32" s="50"/>
      <c r="C32" s="1" t="s">
        <v>7</v>
      </c>
      <c r="D32" s="1" t="str">
        <f>[1]!S_Info_Name(C32)</f>
        <v>300ETF</v>
      </c>
      <c r="E32" s="1">
        <f>RTD("wdf.rtq", ,C32, "LastPrice","RT_Price")</f>
        <v>4.0069999999999997</v>
      </c>
      <c r="F32" s="1">
        <f>RTD("wdf.rtq", ,C32, "PREMIUM","RT_Price")*1000</f>
        <v>-5</v>
      </c>
      <c r="G32" s="1">
        <v>0</v>
      </c>
      <c r="H32" s="3"/>
      <c r="I32" s="1">
        <v>300000</v>
      </c>
      <c r="J32" s="1">
        <f>E32*I32</f>
        <v>1202100</v>
      </c>
      <c r="N32" s="9" t="str">
        <f>RTD("wdf.rtq", ,C32, "Update_Time","RT_Price")</f>
        <v>11:18:09</v>
      </c>
    </row>
    <row r="33" spans="2:14" x14ac:dyDescent="0.2">
      <c r="B33" s="50"/>
      <c r="C33" s="1" t="s">
        <v>9</v>
      </c>
      <c r="D33" s="1" t="str">
        <f>[1]!s_info_code2(C33,"")</f>
        <v>IF1711.CFE</v>
      </c>
      <c r="E33" s="1">
        <f>RTD("wdf.rtq", ,C33, "LastPrice","RT_Price")</f>
        <v>3934.2000000000003</v>
      </c>
      <c r="F33" s="1">
        <f>E33-E31</f>
        <v>-16.960000000000036</v>
      </c>
      <c r="H33" s="3">
        <f ca="1">IF([1]!s_info_lddate(C33)&lt;&gt;0,[1]!s_info_lddate(C33)-TODAY(),0)</f>
        <v>24</v>
      </c>
      <c r="I33" s="1">
        <v>300</v>
      </c>
      <c r="J33" s="1">
        <f>E33*I33</f>
        <v>1180260</v>
      </c>
      <c r="K33" s="1">
        <f>J33+J32</f>
        <v>2382360</v>
      </c>
      <c r="L33" s="1">
        <f>J33+J32*$C$7</f>
        <v>1540890</v>
      </c>
      <c r="M33" s="1">
        <f>J32*$C$4*2+J33*$C$5*2</f>
        <v>1438.152</v>
      </c>
      <c r="N33" s="9" t="str">
        <f>RTD("wdf.rtq", ,C33, "Update_Time","RT_Price")</f>
        <v>11:18:25</v>
      </c>
    </row>
    <row r="34" spans="2:14" x14ac:dyDescent="0.2">
      <c r="B34" s="50"/>
      <c r="C34" s="1" t="s">
        <v>10</v>
      </c>
      <c r="D34" s="1" t="str">
        <f>[1]!s_info_code2(C34,"")</f>
        <v>IF1712.CFE</v>
      </c>
      <c r="E34" s="1">
        <f>RTD("wdf.rtq", ,C34, "LastPrice","RT_Price")</f>
        <v>3930</v>
      </c>
      <c r="F34" s="1">
        <f>E34-E31</f>
        <v>-21.160000000000309</v>
      </c>
      <c r="H34" s="3">
        <f ca="1">IF([1]!s_info_lddate(C34)&lt;&gt;0,[1]!s_info_lddate(C34)-TODAY(),0)</f>
        <v>52</v>
      </c>
      <c r="I34" s="1">
        <v>300</v>
      </c>
      <c r="J34" s="1">
        <f t="shared" ref="J34:J35" si="14">E34*I34</f>
        <v>1179000</v>
      </c>
      <c r="K34" s="1">
        <f>J34+J32</f>
        <v>2381100</v>
      </c>
      <c r="L34" s="1">
        <f>J34+J32*$C$7</f>
        <v>1539630</v>
      </c>
      <c r="M34" s="1">
        <f>J32*$C$4*2+J34*$C$5*2</f>
        <v>1437.9</v>
      </c>
      <c r="N34" s="9" t="str">
        <f>RTD("wdf.rtq", ,C34, "Update_Time","RT_Price")</f>
        <v>11:18:20</v>
      </c>
    </row>
    <row r="35" spans="2:14" x14ac:dyDescent="0.2">
      <c r="B35" s="50"/>
      <c r="C35" s="53" t="s">
        <v>81</v>
      </c>
      <c r="D35" s="1" t="str">
        <f>[1]!s_info_code2(C35,"")</f>
        <v>IF1803.CFE</v>
      </c>
      <c r="E35" s="53">
        <f>RTD("wdf.rtq", ,C35, "LastPrice","RT_Price")</f>
        <v>3924.6</v>
      </c>
      <c r="F35" s="1">
        <f>E35-E31</f>
        <v>-26.5600000000004</v>
      </c>
      <c r="H35" s="3">
        <f ca="1">IF([1]!s_info_lddate(C35)&lt;&gt;0,[1]!s_info_lddate(C35)-TODAY(),0)</f>
        <v>143</v>
      </c>
      <c r="I35" s="53">
        <v>300</v>
      </c>
      <c r="J35" s="53">
        <f t="shared" si="14"/>
        <v>1177380</v>
      </c>
      <c r="K35" s="1">
        <f>J35+J32</f>
        <v>2379480</v>
      </c>
      <c r="L35" s="1">
        <f>J35+J32*$C$7</f>
        <v>1538010</v>
      </c>
      <c r="M35" s="1">
        <f>J32*$C$4*2+J35*$C$5*2</f>
        <v>1437.576</v>
      </c>
      <c r="N35" s="9" t="str">
        <f>RTD("wdf.rtq", ,C35, "Update_Time","RT_Price")</f>
        <v>11:18:04</v>
      </c>
    </row>
    <row r="36" spans="2:14" x14ac:dyDescent="0.2">
      <c r="B36" s="49" t="s">
        <v>46</v>
      </c>
      <c r="C36" s="19" t="s">
        <v>12</v>
      </c>
      <c r="D36" s="19" t="str">
        <f>[1]!S_Info_Name(C36)</f>
        <v>中证500</v>
      </c>
      <c r="E36" s="19">
        <f>RTD("wdf.rtq", ,C36, "LastPrice","RT_Price")</f>
        <v>6590.39</v>
      </c>
      <c r="F36" s="19"/>
      <c r="G36" s="19"/>
      <c r="H36" s="20"/>
      <c r="I36" s="19">
        <v>200</v>
      </c>
      <c r="J36" s="19">
        <f>E36*I36</f>
        <v>1318078</v>
      </c>
      <c r="K36" s="19"/>
      <c r="L36" s="19"/>
      <c r="M36" s="19"/>
      <c r="N36" s="21" t="str">
        <f>RTD("wdf.rtq", ,C36, "Update_Time","RT_Price")</f>
        <v>11:18:24</v>
      </c>
    </row>
    <row r="37" spans="2:14" x14ac:dyDescent="0.2">
      <c r="B37" s="50"/>
      <c r="C37" s="1" t="s">
        <v>11</v>
      </c>
      <c r="D37" s="1" t="str">
        <f>[1]!S_Info_Name(C37)</f>
        <v>500ETF</v>
      </c>
      <c r="E37" s="1">
        <f>RTD("wdf.rtq", ,C37, "LastPrice","RT_Price")</f>
        <v>6.9390000000000001</v>
      </c>
      <c r="F37" s="1">
        <f>RTD("wdf.rtq", ,C37, "PREMIUM","RT_Price")*1000</f>
        <v>0</v>
      </c>
      <c r="G37" s="1">
        <v>0</v>
      </c>
      <c r="H37" s="3"/>
      <c r="I37" s="1">
        <v>200000</v>
      </c>
      <c r="J37" s="1">
        <f t="shared" ref="J37:J40" si="15">E37*I37</f>
        <v>1387800</v>
      </c>
      <c r="N37" s="9" t="str">
        <f>RTD("wdf.rtq", ,C37, "Update_Time","RT_Price")</f>
        <v>11:18:24</v>
      </c>
    </row>
    <row r="38" spans="2:14" x14ac:dyDescent="0.2">
      <c r="B38" s="50"/>
      <c r="C38" s="1" t="s">
        <v>13</v>
      </c>
      <c r="D38" s="1" t="str">
        <f>[1]!s_info_code2(C38,"")</f>
        <v>IC1711.CFE</v>
      </c>
      <c r="E38" s="1">
        <f>RTD("wdf.rtq", ,C38, "LastPrice","RT_Price")</f>
        <v>6529.6</v>
      </c>
      <c r="F38" s="1">
        <f>E38-E36</f>
        <v>-60.789999999999964</v>
      </c>
      <c r="H38" s="3">
        <f ca="1">IF([1]!s_info_lddate(C38)&lt;&gt;0,[1]!s_info_lddate(C38)-TODAY(),0)</f>
        <v>24</v>
      </c>
      <c r="I38" s="1">
        <v>200</v>
      </c>
      <c r="J38" s="1">
        <f t="shared" si="15"/>
        <v>1305920</v>
      </c>
      <c r="K38" s="1">
        <f>J38+J37</f>
        <v>2693720</v>
      </c>
      <c r="L38" s="1">
        <f>J38+J37*$C$7</f>
        <v>1722260</v>
      </c>
      <c r="M38" s="1">
        <f>J37*$C$4*2+J38*$C$5*2</f>
        <v>1648.9839999999999</v>
      </c>
      <c r="N38" s="9" t="str">
        <f>RTD("wdf.rtq", ,C38, "Update_Time","RT_Price")</f>
        <v>11:18:25</v>
      </c>
    </row>
    <row r="39" spans="2:14" x14ac:dyDescent="0.2">
      <c r="B39" s="50"/>
      <c r="C39" s="1" t="s">
        <v>14</v>
      </c>
      <c r="D39" s="1" t="str">
        <f>[1]!s_info_code2(C39,"")</f>
        <v>IC1712.CFE</v>
      </c>
      <c r="E39" s="1">
        <f>RTD("wdf.rtq", ,C39, "LastPrice","RT_Price")</f>
        <v>6496</v>
      </c>
      <c r="F39" s="1">
        <f>E39-E36</f>
        <v>-94.390000000000327</v>
      </c>
      <c r="H39" s="3">
        <f ca="1">IF([1]!s_info_lddate(C39)&lt;&gt;0,[1]!s_info_lddate(C39)-TODAY(),0)</f>
        <v>52</v>
      </c>
      <c r="I39" s="1">
        <v>300</v>
      </c>
      <c r="J39" s="1">
        <f t="shared" si="15"/>
        <v>1948800</v>
      </c>
      <c r="K39" s="1">
        <f>J39+J37</f>
        <v>3336600</v>
      </c>
      <c r="L39" s="1">
        <f>J39+J37*$C$7</f>
        <v>2365140</v>
      </c>
      <c r="M39" s="1">
        <f>J37*$C$4*2+J39*$C$5*2</f>
        <v>1777.56</v>
      </c>
      <c r="N39" s="9" t="str">
        <f>RTD("wdf.rtq", ,C39, "Update_Time","RT_Price")</f>
        <v>11:18:25</v>
      </c>
    </row>
    <row r="40" spans="2:14" ht="15" thickBot="1" x14ac:dyDescent="0.25">
      <c r="B40" s="51"/>
      <c r="C40" s="54" t="s">
        <v>82</v>
      </c>
      <c r="D40" s="13" t="str">
        <f>[1]!s_info_code2(C40,"")</f>
        <v>IC1803.CFE</v>
      </c>
      <c r="E40" s="54">
        <f>RTD("wdf.rtq", ,C40, "LastPrice","RT_Price")</f>
        <v>6424</v>
      </c>
      <c r="F40" s="13">
        <f>E40-E36</f>
        <v>-166.39000000000033</v>
      </c>
      <c r="G40" s="13"/>
      <c r="H40" s="18">
        <f ca="1">IF([1]!s_info_lddate(C40)&lt;&gt;0,[1]!s_info_lddate(C40)-TODAY(),0)</f>
        <v>143</v>
      </c>
      <c r="I40" s="54">
        <v>300</v>
      </c>
      <c r="J40" s="54">
        <f t="shared" si="15"/>
        <v>1927200</v>
      </c>
      <c r="K40" s="13">
        <f>J40+J37</f>
        <v>3315000</v>
      </c>
      <c r="L40" s="13">
        <f>J40+J37*$C$7</f>
        <v>2343540</v>
      </c>
      <c r="M40" s="13">
        <f>J37*$C$4*2+J40*$C$5*2</f>
        <v>1773.24</v>
      </c>
      <c r="N40" s="55" t="str">
        <f>RTD("wdf.rtq", ,C40, "Update_Time","RT_Price")</f>
        <v>11:18:25</v>
      </c>
    </row>
  </sheetData>
  <mergeCells count="5">
    <mergeCell ref="B26:B30"/>
    <mergeCell ref="B31:B35"/>
    <mergeCell ref="B36:B40"/>
    <mergeCell ref="E3:E11"/>
    <mergeCell ref="E14:E22"/>
  </mergeCells>
  <phoneticPr fontId="2" type="noConversion"/>
  <conditionalFormatting sqref="J3:J11 M14:M22">
    <cfRule type="cellIs" dxfId="3" priority="8" operator="greaterThan">
      <formula>0</formula>
    </cfRule>
  </conditionalFormatting>
  <conditionalFormatting sqref="J14:J22">
    <cfRule type="cellIs" dxfId="2" priority="5" operator="greaterThan">
      <formula>0</formula>
    </cfRule>
  </conditionalFormatting>
  <conditionalFormatting sqref="M14:M22">
    <cfRule type="cellIs" dxfId="1" priority="9" operator="greaterThan">
      <formula>$C$11</formula>
    </cfRule>
  </conditionalFormatting>
  <conditionalFormatting sqref="M3:M11">
    <cfRule type="cellIs" dxfId="0" priority="10" operator="greaterThan">
      <formula>$C$10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warn_test">
                <anchor moveWithCells="1" sizeWithCells="1">
                  <from>
                    <xdr:col>1</xdr:col>
                    <xdr:colOff>47625</xdr:colOff>
                    <xdr:row>12</xdr:row>
                    <xdr:rowOff>38100</xdr:rowOff>
                  </from>
                  <to>
                    <xdr:col>2</xdr:col>
                    <xdr:colOff>695325</xdr:colOff>
                    <xdr:row>14</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C40" sqref="C40"/>
    </sheetView>
  </sheetViews>
  <sheetFormatPr defaultRowHeight="14.25" x14ac:dyDescent="0.2"/>
  <sheetData>
    <row r="1" spans="1:1" x14ac:dyDescent="0.2">
      <c r="A1" t="s">
        <v>54</v>
      </c>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0"/>
  <sheetViews>
    <sheetView workbookViewId="0">
      <selection activeCell="B10" sqref="B10"/>
    </sheetView>
  </sheetViews>
  <sheetFormatPr defaultRowHeight="14.25" x14ac:dyDescent="0.2"/>
  <cols>
    <col min="2" max="2" width="24.25" customWidth="1"/>
    <col min="3" max="3" width="11.875" customWidth="1"/>
    <col min="4" max="4" width="10.25" customWidth="1"/>
  </cols>
  <sheetData>
    <row r="1" spans="1:11" x14ac:dyDescent="0.2">
      <c r="A1">
        <f ca="1">IF(期现套利!M3&gt;期现套利!$C$10,1,0)</f>
        <v>0</v>
      </c>
      <c r="B1" t="str">
        <f ca="1">IF(A1=1,期现套利!F3&amp;" 正向 "&amp;ROUND(期现套利!J3*100,2)&amp;"% "&amp;ROUND(期现套利!M3*100,2)&amp;"%","")</f>
        <v/>
      </c>
    </row>
    <row r="2" spans="1:11" x14ac:dyDescent="0.2">
      <c r="A2">
        <f ca="1">IF(期现套利!M4&gt;期现套利!$C$10,1,0)</f>
        <v>0</v>
      </c>
      <c r="B2" t="str">
        <f ca="1">IF(A2=1,期现套利!F4&amp;" 正向 "&amp;ROUND(期现套利!J4*100,2)&amp;"% "&amp;ROUND(期现套利!M4*100,2)&amp;"%","")</f>
        <v/>
      </c>
    </row>
    <row r="3" spans="1:11" x14ac:dyDescent="0.2">
      <c r="A3">
        <f ca="1">IF(期现套利!M5&gt;期现套利!$C$10,1,0)</f>
        <v>0</v>
      </c>
      <c r="B3" t="str">
        <f ca="1">IF(A3=1,期现套利!F6&amp;" 正向 "&amp;ROUND(期现套利!J6*100,2)&amp;"% "&amp;ROUND(期现套利!M6*100,2)&amp;"%","")</f>
        <v/>
      </c>
    </row>
    <row r="4" spans="1:11" x14ac:dyDescent="0.2">
      <c r="A4">
        <f ca="1">IF(期现套利!M6&gt;期现套利!$C$10,1,0)</f>
        <v>0</v>
      </c>
      <c r="B4" t="str">
        <f ca="1">IF(A4=1,期现套利!F7&amp;" 正向 "&amp;ROUND(期现套利!J7*100,2)&amp;"% "&amp;ROUND(期现套利!M7*100,2)&amp;"%","")</f>
        <v/>
      </c>
    </row>
    <row r="5" spans="1:11" x14ac:dyDescent="0.2">
      <c r="A5">
        <f ca="1">IF(期现套利!M7&gt;期现套利!$C$10,1,0)</f>
        <v>0</v>
      </c>
      <c r="B5" t="str">
        <f ca="1">IF(A5=1,期现套利!F8&amp;" 正向 "&amp;ROUND(期现套利!J8*100,2)&amp;"% "&amp;ROUND(期现套利!M8*100,2)&amp;"%","")</f>
        <v/>
      </c>
      <c r="C5" t="s">
        <v>42</v>
      </c>
      <c r="D5">
        <v>36</v>
      </c>
    </row>
    <row r="6" spans="1:11" x14ac:dyDescent="0.2">
      <c r="A6">
        <f ca="1">IF(期现套利!M8&gt;期现套利!$C$10,1,0)</f>
        <v>0</v>
      </c>
      <c r="B6" t="str">
        <f ca="1">IF(A6=1,期现套利!F9&amp;" 正向 "&amp;ROUND(期现套利!J9*100,2)&amp;"% "&amp;ROUND(期现套利!M9*100,2)&amp;"%","")</f>
        <v/>
      </c>
      <c r="C6" s="30" t="s">
        <v>41</v>
      </c>
      <c r="D6">
        <v>404.25</v>
      </c>
    </row>
    <row r="7" spans="1:11" x14ac:dyDescent="0.2">
      <c r="A7">
        <f ca="1">IF(期现套利!M9&gt;期现套利!$C$10,1,0)</f>
        <v>0</v>
      </c>
      <c r="B7" t="str">
        <f ca="1">IF(A7=1,期现套利!F10&amp;" 正向 "&amp;ROUND(期现套利!J10*100,2)&amp;"% "&amp;ROUND(期现套利!M10*100,2)&amp;"%","")</f>
        <v/>
      </c>
      <c r="C7" t="s">
        <v>39</v>
      </c>
      <c r="D7">
        <v>12</v>
      </c>
    </row>
    <row r="8" spans="1:11" x14ac:dyDescent="0.2">
      <c r="A8">
        <f ca="1">IF(期现套利!M10&gt;期现套利!$C$10,1,0)</f>
        <v>0</v>
      </c>
      <c r="B8" t="str">
        <f ca="1">IF(A8=1,期现套利!F11&amp;" 正向 "&amp;ROUND(期现套利!J11*100,2)&amp;"% "&amp;ROUND(期现套利!M11*100,2)&amp;"%","")</f>
        <v/>
      </c>
      <c r="C8" t="s">
        <v>40</v>
      </c>
      <c r="D8">
        <v>7</v>
      </c>
      <c r="K8" t="s">
        <v>38</v>
      </c>
    </row>
    <row r="9" spans="1:11" x14ac:dyDescent="0.2">
      <c r="A9">
        <f ca="1">IF(期现套利!M11&gt;期现套利!$C$10,1,0)</f>
        <v>0</v>
      </c>
      <c r="B9" t="str">
        <f ca="1">IF(A9=1,期现套利!F12&amp;" 正向 "&amp;ROUND(期现套利!J12*100,2)&amp;"% "&amp;ROUND(期现套利!M12*100,2)&amp;"%","")</f>
        <v/>
      </c>
      <c r="C9" t="s">
        <v>67</v>
      </c>
      <c r="D9">
        <f ca="1">COUNT(A:A)</f>
        <v>20</v>
      </c>
    </row>
    <row r="10" spans="1:11" x14ac:dyDescent="0.2">
      <c r="A10">
        <v>-1</v>
      </c>
      <c r="B10" t="s">
        <v>84</v>
      </c>
    </row>
    <row r="11" spans="1:11" x14ac:dyDescent="0.2">
      <c r="A11">
        <v>-1</v>
      </c>
      <c r="B11" t="s">
        <v>85</v>
      </c>
      <c r="C11" t="s">
        <v>59</v>
      </c>
    </row>
    <row r="12" spans="1:11" x14ac:dyDescent="0.2">
      <c r="A12">
        <f ca="1">IF(期现套利!M14&gt;期现套利!$C$11,1,0)</f>
        <v>0</v>
      </c>
      <c r="B12" t="str">
        <f ca="1">IF(A12=1,期现套利!F14&amp;" 反向 "&amp;ROUND(期现套利!J14*100,2)&amp;"% "&amp;ROUND(期现套利!M14*100,2)&amp;"%","")</f>
        <v/>
      </c>
      <c r="C12" s="36" t="s">
        <v>78</v>
      </c>
    </row>
    <row r="13" spans="1:11" x14ac:dyDescent="0.2">
      <c r="A13">
        <f ca="1">IF(期现套利!M15&gt;期现套利!$C$11,1,0)</f>
        <v>0</v>
      </c>
      <c r="B13" t="str">
        <f ca="1">IF(A13=1,期现套利!F15&amp;" 反向 "&amp;ROUND(期现套利!J15*100,2)&amp;"% "&amp;ROUND(期现套利!M15*100,2)&amp;"%","")</f>
        <v/>
      </c>
      <c r="C13" s="36" t="s">
        <v>60</v>
      </c>
    </row>
    <row r="14" spans="1:11" x14ac:dyDescent="0.2">
      <c r="A14">
        <f ca="1">IF(期现套利!M16&gt;期现套利!$C$11,1,0)</f>
        <v>0</v>
      </c>
      <c r="B14" t="str">
        <f ca="1">IF(A14=1,期现套利!F16&amp;" 反向 "&amp;ROUND(期现套利!J16*100,2)&amp;"% "&amp;ROUND(期现套利!M16*100,2)&amp;"%","")</f>
        <v/>
      </c>
    </row>
    <row r="15" spans="1:11" x14ac:dyDescent="0.2">
      <c r="A15">
        <f ca="1">IF(期现套利!M17&gt;期现套利!$C$11,1,0)</f>
        <v>1</v>
      </c>
      <c r="B15" t="str">
        <f ca="1">IF(A15=1,期现套利!F17&amp;" 反向 "&amp;ROUND(期现套利!J17*100,2)&amp;"% "&amp;ROUND(期现套利!M17*100,2)&amp;"%","")</f>
        <v>IF1711 反向 2.12% 4.24%</v>
      </c>
    </row>
    <row r="16" spans="1:11" x14ac:dyDescent="0.2">
      <c r="A16">
        <f ca="1">IF(期现套利!M18&gt;期现套利!$C$11,1,0)</f>
        <v>1</v>
      </c>
      <c r="B16" t="str">
        <f ca="1">IF(A16=1,期现套利!F18&amp;" 反向 "&amp;ROUND(期现套利!J18*100,2)&amp;"% "&amp;ROUND(期现套利!M18*100,2)&amp;"%","")</f>
        <v>IF1712 反向 1.55% 3.64%</v>
      </c>
    </row>
    <row r="17" spans="1:2" x14ac:dyDescent="0.2">
      <c r="A17">
        <f ca="1">IF(期现套利!M19&gt;期现套利!$C$11,1,0)</f>
        <v>1</v>
      </c>
      <c r="B17" t="str">
        <f ca="1">IF(A17=1,期现套利!F19&amp;" 反向 "&amp;ROUND(期现套利!J19*100,2)&amp;"% "&amp;ROUND(期现套利!M19*100,2)&amp;"%","")</f>
        <v>IF1803 反向 0.83% 2.98%</v>
      </c>
    </row>
    <row r="18" spans="1:2" x14ac:dyDescent="0.2">
      <c r="A18">
        <f ca="1">IF(期现套利!M20&gt;期现套利!$C$11,1,0)</f>
        <v>1</v>
      </c>
      <c r="B18" t="str">
        <f ca="1">IF(A18=1,期现套利!F20&amp;" 反向 "&amp;ROUND(期现套利!J20*100,2)&amp;"% "&amp;ROUND(期现套利!M20*100,2)&amp;"%","")</f>
        <v>IC1711 反向 9.28% 11.51%</v>
      </c>
    </row>
    <row r="19" spans="1:2" x14ac:dyDescent="0.2">
      <c r="A19">
        <f ca="1">IF(期现套利!M21&gt;期现套利!$C$11,1,0)</f>
        <v>1</v>
      </c>
      <c r="B19" t="str">
        <f ca="1">IF(A19=1,期现套利!F21&amp;" 反向 "&amp;ROUND(期现套利!J21*100,2)&amp;"% "&amp;ROUND(期现套利!M21*100,2)&amp;"%","")</f>
        <v>IC1712 反向 7.88% 9.07%</v>
      </c>
    </row>
    <row r="20" spans="1:2" x14ac:dyDescent="0.2">
      <c r="A20">
        <f ca="1">IF(期现套利!M22&gt;期现套利!$C$11,1,0)</f>
        <v>1</v>
      </c>
      <c r="B20" t="str">
        <f ca="1">IF(A20=1,期现套利!F22&amp;" 反向 "&amp;ROUND(期现套利!J22*100,2)&amp;"% "&amp;ROUND(期现套利!M22*100,2)&amp;"%","")</f>
        <v>IC1803 反向 5.24% 6.58%</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0" r:id="rId3" name="Button 2">
              <controlPr defaultSize="0" print="0" autoFill="0" autoPict="0" macro="[0]!warn_test">
                <anchor moveWithCells="1" sizeWithCells="1">
                  <from>
                    <xdr:col>2</xdr:col>
                    <xdr:colOff>57150</xdr:colOff>
                    <xdr:row>0</xdr:row>
                    <xdr:rowOff>66675</xdr:rowOff>
                  </from>
                  <to>
                    <xdr:col>3</xdr:col>
                    <xdr:colOff>733425</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使用说明</vt:lpstr>
      <vt:lpstr>期现套利</vt:lpstr>
      <vt:lpstr>Data</vt:lpstr>
      <vt:lpstr>Warn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用户</dc:creator>
  <cp:lastModifiedBy>Windows 用户</cp:lastModifiedBy>
  <dcterms:created xsi:type="dcterms:W3CDTF">2017-10-23T03:12:17Z</dcterms:created>
  <dcterms:modified xsi:type="dcterms:W3CDTF">2017-10-24T03:18:27Z</dcterms:modified>
</cp:coreProperties>
</file>